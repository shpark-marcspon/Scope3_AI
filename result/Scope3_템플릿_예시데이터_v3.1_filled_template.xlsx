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1_구매품서비스" sheetId="1" state="visible" r:id="rId1"/>
    <sheet name="C2_자본재" sheetId="2" state="visible" r:id="rId2"/>
    <sheet name="C3_연료에너지" sheetId="3" state="visible" r:id="rId3"/>
    <sheet name="C4-1_운송거리" sheetId="4" state="visible" r:id="rId4"/>
    <sheet name="C4-2_운송금액" sheetId="5" state="visible" r:id="rId5"/>
    <sheet name="C5_사업장폐기물" sheetId="6" state="visible" r:id="rId6"/>
    <sheet name="C6-1_출장거리" sheetId="7" state="visible" r:id="rId7"/>
    <sheet name="C6-2_출장비" sheetId="8" state="visible" r:id="rId8"/>
    <sheet name="C7_임직원통근" sheetId="9" state="visible" r:id="rId9"/>
    <sheet name="C8-1_에너지사용량 아는 경우" sheetId="10" state="visible" r:id="rId10"/>
    <sheet name="C8-2_면적" sheetId="11" state="visible" r:id="rId11"/>
    <sheet name="C8-3_인원" sheetId="12" state="visible" r:id="rId12"/>
    <sheet name="C9-1_운송거리" sheetId="13" state="visible" r:id="rId13"/>
    <sheet name="C9-2_운송금액" sheetId="14" state="visible" r:id="rId14"/>
    <sheet name="C11_판매제품사용" sheetId="15" state="visible" r:id="rId15"/>
    <sheet name="C12_판매제품폐기" sheetId="16" state="visible" r:id="rId16"/>
    <sheet name="C13-1_에너지사용량 아는경우" sheetId="17" state="visible" r:id="rId17"/>
    <sheet name="C13-2_면적" sheetId="18" state="visible" r:id="rId18"/>
    <sheet name="C13-3_인원" sheetId="19" state="visible" r:id="rId19"/>
    <sheet name="C14_프랜차이즈" sheetId="20" state="visible" r:id="rId20"/>
    <sheet name="C15_투자" sheetId="21" state="visible" r:id="rId2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000"/>
  </numFmts>
  <fonts count="2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000000"/>
      <sz val="16"/>
    </font>
    <font>
      <name val="Noto Sans CJK SC"/>
      <family val="2"/>
      <b val="1"/>
      <color rgb="FF000000"/>
      <sz val="16"/>
    </font>
    <font>
      <name val="Noto Sans CJK SC"/>
      <charset val="1"/>
      <family val="2"/>
      <b val="1"/>
      <sz val="10"/>
    </font>
    <font>
      <name val="Calibri"/>
      <charset val="1"/>
      <family val="0"/>
      <sz val="9"/>
    </font>
    <font>
      <name val="Noto Sans CJK SC"/>
      <family val="2"/>
      <sz val="9"/>
    </font>
    <font>
      <name val="Noto Sans CJK SC"/>
      <charset val="1"/>
      <family val="2"/>
      <b val="1"/>
      <color rgb="FFFF0000"/>
      <sz val="9"/>
    </font>
    <font>
      <name val="Calibri"/>
      <charset val="1"/>
      <family val="0"/>
      <b val="1"/>
      <sz val="11"/>
    </font>
    <font>
      <name val="Noto Sans CJK SC"/>
      <family val="2"/>
      <b val="1"/>
      <sz val="11"/>
    </font>
    <font>
      <name val="Noto Sans CJK SC"/>
      <charset val="1"/>
      <family val="2"/>
      <b val="1"/>
      <sz val="11"/>
    </font>
    <font>
      <name val="Noto Sans CJK SC"/>
      <charset val="1"/>
      <family val="2"/>
      <color rgb="FF7F7F7F"/>
      <sz val="11"/>
    </font>
    <font>
      <name val="Calibri"/>
      <charset val="1"/>
      <family val="0"/>
      <color rgb="FF7F7F7F"/>
      <sz val="11"/>
    </font>
    <font>
      <name val="Noto Sans CJK SC"/>
      <family val="2"/>
      <color rgb="FF7F7F7F"/>
      <sz val="11"/>
    </font>
    <font>
      <name val="Noto Sans CJK SC"/>
      <charset val="1"/>
      <family val="2"/>
      <sz val="11"/>
    </font>
    <font>
      <name val="Noto Sans CJK SC"/>
      <family val="2"/>
      <sz val="11"/>
    </font>
    <font>
      <name val="맑은 고딕"/>
      <charset val="1"/>
      <family val="0"/>
      <b val="1"/>
      <sz val="11"/>
    </font>
    <font>
      <name val="Noto Sans CJK SC"/>
      <charset val="1"/>
      <family val="2"/>
      <b val="1"/>
      <color rgb="FF000000"/>
      <sz val="16"/>
    </font>
    <font>
      <name val="Calibri"/>
      <charset val="1"/>
      <family val="0"/>
      <b val="1"/>
      <sz val="16"/>
    </font>
    <font>
      <name val="Noto Sans CJK SC"/>
      <family val="2"/>
      <b val="1"/>
      <sz val="16"/>
    </font>
    <font>
      <name val="Calibri"/>
      <charset val="1"/>
      <family val="0"/>
      <b val="1"/>
      <color rgb="FFFF0000"/>
      <sz val="9"/>
    </font>
    <font>
      <name val="Noto Sans CJK SC"/>
      <family val="2"/>
      <b val="1"/>
      <color rgb="FFFF0000"/>
      <sz val="9"/>
    </font>
  </fonts>
  <fills count="7">
    <fill>
      <patternFill/>
    </fill>
    <fill>
      <patternFill patternType="gray125"/>
    </fill>
    <fill>
      <patternFill patternType="solid">
        <fgColor theme="0" tint="-0.05"/>
        <bgColor rgb="FFFCE4D6"/>
      </patternFill>
    </fill>
    <fill>
      <patternFill patternType="solid">
        <fgColor rgb="FFFCE4D6"/>
        <bgColor rgb="FFFBE3D6"/>
      </patternFill>
    </fill>
    <fill>
      <patternFill patternType="solid">
        <fgColor rgb="FFD9D9D9"/>
        <bgColor rgb="FFFBE3D6"/>
      </patternFill>
    </fill>
    <fill>
      <patternFill patternType="solid">
        <fgColor theme="5" tint="0.7999000000000001"/>
        <bgColor rgb="FFFCE4D6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/>
      <right style="thin"/>
      <top style="thin"/>
      <bottom style="thin"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</cellStyleXfs>
  <cellXfs count="11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bottom"/>
    </xf>
    <xf numFmtId="0" fontId="14" fillId="3" borderId="1" applyAlignment="1" pivotButton="0" quotePrefix="0" xfId="0">
      <alignment horizontal="general" vertical="center" wrapText="1"/>
    </xf>
    <xf numFmtId="0" fontId="15" fillId="3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general" vertical="center" wrapText="1"/>
    </xf>
    <xf numFmtId="0" fontId="15" fillId="4" borderId="1" applyAlignment="1" pivotButton="0" quotePrefix="0" xfId="0">
      <alignment horizontal="general" vertical="center" wrapText="1"/>
    </xf>
    <xf numFmtId="0" fontId="17" fillId="3" borderId="1" applyAlignment="1" pivotButton="0" quotePrefix="0" xfId="0">
      <alignment horizontal="general" vertical="center" wrapText="1"/>
    </xf>
    <xf numFmtId="0" fontId="17" fillId="0" borderId="1" applyAlignment="1" pivotButton="0" quotePrefix="0" xfId="0">
      <alignment horizontal="general" vertical="center" wrapText="1"/>
    </xf>
    <xf numFmtId="0" fontId="4" fillId="4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general" vertical="center" wrapText="1"/>
    </xf>
    <xf numFmtId="0" fontId="4" fillId="3" borderId="1" applyAlignment="1" pivotButton="0" quotePrefix="0" xfId="0">
      <alignment horizontal="general" vertical="center" wrapText="1"/>
    </xf>
    <xf numFmtId="0" fontId="18" fillId="0" borderId="1" applyAlignment="1" pivotButton="0" quotePrefix="0" xfId="0">
      <alignment horizontal="general" vertical="center" wrapText="1"/>
    </xf>
    <xf numFmtId="0" fontId="15" fillId="0" borderId="1" applyAlignment="1" pivotButton="0" quotePrefix="0" xfId="0">
      <alignment horizontal="general" vertical="center" wrapText="1"/>
    </xf>
    <xf numFmtId="0" fontId="18" fillId="3" borderId="1" applyAlignment="1" pivotButton="0" quotePrefix="0" xfId="0">
      <alignment horizontal="general" vertical="center" wrapText="1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general" vertical="center" wrapText="1"/>
    </xf>
    <xf numFmtId="0" fontId="17" fillId="5" borderId="1" applyAlignment="1" pivotButton="0" quotePrefix="0" xfId="0">
      <alignment horizontal="general" vertical="center" wrapText="1"/>
    </xf>
    <xf numFmtId="0" fontId="4" fillId="5" borderId="1" applyAlignment="1" pivotButton="0" quotePrefix="0" xfId="0">
      <alignment horizontal="general" vertical="center" wrapText="1"/>
    </xf>
    <xf numFmtId="0" fontId="4" fillId="2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center" wrapText="1"/>
    </xf>
    <xf numFmtId="0" fontId="17" fillId="6" borderId="1" applyAlignment="1" pivotButton="0" quotePrefix="0" xfId="0">
      <alignment horizontal="general" vertical="center" wrapText="1"/>
    </xf>
    <xf numFmtId="0" fontId="4" fillId="6" borderId="1" applyAlignment="1" pivotButton="0" quotePrefix="0" xfId="0">
      <alignment horizontal="general" vertical="center" wrapText="1"/>
    </xf>
    <xf numFmtId="0" fontId="4" fillId="6" borderId="0" applyAlignment="1" pivotButton="0" quotePrefix="0" xfId="0">
      <alignment horizontal="general" vertical="bottom"/>
    </xf>
    <xf numFmtId="0" fontId="19" fillId="2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0" fontId="11" fillId="2" borderId="4" applyAlignment="1" pivotButton="0" quotePrefix="0" xfId="0">
      <alignment horizontal="center" vertical="center" wrapText="1"/>
    </xf>
    <xf numFmtId="0" fontId="19" fillId="2" borderId="4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general" vertical="center" wrapText="1"/>
    </xf>
    <xf numFmtId="0" fontId="15" fillId="3" borderId="4" applyAlignment="1" pivotButton="0" quotePrefix="0" xfId="0">
      <alignment horizontal="general" vertical="center" wrapText="1"/>
    </xf>
    <xf numFmtId="0" fontId="15" fillId="4" borderId="4" applyAlignment="1" pivotButton="0" quotePrefix="0" xfId="0">
      <alignment horizontal="general" vertical="center" wrapText="1"/>
    </xf>
    <xf numFmtId="0" fontId="21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/>
    </xf>
    <xf numFmtId="0" fontId="23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0" fontId="13" fillId="2" borderId="4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general" vertical="center" wrapText="1"/>
    </xf>
    <xf numFmtId="164" fontId="4" fillId="0" borderId="4" applyAlignment="1" pivotButton="0" quotePrefix="0" xfId="0">
      <alignment horizontal="general" vertical="center" wrapText="1"/>
    </xf>
    <xf numFmtId="4" fontId="4" fillId="5" borderId="4" applyAlignment="1" pivotButton="0" quotePrefix="0" xfId="0">
      <alignment horizontal="general" vertical="center" wrapText="1"/>
    </xf>
    <xf numFmtId="4" fontId="4" fillId="4" borderId="4" applyAlignment="1" pivotButton="0" quotePrefix="0" xfId="0">
      <alignment horizontal="general" vertical="center" wrapText="1"/>
    </xf>
    <xf numFmtId="2" fontId="4" fillId="0" borderId="4" applyAlignment="1" pivotButton="0" quotePrefix="0" xfId="0">
      <alignment horizontal="general" vertical="center" wrapText="1"/>
    </xf>
    <xf numFmtId="165" fontId="4" fillId="5" borderId="4" applyAlignment="1" pivotButton="0" quotePrefix="0" xfId="0">
      <alignment horizontal="general" vertical="center" wrapText="1"/>
    </xf>
    <xf numFmtId="165" fontId="4" fillId="4" borderId="4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14" fillId="3" borderId="1" applyAlignment="1" pivotButton="0" quotePrefix="0" xfId="0">
      <alignment horizontal="general" vertical="center" wrapText="1"/>
    </xf>
    <xf numFmtId="0" fontId="15" fillId="3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general" vertical="center" wrapText="1"/>
    </xf>
    <xf numFmtId="0" fontId="15" fillId="4" borderId="1" applyAlignment="1" pivotButton="0" quotePrefix="0" xfId="0">
      <alignment horizontal="general" vertical="center" wrapText="1"/>
    </xf>
    <xf numFmtId="0" fontId="17" fillId="3" borderId="1" applyAlignment="1" pivotButton="0" quotePrefix="0" xfId="0">
      <alignment horizontal="general" vertical="center" wrapText="1"/>
    </xf>
    <xf numFmtId="0" fontId="17" fillId="0" borderId="1" applyAlignment="1" pivotButton="0" quotePrefix="0" xfId="0">
      <alignment horizontal="general" vertical="center" wrapText="1"/>
    </xf>
    <xf numFmtId="0" fontId="4" fillId="4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general" vertical="center" wrapText="1"/>
    </xf>
    <xf numFmtId="0" fontId="4" fillId="3" borderId="1" applyAlignment="1" pivotButton="0" quotePrefix="0" xfId="0">
      <alignment horizontal="general" vertical="center" wrapText="1"/>
    </xf>
    <xf numFmtId="0" fontId="18" fillId="0" borderId="1" applyAlignment="1" pivotButton="0" quotePrefix="0" xfId="0">
      <alignment horizontal="general" vertical="center" wrapText="1"/>
    </xf>
    <xf numFmtId="0" fontId="15" fillId="0" borderId="1" applyAlignment="1" pivotButton="0" quotePrefix="0" xfId="0">
      <alignment horizontal="general" vertical="center" wrapText="1"/>
    </xf>
    <xf numFmtId="0" fontId="18" fillId="3" borderId="1" applyAlignment="1" pivotButton="0" quotePrefix="0" xfId="0">
      <alignment horizontal="general" vertical="center" wrapText="1"/>
    </xf>
    <xf numFmtId="0" fontId="11" fillId="2" borderId="2" applyAlignment="1" pivotButton="0" quotePrefix="0" xfId="0">
      <alignment horizontal="center" vertical="center" wrapText="1"/>
    </xf>
    <xf numFmtId="0" fontId="0" fillId="0" borderId="11" pivotButton="0" quotePrefix="0" xfId="0"/>
    <xf numFmtId="0" fontId="11" fillId="2" borderId="3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general" vertical="center" wrapText="1"/>
    </xf>
    <xf numFmtId="0" fontId="17" fillId="5" borderId="1" applyAlignment="1" pivotButton="0" quotePrefix="0" xfId="0">
      <alignment horizontal="general" vertical="center" wrapText="1"/>
    </xf>
    <xf numFmtId="0" fontId="4" fillId="5" borderId="1" applyAlignment="1" pivotButton="0" quotePrefix="0" xfId="0">
      <alignment horizontal="general" vertical="center" wrapText="1"/>
    </xf>
    <xf numFmtId="0" fontId="4" fillId="2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center" wrapText="1"/>
    </xf>
    <xf numFmtId="0" fontId="17" fillId="6" borderId="1" applyAlignment="1" pivotButton="0" quotePrefix="0" xfId="0">
      <alignment horizontal="general" vertical="center" wrapText="1"/>
    </xf>
    <xf numFmtId="0" fontId="4" fillId="6" borderId="1" applyAlignment="1" pivotButton="0" quotePrefix="0" xfId="0">
      <alignment horizontal="general" vertical="center" wrapText="1"/>
    </xf>
    <xf numFmtId="0" fontId="4" fillId="6" borderId="0" applyAlignment="1" pivotButton="0" quotePrefix="0" xfId="0">
      <alignment horizontal="general" vertical="bottom"/>
    </xf>
    <xf numFmtId="0" fontId="19" fillId="2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0" fontId="11" fillId="2" borderId="4" applyAlignment="1" pivotButton="0" quotePrefix="0" xfId="0">
      <alignment horizontal="center" vertical="center" wrapText="1"/>
    </xf>
    <xf numFmtId="0" fontId="19" fillId="2" borderId="4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general" vertical="center" wrapText="1"/>
    </xf>
    <xf numFmtId="0" fontId="15" fillId="3" borderId="4" applyAlignment="1" pivotButton="0" quotePrefix="0" xfId="0">
      <alignment horizontal="general" vertical="center" wrapText="1"/>
    </xf>
    <xf numFmtId="0" fontId="15" fillId="4" borderId="4" applyAlignment="1" pivotButton="0" quotePrefix="0" xfId="0">
      <alignment horizontal="general" vertical="center" wrapText="1"/>
    </xf>
    <xf numFmtId="0" fontId="21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 wrapText="1"/>
    </xf>
    <xf numFmtId="0" fontId="23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0" fontId="13" fillId="2" borderId="4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general" vertical="center" wrapText="1"/>
    </xf>
    <xf numFmtId="164" fontId="4" fillId="0" borderId="4" applyAlignment="1" pivotButton="0" quotePrefix="0" xfId="0">
      <alignment horizontal="general" vertical="center" wrapText="1"/>
    </xf>
    <xf numFmtId="4" fontId="4" fillId="5" borderId="4" applyAlignment="1" pivotButton="0" quotePrefix="0" xfId="0">
      <alignment horizontal="general" vertical="center" wrapText="1"/>
    </xf>
    <xf numFmtId="4" fontId="4" fillId="4" borderId="4" applyAlignment="1" pivotButton="0" quotePrefix="0" xfId="0">
      <alignment horizontal="general" vertical="center" wrapText="1"/>
    </xf>
    <xf numFmtId="2" fontId="4" fillId="0" borderId="4" applyAlignment="1" pivotButton="0" quotePrefix="0" xfId="0">
      <alignment horizontal="general" vertical="center" wrapText="1"/>
    </xf>
    <xf numFmtId="165" fontId="4" fillId="5" borderId="4" applyAlignment="1" pivotButton="0" quotePrefix="0" xfId="0">
      <alignment horizontal="general" vertical="center" wrapText="1"/>
    </xf>
    <xf numFmtId="165" fontId="4" fillId="4" borderId="4" applyAlignment="1" pivotButton="0" quotePrefix="0" xfId="0">
      <alignment horizontal="general" vertical="center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표준" xfId="6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D6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5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59" min="2" max="2"/>
    <col width="16" customWidth="1" style="59" min="3" max="3"/>
    <col width="18" customWidth="1" style="59" min="4" max="4"/>
    <col width="24" customWidth="1" style="59" min="5" max="5"/>
    <col width="16" customWidth="1" style="59" min="6" max="8"/>
    <col width="8" customWidth="1" style="59" min="9" max="20"/>
    <col width="18" customWidth="1" style="59" min="21" max="21"/>
    <col width="20.75" customWidth="1" style="59" min="22" max="22"/>
    <col width="16" customWidth="1" style="59" min="23" max="23"/>
  </cols>
  <sheetData>
    <row r="1"/>
    <row r="2" ht="20.25" customHeight="1" s="60">
      <c r="B2" s="61" t="inlineStr">
        <is>
          <t>C1. 구매품 및 서비스</t>
        </is>
      </c>
    </row>
    <row r="3"/>
    <row r="4" ht="14.25" customHeight="1" s="60">
      <c r="B4" s="62" t="inlineStr">
        <is>
          <t>카테고리 정의</t>
        </is>
      </c>
    </row>
    <row r="5" ht="14.25" customHeight="1" s="60">
      <c r="B5" s="63" t="inlineStr">
        <is>
          <t>- 보고년도에 회사가 구매한 원재료, 부자재, 포장재, 소모품, 사무용품, 외주가공, 서비스/용역 등에서 발생하는 온실가스 배출량</t>
        </is>
      </c>
    </row>
    <row r="6" ht="14.25" customHeight="1" s="60">
      <c r="B6" s="63" t="inlineStr">
        <is>
          <t>- 자산으로 회계 처리된 설비, 장비, 차량, 건물 등은 C2 자본재에 작성</t>
        </is>
      </c>
    </row>
    <row r="7"/>
    <row r="8"/>
    <row r="9" ht="14.25" customHeight="1" s="60">
      <c r="B9" s="62" t="inlineStr">
        <is>
          <t>작성 기준</t>
        </is>
      </c>
    </row>
    <row r="10" ht="14.25" customHeight="1" s="60">
      <c r="B10" s="63" t="inlineStr">
        <is>
          <t>1) 온실가스 산정 식: Σ(구매금액 × 품목/서비스별 배출계수)</t>
        </is>
      </c>
    </row>
    <row r="11" ht="14.25" customHeight="1" s="60">
      <c r="B11" s="63" t="inlineStr">
        <is>
          <t>- 배출계수는 US EPA Supply Chain Greenhouse Gas Emission Factors v1.3 등 지출기반 배출계수 활용</t>
        </is>
      </c>
    </row>
    <row r="12" ht="14.25" customHeight="1" s="60">
      <c r="B12" s="63" t="inlineStr">
        <is>
          <t>2) 품목군은 최종 배출계수 매핑 분류로 사용하므로 가장 가까운 항목을 선택</t>
        </is>
      </c>
    </row>
    <row r="13" ht="14.25" customHeight="1" s="60">
      <c r="B13" s="63" t="inlineStr">
        <is>
          <t>3) 상세 품목명/서비스명은 ERP 품목명, 세금계산서, 거래명세서 기준으로 작성</t>
        </is>
      </c>
    </row>
    <row r="14"/>
    <row r="15" ht="14.25" customHeight="1" s="60">
      <c r="B15" s="64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6" ht="14.25" customHeight="1" s="60">
      <c r="B16" s="64" t="inlineStr">
        <is>
          <t>※ 주황색으로 표시된 필수 입력칸은 반드시 작성해야 합니다.</t>
        </is>
      </c>
    </row>
    <row r="17" ht="15" customHeight="1" s="60">
      <c r="B17" s="65" t="inlineStr">
        <is>
          <t>*국가</t>
        </is>
      </c>
      <c r="C17" s="65" t="inlineStr">
        <is>
          <t>*사업장</t>
        </is>
      </c>
      <c r="D17" s="65" t="inlineStr">
        <is>
          <t>*품목군</t>
        </is>
      </c>
      <c r="E17" s="65" t="inlineStr">
        <is>
          <t>*상세 품목명/서비스명</t>
        </is>
      </c>
      <c r="F17" s="66" t="inlineStr">
        <is>
          <t>계정과목(선택)</t>
        </is>
      </c>
      <c r="G17" s="66" t="inlineStr">
        <is>
          <t>거래처명(선택)</t>
        </is>
      </c>
      <c r="H17" s="67" t="inlineStr">
        <is>
          <t>연간 입력</t>
        </is>
      </c>
      <c r="I17" s="67" t="inlineStr">
        <is>
          <t>월별 지출금액</t>
        </is>
      </c>
      <c r="J17" s="68" t="n"/>
      <c r="K17" s="68" t="n"/>
      <c r="L17" s="68" t="n"/>
      <c r="M17" s="68" t="n"/>
      <c r="N17" s="68" t="n"/>
      <c r="O17" s="68" t="n"/>
      <c r="P17" s="68" t="n"/>
      <c r="Q17" s="68" t="n"/>
      <c r="R17" s="68" t="n"/>
      <c r="S17" s="68" t="n"/>
      <c r="T17" s="69" t="n"/>
      <c r="U17" s="66" t="inlineStr">
        <is>
          <t>비고(선택)</t>
        </is>
      </c>
      <c r="V17" s="66" t="inlineStr">
        <is>
          <t>배출계수(kgCO2e/원)</t>
        </is>
      </c>
      <c r="W17" s="66" t="inlineStr">
        <is>
          <t>배출량(tCO2e)</t>
        </is>
      </c>
    </row>
    <row r="18" ht="14.25" customHeight="1" s="60">
      <c r="B18" s="70" t="n"/>
      <c r="C18" s="70" t="n"/>
      <c r="D18" s="70" t="n"/>
      <c r="E18" s="70" t="n"/>
      <c r="F18" s="70" t="n"/>
      <c r="G18" s="70" t="n"/>
      <c r="H18" s="66" t="inlineStr">
        <is>
          <t>연간지출금액(원)</t>
        </is>
      </c>
      <c r="I18" s="65" t="inlineStr">
        <is>
          <t>1월</t>
        </is>
      </c>
      <c r="J18" s="65" t="inlineStr">
        <is>
          <t>2월</t>
        </is>
      </c>
      <c r="K18" s="65" t="inlineStr">
        <is>
          <t>3월</t>
        </is>
      </c>
      <c r="L18" s="65" t="inlineStr">
        <is>
          <t>4월</t>
        </is>
      </c>
      <c r="M18" s="65" t="inlineStr">
        <is>
          <t>5월</t>
        </is>
      </c>
      <c r="N18" s="65" t="inlineStr">
        <is>
          <t>6월</t>
        </is>
      </c>
      <c r="O18" s="65" t="inlineStr">
        <is>
          <t>7월</t>
        </is>
      </c>
      <c r="P18" s="65" t="inlineStr">
        <is>
          <t>8월</t>
        </is>
      </c>
      <c r="Q18" s="65" t="inlineStr">
        <is>
          <t>9월</t>
        </is>
      </c>
      <c r="R18" s="65" t="inlineStr">
        <is>
          <t>10월</t>
        </is>
      </c>
      <c r="S18" s="65" t="inlineStr">
        <is>
          <t>11월</t>
        </is>
      </c>
      <c r="T18" s="65" t="inlineStr">
        <is>
          <t>12월</t>
        </is>
      </c>
      <c r="U18" s="70" t="n"/>
      <c r="V18" s="70" t="n"/>
      <c r="W18" s="70" t="n"/>
    </row>
    <row r="19" ht="32.25" customHeight="1" s="60">
      <c r="B19" s="71" t="inlineStr">
        <is>
          <t>대한민국</t>
        </is>
      </c>
      <c r="C19" s="71" t="inlineStr">
        <is>
          <t>본사</t>
        </is>
      </c>
      <c r="D19" s="71" t="inlineStr">
        <is>
          <t>종이/인쇄물</t>
        </is>
      </c>
      <c r="E19" s="72" t="inlineStr">
        <is>
          <t>A4 복사용지</t>
        </is>
      </c>
      <c r="F19" s="73" t="inlineStr">
        <is>
          <t>소모품비</t>
        </is>
      </c>
      <c r="G19" s="73" t="inlineStr">
        <is>
          <t>문구업체</t>
        </is>
      </c>
      <c r="H19" s="71" t="n">
        <v>1200000</v>
      </c>
      <c r="I19" s="71" t="n"/>
      <c r="J19" s="71" t="n"/>
      <c r="K19" s="71" t="n"/>
      <c r="L19" s="71" t="n"/>
      <c r="M19" s="71" t="n"/>
      <c r="N19" s="71" t="n"/>
      <c r="O19" s="71" t="n"/>
      <c r="P19" s="71" t="n"/>
      <c r="Q19" s="71" t="n"/>
      <c r="R19" s="71" t="n"/>
      <c r="S19" s="71" t="n"/>
      <c r="T19" s="71" t="n"/>
      <c r="U19" s="73" t="inlineStr">
        <is>
          <t>사무실 복사용지 연간 구매액</t>
        </is>
      </c>
      <c r="V19" s="74" t="n">
        <v>0.0001000694927032661</v>
      </c>
      <c r="W19" s="74" t="n">
        <v>0.1200833912439193</v>
      </c>
    </row>
    <row r="20" ht="32.25" customHeight="1" s="60">
      <c r="B20" s="75" t="inlineStr">
        <is>
          <t>대한민국</t>
        </is>
      </c>
      <c r="C20" s="75" t="inlineStr">
        <is>
          <t>평택공장</t>
        </is>
      </c>
      <c r="D20" s="75" t="inlineStr">
        <is>
          <t>포장재</t>
        </is>
      </c>
      <c r="E20" s="75" t="inlineStr">
        <is>
          <t>골판지 박스</t>
        </is>
      </c>
      <c r="F20" s="76" t="inlineStr">
        <is>
          <t>포장비</t>
        </is>
      </c>
      <c r="G20" s="76" t="inlineStr">
        <is>
          <t>포장재업체</t>
        </is>
      </c>
      <c r="H20" s="75" t="n"/>
      <c r="I20" s="75" t="n">
        <v>350000</v>
      </c>
      <c r="J20" s="75" t="n">
        <v>350000</v>
      </c>
      <c r="K20" s="75" t="n">
        <v>350000</v>
      </c>
      <c r="L20" s="75" t="n">
        <v>350000</v>
      </c>
      <c r="M20" s="75" t="n">
        <v>350000</v>
      </c>
      <c r="N20" s="75" t="n">
        <v>350000</v>
      </c>
      <c r="O20" s="75" t="n">
        <v>350000</v>
      </c>
      <c r="P20" s="75" t="n">
        <v>350000</v>
      </c>
      <c r="Q20" s="75" t="n">
        <v>350000</v>
      </c>
      <c r="R20" s="75" t="n">
        <v>350000</v>
      </c>
      <c r="S20" s="75" t="n">
        <v>350000</v>
      </c>
      <c r="T20" s="75" t="n">
        <v>350000</v>
      </c>
      <c r="U20" s="76" t="inlineStr">
        <is>
          <t>제품 출하용 포장재 월별 구매액</t>
        </is>
      </c>
      <c r="V20" s="77" t="n">
        <v>0.0003328700486448923</v>
      </c>
      <c r="W20" s="77" t="n">
        <v>1.398054204308548</v>
      </c>
    </row>
    <row r="21" ht="16.5" customHeight="1" s="60">
      <c r="B21" s="75" t="inlineStr">
        <is>
          <t>대한민국</t>
        </is>
      </c>
      <c r="C21" s="75" t="inlineStr">
        <is>
          <t>부산지사</t>
        </is>
      </c>
      <c r="D21" s="75" t="inlineStr">
        <is>
          <t>전문서비스</t>
        </is>
      </c>
      <c r="E21" s="75" t="inlineStr">
        <is>
          <t>시스템 유지보수 용역</t>
        </is>
      </c>
      <c r="F21" s="76" t="inlineStr">
        <is>
          <t>지급수수료</t>
        </is>
      </c>
      <c r="G21" s="78" t="inlineStr">
        <is>
          <t>IT서비스업체</t>
        </is>
      </c>
      <c r="H21" s="75" t="n">
        <v>18000000</v>
      </c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8" t="inlineStr">
        <is>
          <t>ERP 유지보수 용역비</t>
        </is>
      </c>
      <c r="V21" s="77" t="n">
        <v>5.837387074357193e-05</v>
      </c>
      <c r="W21" s="77" t="n">
        <v>1.050729673384295</v>
      </c>
    </row>
    <row r="22" ht="32.25" customHeight="1" s="60">
      <c r="B22" s="75" t="inlineStr">
        <is>
          <t>베트남</t>
        </is>
      </c>
      <c r="C22" s="75" t="inlineStr">
        <is>
          <t>베트남공장</t>
        </is>
      </c>
      <c r="D22" s="75" t="inlineStr">
        <is>
          <t>원재료</t>
        </is>
      </c>
      <c r="E22" s="75" t="inlineStr">
        <is>
          <t>플라스틱 수지</t>
        </is>
      </c>
      <c r="F22" s="76" t="inlineStr">
        <is>
          <t>원재료비</t>
        </is>
      </c>
      <c r="G22" s="76" t="inlineStr">
        <is>
          <t>현지 공급사</t>
        </is>
      </c>
      <c r="H22" s="75" t="n"/>
      <c r="I22" s="75" t="n">
        <v>7200000</v>
      </c>
      <c r="J22" s="75" t="n">
        <v>7200000</v>
      </c>
      <c r="K22" s="75" t="n">
        <v>7200000</v>
      </c>
      <c r="L22" s="75" t="n">
        <v>7200000</v>
      </c>
      <c r="M22" s="75" t="n">
        <v>7200000</v>
      </c>
      <c r="N22" s="75" t="n">
        <v>7200000</v>
      </c>
      <c r="O22" s="75" t="n">
        <v>7200000</v>
      </c>
      <c r="P22" s="75" t="n">
        <v>7200000</v>
      </c>
      <c r="Q22" s="75" t="n">
        <v>7200000</v>
      </c>
      <c r="R22" s="75" t="n">
        <v>7200000</v>
      </c>
      <c r="S22" s="75" t="n">
        <v>7200000</v>
      </c>
      <c r="T22" s="75" t="n">
        <v>7200000</v>
      </c>
      <c r="U22" s="76" t="inlineStr">
        <is>
          <t>해외공장 원재료 월별 구매액</t>
        </is>
      </c>
      <c r="V22" s="77" t="n">
        <v>0.0007261987491313411</v>
      </c>
      <c r="W22" s="77" t="n">
        <v>62.74357192494787</v>
      </c>
    </row>
    <row r="23" ht="32.25" customHeight="1" s="60">
      <c r="B23" s="75" t="inlineStr">
        <is>
          <t>대한민국</t>
        </is>
      </c>
      <c r="C23" s="75" t="inlineStr">
        <is>
          <t>대구공장</t>
        </is>
      </c>
      <c r="D23" s="75" t="inlineStr">
        <is>
          <t>원재료</t>
        </is>
      </c>
      <c r="E23" s="75" t="inlineStr">
        <is>
          <t>알루미늄 판재</t>
        </is>
      </c>
      <c r="F23" s="76" t="inlineStr">
        <is>
          <t>원재료비</t>
        </is>
      </c>
      <c r="G23" s="76" t="inlineStr">
        <is>
          <t>대구금속상사</t>
        </is>
      </c>
      <c r="H23" s="75" t="n">
        <v>45000000</v>
      </c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6" t="inlineStr">
        <is>
          <t>프레스 가공용 원자재</t>
        </is>
      </c>
      <c r="V23" s="77" t="n">
        <v>0.0003425990271021543</v>
      </c>
      <c r="W23" s="77" t="n">
        <v>15.41695621959694</v>
      </c>
    </row>
    <row r="24" ht="32.25" customHeight="1" s="60">
      <c r="B24" s="75" t="inlineStr">
        <is>
          <t>대한민국</t>
        </is>
      </c>
      <c r="C24" s="75" t="inlineStr">
        <is>
          <t>본사</t>
        </is>
      </c>
      <c r="D24" s="79" t="inlineStr">
        <is>
          <t>IT서비스</t>
        </is>
      </c>
      <c r="E24" s="75" t="inlineStr">
        <is>
          <t>클라우드 서버 이용료</t>
        </is>
      </c>
      <c r="F24" s="76" t="inlineStr">
        <is>
          <t>지급수수료</t>
        </is>
      </c>
      <c r="G24" s="78" t="inlineStr">
        <is>
          <t>AWS코리아</t>
        </is>
      </c>
      <c r="H24" s="75" t="n"/>
      <c r="I24" s="75" t="n">
        <v>2800000</v>
      </c>
      <c r="J24" s="75" t="n">
        <v>2800000</v>
      </c>
      <c r="K24" s="75" t="n">
        <v>2800000</v>
      </c>
      <c r="L24" s="75" t="n">
        <v>2800000</v>
      </c>
      <c r="M24" s="75" t="n">
        <v>2800000</v>
      </c>
      <c r="N24" s="75" t="n">
        <v>2800000</v>
      </c>
      <c r="O24" s="75" t="n">
        <v>2800000</v>
      </c>
      <c r="P24" s="75" t="n">
        <v>2800000</v>
      </c>
      <c r="Q24" s="75" t="n">
        <v>2800000</v>
      </c>
      <c r="R24" s="75" t="n">
        <v>2800000</v>
      </c>
      <c r="S24" s="75" t="n">
        <v>2800000</v>
      </c>
      <c r="T24" s="75" t="n">
        <v>2800000</v>
      </c>
      <c r="U24" s="76" t="inlineStr">
        <is>
          <t>클라우드 인프라 월 구독료</t>
        </is>
      </c>
      <c r="V24" s="77" t="n">
        <v>5.837387074357193e-05</v>
      </c>
      <c r="W24" s="77" t="n">
        <v>1.961362056984017</v>
      </c>
    </row>
    <row r="25" ht="16.5" customHeight="1" s="60">
      <c r="B25" s="75" t="inlineStr">
        <is>
          <t>대한민국</t>
        </is>
      </c>
      <c r="C25" s="75" t="inlineStr">
        <is>
          <t>물류센터</t>
        </is>
      </c>
      <c r="D25" s="75" t="inlineStr">
        <is>
          <t>소모품</t>
        </is>
      </c>
      <c r="E25" s="75" t="inlineStr">
        <is>
          <t>지게차 타이어</t>
        </is>
      </c>
      <c r="F25" s="76" t="inlineStr">
        <is>
          <t>수선비</t>
        </is>
      </c>
      <c r="G25" s="76" t="inlineStr">
        <is>
          <t>산업자재상사</t>
        </is>
      </c>
      <c r="H25" s="75" t="n">
        <v>6200000</v>
      </c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6" t="inlineStr">
        <is>
          <t>지게차 타이어 교체</t>
        </is>
      </c>
      <c r="V25" s="77" t="n">
        <v>0.0001779013203613621</v>
      </c>
      <c r="W25" s="77" t="n">
        <v>1.102988186240445</v>
      </c>
    </row>
    <row r="26" ht="32.25" customHeight="1" s="60">
      <c r="B26" s="75" t="inlineStr">
        <is>
          <t>중국</t>
        </is>
      </c>
      <c r="C26" s="75" t="inlineStr">
        <is>
          <t>상하이공장</t>
        </is>
      </c>
      <c r="D26" s="75" t="inlineStr">
        <is>
          <t>원재료</t>
        </is>
      </c>
      <c r="E26" s="75" t="inlineStr">
        <is>
          <t>전자부품 커넥터</t>
        </is>
      </c>
      <c r="F26" s="76" t="inlineStr">
        <is>
          <t>원재료비</t>
        </is>
      </c>
      <c r="G26" s="76" t="inlineStr">
        <is>
          <t>상하이전자부품</t>
        </is>
      </c>
      <c r="H26" s="75" t="n"/>
      <c r="I26" s="75" t="n">
        <v>5100000</v>
      </c>
      <c r="J26" s="75" t="n">
        <v>5100000</v>
      </c>
      <c r="K26" s="75" t="n">
        <v>5100000</v>
      </c>
      <c r="L26" s="75" t="n">
        <v>5100000</v>
      </c>
      <c r="M26" s="75" t="n">
        <v>5100000</v>
      </c>
      <c r="N26" s="75" t="n">
        <v>5100000</v>
      </c>
      <c r="O26" s="75" t="n">
        <v>5100000</v>
      </c>
      <c r="P26" s="75" t="n">
        <v>5100000</v>
      </c>
      <c r="Q26" s="75" t="n">
        <v>5100000</v>
      </c>
      <c r="R26" s="75" t="n">
        <v>5100000</v>
      </c>
      <c r="S26" s="75" t="n">
        <v>5100000</v>
      </c>
      <c r="T26" s="75" t="n">
        <v>5100000</v>
      </c>
      <c r="U26" s="78" t="inlineStr">
        <is>
          <t>PCB 조립용 커넥터 월별 구매</t>
        </is>
      </c>
      <c r="V26" s="77" t="n">
        <v>4.030576789437109e-05</v>
      </c>
      <c r="W26" s="77" t="n">
        <v>2.466712995135511</v>
      </c>
    </row>
    <row r="27" ht="32.25" customHeight="1" s="60">
      <c r="B27" s="75" t="inlineStr">
        <is>
          <t>대한민국</t>
        </is>
      </c>
      <c r="C27" s="75" t="inlineStr">
        <is>
          <t>부산지사</t>
        </is>
      </c>
      <c r="D27" s="75" t="inlineStr">
        <is>
          <t>전문서비스</t>
        </is>
      </c>
      <c r="E27" s="75" t="inlineStr">
        <is>
          <t>회계감사 용역</t>
        </is>
      </c>
      <c r="F27" s="76" t="inlineStr">
        <is>
          <t>지급수수료</t>
        </is>
      </c>
      <c r="G27" s="76" t="inlineStr">
        <is>
          <t>한영회계법인</t>
        </is>
      </c>
      <c r="H27" s="75" t="n">
        <v>25000000</v>
      </c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6" t="inlineStr">
        <is>
          <t>연간 외부감사 수수료</t>
        </is>
      </c>
      <c r="V27" s="77" t="n">
        <v>5.42043085476025e-05</v>
      </c>
      <c r="W27" s="77" t="n">
        <v>1.355107713690062</v>
      </c>
    </row>
    <row r="28" ht="32.25" customHeight="1" s="60">
      <c r="B28" s="75" t="inlineStr">
        <is>
          <t>대한민국</t>
        </is>
      </c>
      <c r="C28" s="75" t="inlineStr">
        <is>
          <t>본사</t>
        </is>
      </c>
      <c r="D28" s="75" t="inlineStr">
        <is>
          <t>사무용품</t>
        </is>
      </c>
      <c r="E28" s="75" t="inlineStr">
        <is>
          <t>사무가구 일체</t>
        </is>
      </c>
      <c r="F28" s="76" t="inlineStr">
        <is>
          <t>소모품비</t>
        </is>
      </c>
      <c r="G28" s="76" t="inlineStr">
        <is>
          <t>한샘오피스</t>
        </is>
      </c>
      <c r="H28" s="75" t="n">
        <v>8300000</v>
      </c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6" t="inlineStr">
        <is>
          <t>신사옥 사무가구 구매</t>
        </is>
      </c>
      <c r="V28" s="77" t="n">
        <v>5.559416261292564e-05</v>
      </c>
      <c r="W28" s="77" t="n">
        <v>0.4614315496872828</v>
      </c>
    </row>
    <row r="29" ht="16.5" customHeight="1" s="60">
      <c r="B29" s="75" t="inlineStr">
        <is>
          <t>베트남</t>
        </is>
      </c>
      <c r="C29" s="75" t="inlineStr">
        <is>
          <t>베트남공장</t>
        </is>
      </c>
      <c r="D29" s="75" t="inlineStr">
        <is>
          <t>포장재</t>
        </is>
      </c>
      <c r="E29" s="75" t="inlineStr">
        <is>
          <t>종이박스</t>
        </is>
      </c>
      <c r="F29" s="76" t="inlineStr">
        <is>
          <t>포장비</t>
        </is>
      </c>
      <c r="G29" s="76" t="inlineStr">
        <is>
          <t>하노이포장산업</t>
        </is>
      </c>
      <c r="H29" s="75" t="n"/>
      <c r="I29" s="75" t="n">
        <v>2400000</v>
      </c>
      <c r="J29" s="75" t="n">
        <v>2400000</v>
      </c>
      <c r="K29" s="75" t="n">
        <v>2400000</v>
      </c>
      <c r="L29" s="75" t="n">
        <v>2400000</v>
      </c>
      <c r="M29" s="75" t="n">
        <v>2400000</v>
      </c>
      <c r="N29" s="75" t="n">
        <v>2400000</v>
      </c>
      <c r="O29" s="75" t="n">
        <v>2400000</v>
      </c>
      <c r="P29" s="75" t="n">
        <v>2400000</v>
      </c>
      <c r="Q29" s="75" t="n">
        <v>2400000</v>
      </c>
      <c r="R29" s="75" t="n">
        <v>2400000</v>
      </c>
      <c r="S29" s="75" t="n">
        <v>2400000</v>
      </c>
      <c r="T29" s="75" t="n">
        <v>2400000</v>
      </c>
      <c r="U29" s="76" t="inlineStr">
        <is>
          <t>완제품 포장용 박스</t>
        </is>
      </c>
      <c r="V29" s="77" t="n">
        <v>0.0003328700486448923</v>
      </c>
      <c r="W29" s="77" t="n">
        <v>9.586657400972898</v>
      </c>
    </row>
    <row r="30" ht="32.25" customHeight="1" s="60">
      <c r="B30" s="75" t="inlineStr">
        <is>
          <t>대한민국</t>
        </is>
      </c>
      <c r="C30" s="75" t="inlineStr">
        <is>
          <t>평택공장</t>
        </is>
      </c>
      <c r="D30" s="75" t="inlineStr">
        <is>
          <t>화학물질</t>
        </is>
      </c>
      <c r="E30" s="75" t="inlineStr">
        <is>
          <t>세정제</t>
        </is>
      </c>
      <c r="F30" s="76" t="inlineStr">
        <is>
          <t>원재료비</t>
        </is>
      </c>
      <c r="G30" s="76" t="inlineStr">
        <is>
          <t>대한화학</t>
        </is>
      </c>
      <c r="H30" s="75" t="n">
        <v>9600000</v>
      </c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6" t="inlineStr">
        <is>
          <t>생산라인 부품 세정용</t>
        </is>
      </c>
      <c r="V30" s="77" t="n">
        <v>0.0007018763029881862</v>
      </c>
      <c r="W30" s="77" t="n">
        <v>6.738012508686588</v>
      </c>
    </row>
    <row r="31" ht="14.25" customHeight="1" s="60">
      <c r="B31" s="75" t="inlineStr">
        <is>
          <t>대한민국</t>
        </is>
      </c>
      <c r="C31" s="75" t="inlineStr">
        <is>
          <t xml:space="preserve">평택공장 </t>
        </is>
      </c>
      <c r="D31" s="75" t="inlineStr">
        <is>
          <t>원재료</t>
        </is>
      </c>
      <c r="E31" s="75" t="inlineStr">
        <is>
          <t>SUS304 스텐레스 원자재  6T</t>
        </is>
      </c>
      <c r="F31" s="76" t="inlineStr">
        <is>
          <t>원재료비</t>
        </is>
      </c>
      <c r="G31" s="78" t="inlineStr">
        <is>
          <t>(주)한일스틸</t>
        </is>
      </c>
      <c r="H31" s="75" t="n">
        <v>17850000</v>
      </c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8" t="inlineStr">
        <is>
          <t xml:space="preserve"> 3월 긴급발주분 포함</t>
        </is>
      </c>
      <c r="V31" s="77" t="n">
        <v>0.0005469075747046561</v>
      </c>
      <c r="W31" s="77" t="n">
        <v>9.762300208478111</v>
      </c>
    </row>
    <row r="32" ht="14.25" customHeight="1" s="60">
      <c r="B32" s="75" t="inlineStr">
        <is>
          <t>대한민국</t>
        </is>
      </c>
      <c r="C32" s="75" t="inlineStr">
        <is>
          <t>본사</t>
        </is>
      </c>
      <c r="D32" s="75" t="inlineStr">
        <is>
          <t>소모품</t>
        </is>
      </c>
      <c r="E32" s="75" t="inlineStr">
        <is>
          <t>A4용지(재생지) 2500매/box x4</t>
        </is>
      </c>
      <c r="F32" s="76" t="inlineStr">
        <is>
          <t>소모품비</t>
        </is>
      </c>
      <c r="G32" s="76" t="inlineStr">
        <is>
          <t>오피스디포코리아㈜</t>
        </is>
      </c>
      <c r="H32" s="75" t="n"/>
      <c r="I32" s="75" t="n">
        <v>184300</v>
      </c>
      <c r="J32" s="75" t="n">
        <v>184300</v>
      </c>
      <c r="K32" s="75" t="n">
        <v>184300</v>
      </c>
      <c r="L32" s="75" t="n">
        <v>184300</v>
      </c>
      <c r="M32" s="75" t="n">
        <v>184300</v>
      </c>
      <c r="N32" s="75" t="n">
        <v>184300</v>
      </c>
      <c r="O32" s="75" t="n">
        <v>184300</v>
      </c>
      <c r="P32" s="75" t="n">
        <v>184300</v>
      </c>
      <c r="Q32" s="75" t="n">
        <v>184300</v>
      </c>
      <c r="R32" s="75" t="n">
        <v>184300</v>
      </c>
      <c r="S32" s="75" t="n">
        <v>184300</v>
      </c>
      <c r="T32" s="75" t="n">
        <v>184300</v>
      </c>
      <c r="U32" s="76" t="inlineStr">
        <is>
          <t>사무용품 정기구매</t>
        </is>
      </c>
      <c r="V32" s="77" t="n">
        <v>0.0001000694927032661</v>
      </c>
      <c r="W32" s="77" t="n">
        <v>0.2213136900625433</v>
      </c>
    </row>
    <row r="33" ht="14.25" customHeight="1" s="60">
      <c r="B33" s="75" t="inlineStr">
        <is>
          <t>대한민국</t>
        </is>
      </c>
      <c r="C33" s="75" t="inlineStr">
        <is>
          <t>대구공장</t>
        </is>
      </c>
      <c r="D33" s="75" t="inlineStr">
        <is>
          <t>원재료</t>
        </is>
      </c>
      <c r="E33" s="75" t="inlineStr">
        <is>
          <t>알미늄판재 6061 t=3.0</t>
        </is>
      </c>
      <c r="F33" s="76" t="inlineStr">
        <is>
          <t>원재료비</t>
        </is>
      </c>
      <c r="G33" s="76" t="inlineStr">
        <is>
          <t>대구금속상사</t>
        </is>
      </c>
      <c r="H33" s="75" t="n">
        <v>8472900</v>
      </c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8" t="inlineStr">
        <is>
          <t>*지난달 단가인상분 반영안됨-확인요</t>
        </is>
      </c>
      <c r="V33" s="77" t="n">
        <v>0.0005469075747046561</v>
      </c>
      <c r="W33" s="77" t="n">
        <v>4.633893189715081</v>
      </c>
    </row>
    <row r="34" ht="14.25" customHeight="1" s="60">
      <c r="B34" s="75" t="inlineStr">
        <is>
          <t>베트남</t>
        </is>
      </c>
      <c r="C34" s="75" t="inlineStr">
        <is>
          <t>베트남공장</t>
        </is>
      </c>
      <c r="D34" s="75" t="inlineStr">
        <is>
          <t>포장재</t>
        </is>
      </c>
      <c r="E34" s="75" t="inlineStr">
        <is>
          <t>PP밴드 12mm*3000M</t>
        </is>
      </c>
      <c r="F34" s="76" t="inlineStr">
        <is>
          <t>포장비</t>
        </is>
      </c>
      <c r="G34" s="78" t="inlineStr">
        <is>
          <t>Hanoi Packaging Co.,Ltd</t>
        </is>
      </c>
      <c r="H34" s="75" t="n"/>
      <c r="I34" s="75" t="n">
        <v>970000</v>
      </c>
      <c r="J34" s="75" t="n">
        <v>970000</v>
      </c>
      <c r="K34" s="75" t="n">
        <v>970000</v>
      </c>
      <c r="L34" s="75" t="n">
        <v>970000</v>
      </c>
      <c r="M34" s="75" t="n">
        <v>970000</v>
      </c>
      <c r="N34" s="75" t="n">
        <v>970000</v>
      </c>
      <c r="O34" s="75" t="n">
        <v>970000</v>
      </c>
      <c r="P34" s="75" t="n">
        <v>970000</v>
      </c>
      <c r="Q34" s="75" t="n">
        <v>970000</v>
      </c>
      <c r="R34" s="75" t="n">
        <v>970000</v>
      </c>
      <c r="S34" s="75" t="n">
        <v>970000</v>
      </c>
      <c r="T34" s="75" t="n">
        <v>970000</v>
      </c>
      <c r="U34" s="78" t="n"/>
      <c r="V34" s="77" t="n">
        <v>0.0007261987491313411</v>
      </c>
      <c r="W34" s="77" t="n">
        <v>8.452953439888811</v>
      </c>
    </row>
    <row r="35" ht="14.25" customHeight="1" s="60">
      <c r="B35" s="75" t="inlineStr">
        <is>
          <t>대한민국</t>
        </is>
      </c>
      <c r="C35" s="75" t="inlineStr">
        <is>
          <t>물류센터</t>
        </is>
      </c>
      <c r="D35" s="79" t="inlineStr">
        <is>
          <t>IT서비스</t>
        </is>
      </c>
      <c r="E35" s="75" t="inlineStr">
        <is>
          <t>SaaS 구독료(WMS) - 연간계약</t>
        </is>
      </c>
      <c r="F35" s="76" t="inlineStr">
        <is>
          <t>지급수수료</t>
        </is>
      </c>
      <c r="G35" s="76" t="inlineStr">
        <is>
          <t>로지스올</t>
        </is>
      </c>
      <c r="H35" s="75" t="n">
        <v>42000000</v>
      </c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8" t="inlineStr">
        <is>
          <t>wms 라이선스 갱신(24.12-&gt;25.12)</t>
        </is>
      </c>
      <c r="V35" s="77" t="n">
        <v>5.837387074357193e-05</v>
      </c>
      <c r="W35" s="77" t="n">
        <v>2.451702571230021</v>
      </c>
    </row>
    <row r="36" ht="14.25" customHeight="1" s="60">
      <c r="B36" s="75" t="inlineStr">
        <is>
          <t>중국</t>
        </is>
      </c>
      <c r="C36" s="75" t="inlineStr">
        <is>
          <t>상하이공장</t>
        </is>
      </c>
      <c r="D36" s="75" t="inlineStr">
        <is>
          <t>원재료</t>
        </is>
      </c>
      <c r="E36" s="75" t="inlineStr">
        <is>
          <t>PCB Connector JST-XH 2.5mm</t>
        </is>
      </c>
      <c r="F36" s="76" t="inlineStr">
        <is>
          <t>원재료비</t>
        </is>
      </c>
      <c r="G36" s="76" t="inlineStr">
        <is>
          <t>上海电子元件有限公司</t>
        </is>
      </c>
      <c r="H36" s="75" t="n"/>
      <c r="I36" s="75" t="n">
        <v>3120000</v>
      </c>
      <c r="J36" s="75" t="n">
        <v>3120000</v>
      </c>
      <c r="K36" s="75" t="n">
        <v>3120000</v>
      </c>
      <c r="L36" s="75" t="n">
        <v>3120000</v>
      </c>
      <c r="M36" s="75" t="n">
        <v>3120000</v>
      </c>
      <c r="N36" s="75" t="n">
        <v>3120000</v>
      </c>
      <c r="O36" s="75" t="n">
        <v>3120000</v>
      </c>
      <c r="P36" s="75" t="n">
        <v>3120000</v>
      </c>
      <c r="Q36" s="75" t="n">
        <v>3120000</v>
      </c>
      <c r="R36" s="75" t="n">
        <v>3120000</v>
      </c>
      <c r="S36" s="75" t="n">
        <v>3120000</v>
      </c>
      <c r="T36" s="75" t="n">
        <v>3120000</v>
      </c>
      <c r="U36" s="76" t="inlineStr">
        <is>
          <t>환율변동 있음, USD 결제건 KRW환산</t>
        </is>
      </c>
      <c r="V36" s="77" t="n">
        <v>4.030576789437109e-05</v>
      </c>
      <c r="W36" s="77" t="n">
        <v>1.509047949965254</v>
      </c>
    </row>
    <row r="37" ht="14.25" customHeight="1" s="60">
      <c r="B37" s="75" t="inlineStr">
        <is>
          <t>대한민국</t>
        </is>
      </c>
      <c r="C37" s="75" t="inlineStr">
        <is>
          <t>부산지사</t>
        </is>
      </c>
      <c r="D37" s="75" t="inlineStr">
        <is>
          <t>전문서비스</t>
        </is>
      </c>
      <c r="E37" s="75" t="inlineStr">
        <is>
          <t>법률자문(계약검토)</t>
        </is>
      </c>
      <c r="F37" s="76" t="inlineStr">
        <is>
          <t>지급수수료</t>
        </is>
      </c>
      <c r="G37" s="76" t="inlineStr">
        <is>
          <t>김앤장?  아니 법무법인아인</t>
        </is>
      </c>
      <c r="H37" s="75" t="n">
        <v>6600000</v>
      </c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8" t="inlineStr">
        <is>
          <t>1분기 자문료</t>
        </is>
      </c>
      <c r="V37" s="77" t="n">
        <v>5.42043085476025e-05</v>
      </c>
      <c r="W37" s="77" t="n">
        <v>0.3577484364141765</v>
      </c>
    </row>
    <row r="38" ht="14.25" customHeight="1" s="60">
      <c r="B38" s="75" t="inlineStr">
        <is>
          <t>대한민국</t>
        </is>
      </c>
      <c r="C38" s="75" t="inlineStr">
        <is>
          <t>본사</t>
        </is>
      </c>
      <c r="D38" s="75" t="inlineStr">
        <is>
          <t>사무용품</t>
        </is>
      </c>
      <c r="E38" s="75" t="inlineStr">
        <is>
          <t>사무용 회전의자 (블랙,메쉬)10EA</t>
        </is>
      </c>
      <c r="F38" s="76" t="inlineStr">
        <is>
          <t>소모품비</t>
        </is>
      </c>
      <c r="G38" s="76" t="inlineStr">
        <is>
          <t>한샘오피스</t>
        </is>
      </c>
      <c r="H38" s="75" t="n">
        <v>3450000</v>
      </c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6" t="inlineStr">
        <is>
          <t>신규입사자용</t>
        </is>
      </c>
      <c r="V38" s="77" t="n">
        <v>0.0001709520500347464</v>
      </c>
      <c r="W38" s="77" t="n">
        <v>0.5897845726198752</v>
      </c>
    </row>
    <row r="39" ht="14.25" customHeight="1" s="60">
      <c r="B39" s="75" t="inlineStr">
        <is>
          <t>대한민국</t>
        </is>
      </c>
      <c r="C39" s="75" t="inlineStr">
        <is>
          <t>평택공장</t>
        </is>
      </c>
      <c r="D39" s="75" t="inlineStr">
        <is>
          <t>화학물질</t>
        </is>
      </c>
      <c r="E39" s="75" t="inlineStr">
        <is>
          <t>IPA(이소프로필알코올) 18L PAIL</t>
        </is>
      </c>
      <c r="F39" s="76" t="inlineStr">
        <is>
          <t>원재료비</t>
        </is>
      </c>
      <c r="G39" s="76" t="inlineStr">
        <is>
          <t>대한화학공업</t>
        </is>
      </c>
      <c r="H39" s="75" t="n"/>
      <c r="I39" s="75" t="n">
        <v>612000</v>
      </c>
      <c r="J39" s="75" t="n">
        <v>612000</v>
      </c>
      <c r="K39" s="75" t="n">
        <v>612000</v>
      </c>
      <c r="L39" s="75" t="n">
        <v>612000</v>
      </c>
      <c r="M39" s="75" t="n">
        <v>612000</v>
      </c>
      <c r="N39" s="75" t="n">
        <v>612000</v>
      </c>
      <c r="O39" s="75" t="n">
        <v>612000</v>
      </c>
      <c r="P39" s="75" t="n">
        <v>612000</v>
      </c>
      <c r="Q39" s="75" t="n">
        <v>612000</v>
      </c>
      <c r="R39" s="75" t="n">
        <v>612000</v>
      </c>
      <c r="S39" s="75" t="n">
        <v>612000</v>
      </c>
      <c r="T39" s="75" t="n">
        <v>612000</v>
      </c>
      <c r="U39" s="78" t="inlineStr">
        <is>
          <t>MSDS 첨부</t>
        </is>
      </c>
      <c r="V39" s="77" t="n">
        <v>0.0007018763029881862</v>
      </c>
      <c r="W39" s="77" t="n">
        <v>5.154579569145239</v>
      </c>
    </row>
    <row r="40" ht="14.25" customHeight="1" s="60">
      <c r="B40" s="75" t="inlineStr">
        <is>
          <t>미국</t>
        </is>
      </c>
      <c r="C40" s="75" t="inlineStr">
        <is>
          <t>미국판매법인</t>
        </is>
      </c>
      <c r="D40" s="75" t="inlineStr">
        <is>
          <t>전문서비스</t>
        </is>
      </c>
      <c r="E40" s="75" t="inlineStr">
        <is>
          <t>Marketing agency retainer fee</t>
        </is>
      </c>
      <c r="F40" s="76" t="inlineStr">
        <is>
          <t>지급수수료</t>
        </is>
      </c>
      <c r="G40" s="78" t="inlineStr">
        <is>
          <t>BrightPath Marketing LLC</t>
        </is>
      </c>
      <c r="H40" s="75" t="n"/>
      <c r="I40" s="75" t="n">
        <v>8200</v>
      </c>
      <c r="J40" s="75" t="n">
        <v>8200</v>
      </c>
      <c r="K40" s="75" t="n">
        <v>8200</v>
      </c>
      <c r="L40" s="75" t="n">
        <v>8200</v>
      </c>
      <c r="M40" s="75" t="n">
        <v>8200</v>
      </c>
      <c r="N40" s="75" t="n">
        <v>8200</v>
      </c>
      <c r="O40" s="75" t="n">
        <v>8200</v>
      </c>
      <c r="P40" s="75" t="n">
        <v>8200</v>
      </c>
      <c r="Q40" s="75" t="n">
        <v>8200</v>
      </c>
      <c r="R40" s="75" t="n">
        <v>8200</v>
      </c>
      <c r="S40" s="75" t="n">
        <v>8200</v>
      </c>
      <c r="T40" s="75" t="n">
        <v>8200</v>
      </c>
      <c r="U40" s="76" t="inlineStr">
        <is>
          <t>월 리테이너, USD 그대로 입력 (환산필요)</t>
        </is>
      </c>
      <c r="V40" s="77" t="n">
        <v>5.42043085476025e-05</v>
      </c>
      <c r="W40" s="77" t="n">
        <v>0.005333703961084086</v>
      </c>
    </row>
    <row r="41" ht="14.25" customHeight="1" s="60">
      <c r="B41" s="75" t="inlineStr">
        <is>
          <t>대한민국</t>
        </is>
      </c>
      <c r="C41" s="75" t="inlineStr">
        <is>
          <t>본사</t>
        </is>
      </c>
      <c r="D41" s="79" t="n"/>
      <c r="E41" s="75" t="inlineStr">
        <is>
          <t>커피믹스 1000T 대용량 리필</t>
        </is>
      </c>
      <c r="F41" s="80" t="inlineStr">
        <is>
          <t>소모품비</t>
        </is>
      </c>
      <c r="G41" s="80" t="inlineStr">
        <is>
          <t>탕비마트</t>
        </is>
      </c>
      <c r="H41" s="75" t="n">
        <v>1240000</v>
      </c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80" t="inlineStr">
        <is>
          <t>품목군 미입력 — 키워드매칭(커피) 테스트</t>
        </is>
      </c>
      <c r="V41" s="77" t="n">
        <v>0.0002453092425295344</v>
      </c>
      <c r="W41" s="77" t="n">
        <v>0.3041834607366227</v>
      </c>
    </row>
    <row r="42" ht="14.25" customHeight="1" s="60">
      <c r="B42" s="75" t="inlineStr">
        <is>
          <t>대한민국</t>
        </is>
      </c>
      <c r="C42" s="75" t="inlineStr">
        <is>
          <t>물류센터</t>
        </is>
      </c>
      <c r="D42" s="79" t="n"/>
      <c r="E42" s="75" t="inlineStr">
        <is>
          <t>사무용 가위/스테이플러 세트 20조</t>
        </is>
      </c>
      <c r="F42" s="80" t="inlineStr">
        <is>
          <t>소모품비</t>
        </is>
      </c>
      <c r="G42" s="80" t="inlineStr">
        <is>
          <t>모닝글로리</t>
        </is>
      </c>
      <c r="H42" s="75" t="n">
        <v>680000</v>
      </c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80" t="inlineStr">
        <is>
          <t>품목군 미입력 — 키워드매칭(문구) 테스트</t>
        </is>
      </c>
      <c r="V42" s="77" t="n">
        <v>7.713690062543433e-05</v>
      </c>
      <c r="W42" s="77" t="n">
        <v>0.05245309242529534</v>
      </c>
    </row>
    <row r="43" ht="14.25" customHeight="1" s="60">
      <c r="B43" s="75" t="inlineStr">
        <is>
          <t>대한민국</t>
        </is>
      </c>
      <c r="C43" s="75" t="inlineStr">
        <is>
          <t>평택공장</t>
        </is>
      </c>
      <c r="D43" s="79" t="n"/>
      <c r="E43" s="75" t="inlineStr">
        <is>
          <t>실험실 정밀저울 정기교정 서비스</t>
        </is>
      </c>
      <c r="F43" s="80" t="inlineStr">
        <is>
          <t>지급수수료</t>
        </is>
      </c>
      <c r="G43" s="80" t="inlineStr">
        <is>
          <t>한국계측기교정원</t>
        </is>
      </c>
      <c r="H43" s="75" t="n">
        <v>3200000</v>
      </c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80" t="inlineStr">
        <is>
          <t>품목군 미입력 — 키워드매칭 실패시 AI그룹핑 테스트</t>
        </is>
      </c>
      <c r="V43" s="77" t="n">
        <v>4.378040305767895e-05</v>
      </c>
      <c r="W43" s="77" t="n">
        <v>0.1400972897845726</v>
      </c>
    </row>
    <row r="44" ht="14.25" customHeight="1" s="60">
      <c r="B44" s="75" t="inlineStr">
        <is>
          <t>대한민국</t>
        </is>
      </c>
      <c r="C44" s="75" t="inlineStr">
        <is>
          <t>본사</t>
        </is>
      </c>
      <c r="D44" s="79" t="n"/>
      <c r="E44" s="75" t="inlineStr">
        <is>
          <t>기타 잡비성 구매건(내역불명확)</t>
        </is>
      </c>
      <c r="F44" s="80" t="inlineStr">
        <is>
          <t>잡비</t>
        </is>
      </c>
      <c r="G44" s="80" t="inlineStr">
        <is>
          <t>미상</t>
        </is>
      </c>
      <c r="H44" s="75" t="n">
        <v>152000</v>
      </c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80" t="inlineStr">
        <is>
          <t>품목군 미입력, 품목명도 모호 — 기타구매 폴백 테스트</t>
        </is>
      </c>
      <c r="V44" s="77" t="n">
        <v>7.713690062543433e-05</v>
      </c>
      <c r="W44" s="77" t="n">
        <v>0.01172480889506602</v>
      </c>
    </row>
    <row r="45" ht="14.25" customHeight="1" s="60">
      <c r="B45" s="75" t="n"/>
      <c r="C45" s="75" t="n"/>
      <c r="D45" s="79" t="n"/>
      <c r="E45" s="75" t="n"/>
      <c r="F45" s="78" t="n"/>
      <c r="G45" s="78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8" t="n"/>
      <c r="V45" s="77" t="n"/>
      <c r="W45" s="77" t="n"/>
    </row>
    <row r="46" ht="14.25" customHeight="1" s="60">
      <c r="B46" s="75" t="n"/>
      <c r="C46" s="75" t="n"/>
      <c r="D46" s="79" t="n"/>
      <c r="E46" s="75" t="n"/>
      <c r="F46" s="78" t="n"/>
      <c r="G46" s="78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8" t="n"/>
      <c r="V46" s="77" t="n"/>
      <c r="W46" s="77" t="n"/>
    </row>
    <row r="47" ht="14.25" customHeight="1" s="60">
      <c r="B47" s="75" t="n"/>
      <c r="C47" s="75" t="n"/>
      <c r="D47" s="79" t="n"/>
      <c r="E47" s="75" t="n"/>
      <c r="F47" s="78" t="n"/>
      <c r="G47" s="78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8" t="n"/>
      <c r="V47" s="77" t="n"/>
      <c r="W47" s="77" t="n"/>
    </row>
    <row r="48" ht="14.25" customHeight="1" s="60">
      <c r="B48" s="75" t="n"/>
      <c r="C48" s="75" t="n"/>
      <c r="D48" s="79" t="n"/>
      <c r="E48" s="75" t="n"/>
      <c r="F48" s="78" t="n"/>
      <c r="G48" s="78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8" t="n"/>
      <c r="V48" s="77" t="n"/>
      <c r="W48" s="77" t="n"/>
    </row>
    <row r="49" ht="14.25" customHeight="1" s="60">
      <c r="B49" s="75" t="n"/>
      <c r="C49" s="75" t="n"/>
      <c r="D49" s="79" t="n"/>
      <c r="E49" s="75" t="n"/>
      <c r="F49" s="78" t="n"/>
      <c r="G49" s="78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8" t="n"/>
      <c r="V49" s="77" t="n"/>
      <c r="W49" s="77" t="n"/>
    </row>
    <row r="50" ht="14.25" customHeight="1" s="60">
      <c r="B50" s="75" t="n"/>
      <c r="C50" s="75" t="n"/>
      <c r="D50" s="79" t="n"/>
      <c r="E50" s="75" t="n"/>
      <c r="F50" s="78" t="n"/>
      <c r="G50" s="78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8" t="n"/>
      <c r="V50" s="77" t="n"/>
      <c r="W50" s="77" t="n"/>
    </row>
    <row r="51" ht="14.25" customHeight="1" s="60">
      <c r="B51" s="75" t="n"/>
      <c r="C51" s="75" t="n"/>
      <c r="D51" s="79" t="n"/>
      <c r="E51" s="75" t="n"/>
      <c r="F51" s="78" t="n"/>
      <c r="G51" s="78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8" t="n"/>
      <c r="V51" s="77" t="n"/>
      <c r="W51" s="77" t="n"/>
    </row>
    <row r="52" ht="14.25" customHeight="1" s="60">
      <c r="B52" s="75" t="n"/>
      <c r="C52" s="75" t="n"/>
      <c r="D52" s="79" t="n"/>
      <c r="E52" s="75" t="n"/>
      <c r="F52" s="78" t="n"/>
      <c r="G52" s="78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8" t="n"/>
      <c r="V52" s="77" t="n"/>
      <c r="W52" s="77" t="n"/>
    </row>
    <row r="53" ht="14.25" customHeight="1" s="60">
      <c r="B53" s="75" t="n"/>
      <c r="C53" s="75" t="n"/>
      <c r="D53" s="79" t="n"/>
      <c r="E53" s="75" t="n"/>
      <c r="F53" s="78" t="n"/>
      <c r="G53" s="78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8" t="n"/>
      <c r="V53" s="77" t="n"/>
      <c r="W53" s="77" t="n"/>
    </row>
    <row r="54" ht="14.25" customHeight="1" s="60">
      <c r="B54" s="75" t="n"/>
      <c r="C54" s="75" t="n"/>
      <c r="D54" s="79" t="n"/>
      <c r="E54" s="75" t="n"/>
      <c r="F54" s="78" t="n"/>
      <c r="G54" s="78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8" t="n"/>
      <c r="V54" s="77" t="n"/>
      <c r="W54" s="77" t="n"/>
    </row>
  </sheetData>
  <mergeCells count="10">
    <mergeCell ref="E17:E18"/>
    <mergeCell ref="G17:G18"/>
    <mergeCell ref="C17:C18"/>
    <mergeCell ref="F17:F18"/>
    <mergeCell ref="B17:B18"/>
    <mergeCell ref="V17:V18"/>
    <mergeCell ref="D17:D18"/>
    <mergeCell ref="U17:U18"/>
    <mergeCell ref="W17:W18"/>
    <mergeCell ref="I17:T17"/>
  </mergeCells>
  <dataValidations count="1">
    <dataValidation sqref="D20:D219" showDropDown="0" showInputMessage="0" showErrorMessage="0" allowBlank="0" type="list" errorStyle="stop" operator="between">
      <formula1>"원재료,부자재,포장재,사무용품,종이/인쇄물,IT/전자장비,소모품,화학물질,금속/철강,플라스틱/고무,섬유/의류,식음료,운송/물류서비스,전문서비스,유지보수/수리서비스,외주가공,선택안함"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X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59" min="2" max="2"/>
    <col width="16" customWidth="1" style="59" min="3" max="3"/>
    <col width="18" customWidth="1" style="59" min="4" max="4"/>
    <col width="24" customWidth="1" style="59" min="5" max="5"/>
    <col width="16" customWidth="1" style="59" min="6" max="9"/>
    <col width="8" customWidth="1" style="59" min="10" max="21"/>
    <col width="18" customWidth="1" style="59" min="22" max="22"/>
    <col width="20.75" customWidth="1" style="59" min="23" max="23"/>
    <col width="16" customWidth="1" style="59" min="24" max="24"/>
  </cols>
  <sheetData>
    <row r="1"/>
    <row r="2" ht="20.25" customHeight="1" s="60">
      <c r="B2" s="61" t="inlineStr">
        <is>
          <t>C2. 자본재</t>
        </is>
      </c>
    </row>
    <row r="3"/>
    <row r="4" ht="14.25" customHeight="1" s="60">
      <c r="B4" s="62" t="inlineStr">
        <is>
          <t>카테고리 정의</t>
        </is>
      </c>
    </row>
    <row r="5" ht="14.25" customHeight="1" s="60">
      <c r="B5" s="63" t="inlineStr">
        <is>
          <t>- 보고년도에 회사가 취득한 건물, 구축물, 기계장치, 생산설비, 차량, IT장비 등 자본재 생산 과정에서 발생하는 온실가스 배출량</t>
        </is>
      </c>
    </row>
    <row r="6" ht="14.25" customHeight="1" s="60">
      <c r="B6" s="63" t="inlineStr">
        <is>
          <t>- 비용 처리된 일반 소모품, 수리비, 용역비 등은 C1 구매품 및 서비스에 작성</t>
        </is>
      </c>
    </row>
    <row r="7"/>
    <row r="8"/>
    <row r="9" ht="14.25" customHeight="1" s="60">
      <c r="B9" s="62" t="inlineStr">
        <is>
          <t>작성 기준</t>
        </is>
      </c>
    </row>
    <row r="10" ht="14.25" customHeight="1" s="60">
      <c r="B10" s="63" t="inlineStr">
        <is>
          <t>1) 온실가스 산정 식: Σ(자본재 취득금액 × 자본재별 배출계수)</t>
        </is>
      </c>
    </row>
    <row r="11" ht="14.25" customHeight="1" s="60">
      <c r="B11" s="63" t="inlineStr">
        <is>
          <t>- 배출계수는 US EPA Supply Chain Greenhouse Gas Emission Factors v1.3 등 지출기반 배출계수 활용</t>
        </is>
      </c>
    </row>
    <row r="12" ht="14.25" customHeight="1" s="60">
      <c r="B12" s="63" t="inlineStr">
        <is>
          <t>2) 취득금액은 회계상 자산 취득가액 기준으로 작성</t>
        </is>
      </c>
    </row>
    <row r="13" ht="14.25" customHeight="1" s="60">
      <c r="B13" s="63" t="inlineStr">
        <is>
          <t>3) 자산분류는 최종 배출계수 매핑 분류로 사용하므로 가장 가까운 항목을 선택</t>
        </is>
      </c>
    </row>
    <row r="14"/>
    <row r="15" ht="14.25" customHeight="1" s="60">
      <c r="B15" s="64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6" ht="14.25" customHeight="1" s="60">
      <c r="B16" s="64" t="inlineStr">
        <is>
          <t>※ 주황색으로 표시된 필수 입력칸은 반드시 작성해야 합니다.</t>
        </is>
      </c>
    </row>
    <row r="17" ht="15" customHeight="1" s="60">
      <c r="B17" s="65" t="inlineStr">
        <is>
          <t>*국가</t>
        </is>
      </c>
      <c r="C17" s="65" t="inlineStr">
        <is>
          <t>*사업장</t>
        </is>
      </c>
      <c r="D17" s="65" t="inlineStr">
        <is>
          <t>*자산분류</t>
        </is>
      </c>
      <c r="E17" s="65" t="inlineStr">
        <is>
          <t>*상세 자산명</t>
        </is>
      </c>
      <c r="F17" s="66" t="inlineStr">
        <is>
          <t>자산번호(선택)</t>
        </is>
      </c>
      <c r="G17" s="66" t="inlineStr">
        <is>
          <t>계정과목(선택)</t>
        </is>
      </c>
      <c r="H17" s="66" t="inlineStr">
        <is>
          <t>거래처명(선택)</t>
        </is>
      </c>
      <c r="I17" s="67" t="inlineStr">
        <is>
          <t>연간 입력</t>
        </is>
      </c>
      <c r="J17" s="67" t="inlineStr">
        <is>
          <t>월별 취득금액</t>
        </is>
      </c>
      <c r="K17" s="68" t="n"/>
      <c r="L17" s="68" t="n"/>
      <c r="M17" s="68" t="n"/>
      <c r="N17" s="68" t="n"/>
      <c r="O17" s="68" t="n"/>
      <c r="P17" s="68" t="n"/>
      <c r="Q17" s="68" t="n"/>
      <c r="R17" s="68" t="n"/>
      <c r="S17" s="68" t="n"/>
      <c r="T17" s="68" t="n"/>
      <c r="U17" s="69" t="n"/>
      <c r="V17" s="66" t="inlineStr">
        <is>
          <t>비고(선택)</t>
        </is>
      </c>
      <c r="W17" s="66" t="inlineStr">
        <is>
          <t>배출계수(kgCO2e/원)</t>
        </is>
      </c>
      <c r="X17" s="66" t="inlineStr">
        <is>
          <t>배출량(tCO2e)</t>
        </is>
      </c>
    </row>
    <row r="18" ht="14.25" customHeight="1" s="60">
      <c r="B18" s="70" t="n"/>
      <c r="C18" s="70" t="n"/>
      <c r="D18" s="70" t="n"/>
      <c r="E18" s="70" t="n"/>
      <c r="F18" s="70" t="n"/>
      <c r="G18" s="70" t="n"/>
      <c r="H18" s="70" t="n"/>
      <c r="I18" s="66" t="inlineStr">
        <is>
          <t>연간취득금액(원)</t>
        </is>
      </c>
      <c r="J18" s="65" t="inlineStr">
        <is>
          <t>1월</t>
        </is>
      </c>
      <c r="K18" s="65" t="inlineStr">
        <is>
          <t>2월</t>
        </is>
      </c>
      <c r="L18" s="65" t="inlineStr">
        <is>
          <t>3월</t>
        </is>
      </c>
      <c r="M18" s="65" t="inlineStr">
        <is>
          <t>4월</t>
        </is>
      </c>
      <c r="N18" s="65" t="inlineStr">
        <is>
          <t>5월</t>
        </is>
      </c>
      <c r="O18" s="65" t="inlineStr">
        <is>
          <t>6월</t>
        </is>
      </c>
      <c r="P18" s="65" t="inlineStr">
        <is>
          <t>7월</t>
        </is>
      </c>
      <c r="Q18" s="65" t="inlineStr">
        <is>
          <t>8월</t>
        </is>
      </c>
      <c r="R18" s="65" t="inlineStr">
        <is>
          <t>9월</t>
        </is>
      </c>
      <c r="S18" s="65" t="inlineStr">
        <is>
          <t>10월</t>
        </is>
      </c>
      <c r="T18" s="65" t="inlineStr">
        <is>
          <t>11월</t>
        </is>
      </c>
      <c r="U18" s="65" t="inlineStr">
        <is>
          <t>12월</t>
        </is>
      </c>
      <c r="V18" s="70" t="n"/>
      <c r="W18" s="70" t="n"/>
      <c r="X18" s="70" t="n"/>
    </row>
    <row r="19" ht="32.25" customHeight="1" s="60">
      <c r="B19" s="71" t="inlineStr">
        <is>
          <t>대한민국</t>
        </is>
      </c>
      <c r="C19" s="71" t="inlineStr">
        <is>
          <t>본사</t>
        </is>
      </c>
      <c r="D19" s="72" t="inlineStr">
        <is>
          <t>IT장비</t>
        </is>
      </c>
      <c r="E19" s="71" t="inlineStr">
        <is>
          <t>업무용 노트북</t>
        </is>
      </c>
      <c r="F19" s="81" t="inlineStr">
        <is>
          <t>FA-2025-001</t>
        </is>
      </c>
      <c r="G19" s="73" t="inlineStr">
        <is>
          <t>비품</t>
        </is>
      </c>
      <c r="H19" s="73" t="inlineStr">
        <is>
          <t>전자업체</t>
        </is>
      </c>
      <c r="I19" s="71" t="n">
        <v>15000000</v>
      </c>
      <c r="J19" s="71" t="n"/>
      <c r="K19" s="71" t="n"/>
      <c r="L19" s="71" t="n"/>
      <c r="M19" s="71" t="n"/>
      <c r="N19" s="71" t="n"/>
      <c r="O19" s="71" t="n"/>
      <c r="P19" s="71" t="n"/>
      <c r="Q19" s="71" t="n"/>
      <c r="R19" s="71" t="n"/>
      <c r="S19" s="71" t="n"/>
      <c r="T19" s="71" t="n"/>
      <c r="U19" s="71" t="n"/>
      <c r="V19" s="73" t="inlineStr">
        <is>
          <t>신규 입사자 지급용 노트북</t>
        </is>
      </c>
      <c r="W19" s="74" t="n">
        <v>4.030576789437109e-05</v>
      </c>
      <c r="X19" s="74" t="n">
        <v>0.6045865184155664</v>
      </c>
    </row>
    <row r="20" ht="16.5" customHeight="1" s="60">
      <c r="B20" s="75" t="inlineStr">
        <is>
          <t>대한민국</t>
        </is>
      </c>
      <c r="C20" s="75" t="inlineStr">
        <is>
          <t>평택공장</t>
        </is>
      </c>
      <c r="D20" s="75" t="inlineStr">
        <is>
          <t>기계장치</t>
        </is>
      </c>
      <c r="E20" s="75" t="inlineStr">
        <is>
          <t>자동 포장 설비</t>
        </is>
      </c>
      <c r="F20" s="78" t="inlineStr">
        <is>
          <t>FA-2025-018</t>
        </is>
      </c>
      <c r="G20" s="76" t="inlineStr">
        <is>
          <t>기계장치</t>
        </is>
      </c>
      <c r="H20" s="76" t="inlineStr">
        <is>
          <t>설비제작사</t>
        </is>
      </c>
      <c r="I20" s="75" t="n">
        <v>250000000</v>
      </c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6" t="inlineStr">
        <is>
          <t>포장 라인 증설 설비</t>
        </is>
      </c>
      <c r="W20" s="77" t="n">
        <v>0.0001285615010423905</v>
      </c>
      <c r="X20" s="77" t="n">
        <v>32.14037526059763</v>
      </c>
    </row>
    <row r="21" ht="32.25" customHeight="1" s="60">
      <c r="B21" s="75" t="inlineStr">
        <is>
          <t>대한민국</t>
        </is>
      </c>
      <c r="C21" s="75" t="inlineStr">
        <is>
          <t>물류센터</t>
        </is>
      </c>
      <c r="D21" s="75" t="inlineStr">
        <is>
          <t>차량</t>
        </is>
      </c>
      <c r="E21" s="75" t="inlineStr">
        <is>
          <t>전동 지게차</t>
        </is>
      </c>
      <c r="F21" s="78" t="inlineStr">
        <is>
          <t>FA-2025-025</t>
        </is>
      </c>
      <c r="G21" s="76" t="inlineStr">
        <is>
          <t>차량운반구</t>
        </is>
      </c>
      <c r="H21" s="76" t="inlineStr">
        <is>
          <t>물류장비업체</t>
        </is>
      </c>
      <c r="I21" s="75" t="n"/>
      <c r="J21" s="75" t="n">
        <v>0</v>
      </c>
      <c r="K21" s="75" t="n">
        <v>0</v>
      </c>
      <c r="L21" s="75" t="n">
        <v>0</v>
      </c>
      <c r="M21" s="75" t="n">
        <v>0</v>
      </c>
      <c r="N21" s="75" t="n">
        <v>0</v>
      </c>
      <c r="O21" s="75" t="n">
        <v>45000000</v>
      </c>
      <c r="P21" s="75" t="n">
        <v>0</v>
      </c>
      <c r="Q21" s="75" t="n">
        <v>0</v>
      </c>
      <c r="R21" s="75" t="n">
        <v>0</v>
      </c>
      <c r="S21" s="75" t="n">
        <v>0</v>
      </c>
      <c r="T21" s="75" t="n">
        <v>0</v>
      </c>
      <c r="U21" s="75" t="n">
        <v>0</v>
      </c>
      <c r="V21" s="76" t="inlineStr">
        <is>
          <t>창고 운영용 지게차 취득</t>
        </is>
      </c>
      <c r="W21" s="77" t="n">
        <v>0.0001779013203613621</v>
      </c>
      <c r="X21" s="77" t="n">
        <v>8.005559416261294</v>
      </c>
    </row>
    <row r="22" ht="32.25" customHeight="1" s="60">
      <c r="B22" s="75" t="inlineStr">
        <is>
          <t>인도네시아</t>
        </is>
      </c>
      <c r="C22" s="75" t="inlineStr">
        <is>
          <t>자카르타지점</t>
        </is>
      </c>
      <c r="D22" s="75" t="inlineStr">
        <is>
          <t>건물/구축물</t>
        </is>
      </c>
      <c r="E22" s="75" t="inlineStr">
        <is>
          <t>창고 랙 설비</t>
        </is>
      </c>
      <c r="F22" s="78" t="inlineStr">
        <is>
          <t>FA-2025-031</t>
        </is>
      </c>
      <c r="G22" s="76" t="inlineStr">
        <is>
          <t>구축물</t>
        </is>
      </c>
      <c r="H22" s="76" t="inlineStr">
        <is>
          <t>현지 시공사</t>
        </is>
      </c>
      <c r="I22" s="75" t="n">
        <v>78000000</v>
      </c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6" t="inlineStr">
        <is>
          <t>임대창고 내부 랙 설치</t>
        </is>
      </c>
      <c r="W22" s="77" t="n">
        <v>0.0001709520500347464</v>
      </c>
      <c r="X22" s="77" t="n">
        <v>13.33425990271022</v>
      </c>
    </row>
    <row r="23" ht="16.5" customHeight="1" s="60">
      <c r="B23" s="75" t="inlineStr">
        <is>
          <t>대한민국</t>
        </is>
      </c>
      <c r="C23" s="75" t="inlineStr">
        <is>
          <t>대구공장</t>
        </is>
      </c>
      <c r="D23" s="75" t="inlineStr">
        <is>
          <t>기계장치</t>
        </is>
      </c>
      <c r="E23" s="79" t="inlineStr">
        <is>
          <t>CNC 정밀가공기</t>
        </is>
      </c>
      <c r="F23" s="78" t="inlineStr">
        <is>
          <t>FA-2025-042</t>
        </is>
      </c>
      <c r="G23" s="76" t="inlineStr">
        <is>
          <t>기계장치</t>
        </is>
      </c>
      <c r="H23" s="76" t="inlineStr">
        <is>
          <t>대성공작기계</t>
        </is>
      </c>
      <c r="I23" s="79" t="n">
        <v>180000000</v>
      </c>
      <c r="J23" s="79" t="n"/>
      <c r="K23" s="79" t="n"/>
      <c r="L23" s="79" t="n"/>
      <c r="M23" s="79" t="n"/>
      <c r="N23" s="79" t="n"/>
      <c r="O23" s="79" t="n"/>
      <c r="P23" s="79" t="n"/>
      <c r="Q23" s="79" t="n"/>
      <c r="R23" s="79" t="n"/>
      <c r="S23" s="79" t="n"/>
      <c r="T23" s="79" t="n"/>
      <c r="U23" s="79" t="n"/>
      <c r="V23" s="76" t="inlineStr">
        <is>
          <t>신규 생산라인 증설</t>
        </is>
      </c>
      <c r="W23" s="77" t="n">
        <v>0.0001285615010423905</v>
      </c>
      <c r="X23" s="77" t="n">
        <v>23.14107018763029</v>
      </c>
    </row>
    <row r="24" ht="32.25" customHeight="1" s="60">
      <c r="B24" s="75" t="inlineStr">
        <is>
          <t>대한민국</t>
        </is>
      </c>
      <c r="C24" s="75" t="inlineStr">
        <is>
          <t>본사</t>
        </is>
      </c>
      <c r="D24" s="79" t="inlineStr">
        <is>
          <t>IT장비</t>
        </is>
      </c>
      <c r="E24" s="75" t="inlineStr">
        <is>
          <t>서버랙 및 스토리지</t>
        </is>
      </c>
      <c r="F24" s="78" t="inlineStr">
        <is>
          <t>FA-2025-050</t>
        </is>
      </c>
      <c r="G24" s="76" t="inlineStr">
        <is>
          <t>비품</t>
        </is>
      </c>
      <c r="H24" s="76" t="inlineStr">
        <is>
          <t>델테크놀로지스</t>
        </is>
      </c>
      <c r="I24" s="79" t="n">
        <v>62000000</v>
      </c>
      <c r="J24" s="79" t="n"/>
      <c r="K24" s="79" t="n"/>
      <c r="L24" s="79" t="n"/>
      <c r="M24" s="79" t="n"/>
      <c r="N24" s="79" t="n"/>
      <c r="O24" s="79" t="n"/>
      <c r="P24" s="79" t="n"/>
      <c r="Q24" s="79" t="n"/>
      <c r="R24" s="79" t="n"/>
      <c r="S24" s="79" t="n"/>
      <c r="T24" s="79" t="n"/>
      <c r="U24" s="79" t="n"/>
      <c r="V24" s="76" t="inlineStr">
        <is>
          <t>데이터센터 인프라 교체</t>
        </is>
      </c>
      <c r="W24" s="77" t="n">
        <v>0.0001709520500347464</v>
      </c>
      <c r="X24" s="77" t="n">
        <v>10.59902710215428</v>
      </c>
    </row>
    <row r="25" ht="32.25" customHeight="1" s="60">
      <c r="B25" s="75" t="inlineStr">
        <is>
          <t>대한민국</t>
        </is>
      </c>
      <c r="C25" s="75" t="inlineStr">
        <is>
          <t>물류센터</t>
        </is>
      </c>
      <c r="D25" s="75" t="inlineStr">
        <is>
          <t>차량</t>
        </is>
      </c>
      <c r="E25" s="75" t="inlineStr">
        <is>
          <t>냉동탑차</t>
        </is>
      </c>
      <c r="F25" s="78" t="inlineStr">
        <is>
          <t>FA-2025-055</t>
        </is>
      </c>
      <c r="G25" s="76" t="inlineStr">
        <is>
          <t>차량운반구</t>
        </is>
      </c>
      <c r="H25" s="76" t="inlineStr">
        <is>
          <t>현대자동차</t>
        </is>
      </c>
      <c r="I25" s="79" t="n">
        <v>95000000</v>
      </c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6" t="inlineStr">
        <is>
          <t>냉장물류용 배송차량 구입</t>
        </is>
      </c>
      <c r="W25" s="77" t="n">
        <v>0.0001667824878387769</v>
      </c>
      <c r="X25" s="77" t="n">
        <v>15.84433634468381</v>
      </c>
    </row>
    <row r="26" ht="32.25" customHeight="1" s="60">
      <c r="B26" s="75" t="inlineStr">
        <is>
          <t>중국</t>
        </is>
      </c>
      <c r="C26" s="75" t="inlineStr">
        <is>
          <t>상하이공장</t>
        </is>
      </c>
      <c r="D26" s="75" t="inlineStr">
        <is>
          <t>기계장치</t>
        </is>
      </c>
      <c r="E26" s="75" t="inlineStr">
        <is>
          <t>사출성형기</t>
        </is>
      </c>
      <c r="F26" s="78" t="inlineStr">
        <is>
          <t>FA-2025-061</t>
        </is>
      </c>
      <c r="G26" s="76" t="inlineStr">
        <is>
          <t>기계장치</t>
        </is>
      </c>
      <c r="H26" s="76" t="inlineStr">
        <is>
          <t>상하이기계설비</t>
        </is>
      </c>
      <c r="I26" s="79" t="n">
        <v>130000000</v>
      </c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6" t="inlineStr">
        <is>
          <t>플라스틱 부품 생산설비</t>
        </is>
      </c>
      <c r="W26" s="77" t="n">
        <v>0.0001285615010423905</v>
      </c>
      <c r="X26" s="77" t="n">
        <v>16.71299513551077</v>
      </c>
    </row>
    <row r="27" ht="32.25" customHeight="1" s="60">
      <c r="B27" s="75" t="inlineStr">
        <is>
          <t>대한민국</t>
        </is>
      </c>
      <c r="C27" s="75" t="inlineStr">
        <is>
          <t>부산지사</t>
        </is>
      </c>
      <c r="D27" s="75" t="inlineStr">
        <is>
          <t>건물/구축물</t>
        </is>
      </c>
      <c r="E27" s="75" t="inlineStr">
        <is>
          <t>사무실 인테리어</t>
        </is>
      </c>
      <c r="F27" s="78" t="inlineStr">
        <is>
          <t>FA-2025-066</t>
        </is>
      </c>
      <c r="G27" s="76" t="inlineStr">
        <is>
          <t>구축물</t>
        </is>
      </c>
      <c r="H27" s="76" t="inlineStr">
        <is>
          <t>대한인테리어</t>
        </is>
      </c>
      <c r="I27" s="79" t="n">
        <v>54000000</v>
      </c>
      <c r="J27" s="79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79" t="n"/>
      <c r="T27" s="79" t="n"/>
      <c r="U27" s="79" t="n"/>
      <c r="V27" s="76" t="inlineStr">
        <is>
          <t>지사 사무공간 리모델링</t>
        </is>
      </c>
      <c r="W27" s="77" t="n">
        <v>0.0001535788742182071</v>
      </c>
      <c r="X27" s="77" t="n">
        <v>8.293259207783183</v>
      </c>
    </row>
    <row r="28" ht="16.5" customHeight="1" s="60">
      <c r="B28" s="75" t="inlineStr">
        <is>
          <t>미국</t>
        </is>
      </c>
      <c r="C28" s="75" t="inlineStr">
        <is>
          <t>미국판매법인</t>
        </is>
      </c>
      <c r="D28" s="79" t="inlineStr">
        <is>
          <t>IT장비</t>
        </is>
      </c>
      <c r="E28" s="75" t="inlineStr">
        <is>
          <t>매장 POS 시스템</t>
        </is>
      </c>
      <c r="F28" s="78" t="inlineStr">
        <is>
          <t>FA-2025-070</t>
        </is>
      </c>
      <c r="G28" s="76" t="inlineStr">
        <is>
          <t>비품</t>
        </is>
      </c>
      <c r="H28" s="76" t="inlineStr">
        <is>
          <t>미국POS공급사</t>
        </is>
      </c>
      <c r="I28" s="79" t="n">
        <v>21000000</v>
      </c>
      <c r="J28" s="79" t="n"/>
      <c r="K28" s="79" t="n"/>
      <c r="L28" s="79" t="n"/>
      <c r="M28" s="79" t="n"/>
      <c r="N28" s="79" t="n"/>
      <c r="O28" s="79" t="n"/>
      <c r="P28" s="79" t="n"/>
      <c r="Q28" s="79" t="n"/>
      <c r="R28" s="79" t="n"/>
      <c r="S28" s="79" t="n"/>
      <c r="T28" s="79" t="n"/>
      <c r="U28" s="79" t="n"/>
      <c r="V28" s="76" t="inlineStr">
        <is>
          <t>신규 매장 POS 설치</t>
        </is>
      </c>
      <c r="W28" s="77" t="n">
        <v>4.030576789437109e-05</v>
      </c>
      <c r="X28" s="77" t="n">
        <v>0.8464211257817928</v>
      </c>
    </row>
    <row r="29" ht="32.25" customHeight="1" s="60">
      <c r="B29" s="75" t="inlineStr">
        <is>
          <t>대한민국</t>
        </is>
      </c>
      <c r="C29" s="75" t="inlineStr">
        <is>
          <t>평택공장</t>
        </is>
      </c>
      <c r="D29" s="75" t="inlineStr">
        <is>
          <t>기계장치</t>
        </is>
      </c>
      <c r="E29" s="75" t="inlineStr">
        <is>
          <t>산업용 로봇팔</t>
        </is>
      </c>
      <c r="F29" s="78" t="inlineStr">
        <is>
          <t>FA-2025-075</t>
        </is>
      </c>
      <c r="G29" s="76" t="inlineStr">
        <is>
          <t>기계장치</t>
        </is>
      </c>
      <c r="H29" s="76" t="inlineStr">
        <is>
          <t>현대로보틱스</t>
        </is>
      </c>
      <c r="I29" s="79" t="n">
        <v>210000000</v>
      </c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6" t="inlineStr">
        <is>
          <t>자동화 조립라인 로봇</t>
        </is>
      </c>
      <c r="W29" s="77" t="n">
        <v>0.0001285615010423905</v>
      </c>
      <c r="X29" s="77" t="n">
        <v>26.997915218902</v>
      </c>
    </row>
    <row r="30" ht="32.25" customHeight="1" s="60">
      <c r="B30" s="75" t="inlineStr">
        <is>
          <t>인도네시아</t>
        </is>
      </c>
      <c r="C30" s="75" t="inlineStr">
        <is>
          <t>자카르타지점</t>
        </is>
      </c>
      <c r="D30" s="75" t="inlineStr">
        <is>
          <t>건물/구축물</t>
        </is>
      </c>
      <c r="E30" s="75" t="inlineStr">
        <is>
          <t>창고 지붕 태양광 패널</t>
        </is>
      </c>
      <c r="F30" s="78" t="inlineStr">
        <is>
          <t>FA-2025-081</t>
        </is>
      </c>
      <c r="G30" s="76" t="inlineStr">
        <is>
          <t>구축물</t>
        </is>
      </c>
      <c r="H30" s="76" t="inlineStr">
        <is>
          <t>자카르타태양광</t>
        </is>
      </c>
      <c r="I30" s="79" t="n">
        <v>38000000</v>
      </c>
      <c r="J30" s="79" t="n"/>
      <c r="K30" s="79" t="n"/>
      <c r="L30" s="79" t="n"/>
      <c r="M30" s="79" t="n"/>
      <c r="N30" s="79" t="n"/>
      <c r="O30" s="79" t="n"/>
      <c r="P30" s="79" t="n"/>
      <c r="Q30" s="79" t="n"/>
      <c r="R30" s="79" t="n"/>
      <c r="S30" s="79" t="n"/>
      <c r="T30" s="79" t="n"/>
      <c r="U30" s="79" t="n"/>
      <c r="V30" s="76" t="inlineStr">
        <is>
          <t>창고 옥상 태양광 설비</t>
        </is>
      </c>
      <c r="W30" s="77" t="n">
        <v>0.0001285615010423905</v>
      </c>
      <c r="X30" s="77" t="n">
        <v>4.88533703961084</v>
      </c>
    </row>
    <row r="31" ht="14.25" customHeight="1" s="60">
      <c r="B31" s="75" t="inlineStr">
        <is>
          <t>대한민국</t>
        </is>
      </c>
      <c r="C31" s="75" t="inlineStr">
        <is>
          <t>대구공장</t>
        </is>
      </c>
      <c r="D31" s="75" t="inlineStr">
        <is>
          <t>기계장치</t>
        </is>
      </c>
      <c r="E31" s="75" t="inlineStr">
        <is>
          <t>레이저 커팅기 (중고, 2급감가)</t>
        </is>
      </c>
      <c r="F31" s="78" t="inlineStr">
        <is>
          <t>FA-25-091</t>
        </is>
      </c>
      <c r="G31" s="76" t="inlineStr">
        <is>
          <t>기계장치</t>
        </is>
      </c>
      <c r="H31" s="76" t="inlineStr">
        <is>
          <t>대성공작기계</t>
        </is>
      </c>
      <c r="I31" s="79" t="n">
        <v>62000000</v>
      </c>
      <c r="J31" s="79" t="n"/>
      <c r="K31" s="79" t="n"/>
      <c r="L31" s="79" t="n"/>
      <c r="M31" s="79" t="n"/>
      <c r="N31" s="79" t="n"/>
      <c r="O31" s="79" t="n"/>
      <c r="P31" s="79" t="n"/>
      <c r="Q31" s="79" t="n"/>
      <c r="R31" s="79" t="n"/>
      <c r="S31" s="79" t="n"/>
      <c r="T31" s="79" t="n"/>
      <c r="U31" s="79" t="n"/>
      <c r="V31" s="76" t="inlineStr">
        <is>
          <t>중고매입, 잔존내용연수 5년</t>
        </is>
      </c>
      <c r="W31" s="77" t="n">
        <v>0.0001285615010423905</v>
      </c>
      <c r="X31" s="77" t="n">
        <v>7.970813064628212</v>
      </c>
    </row>
    <row r="32" ht="14.25" customHeight="1" s="60">
      <c r="B32" s="75" t="inlineStr">
        <is>
          <t>대한민국</t>
        </is>
      </c>
      <c r="C32" s="75" t="inlineStr">
        <is>
          <t>본사</t>
        </is>
      </c>
      <c r="D32" s="79" t="inlineStr">
        <is>
          <t>IT장비</t>
        </is>
      </c>
      <c r="E32" s="75" t="inlineStr">
        <is>
          <t>노트북 15대(개발팀)</t>
        </is>
      </c>
      <c r="F32" s="78" t="inlineStr">
        <is>
          <t>FA-25-095</t>
        </is>
      </c>
      <c r="G32" s="76" t="inlineStr">
        <is>
          <t>비품</t>
        </is>
      </c>
      <c r="H32" s="76" t="inlineStr">
        <is>
          <t>델테크놀로지스</t>
        </is>
      </c>
      <c r="I32" s="79" t="n">
        <v>27750000</v>
      </c>
      <c r="J32" s="79" t="n"/>
      <c r="K32" s="79" t="n"/>
      <c r="L32" s="79" t="n"/>
      <c r="M32" s="79" t="n"/>
      <c r="N32" s="79" t="n"/>
      <c r="O32" s="79" t="n"/>
      <c r="P32" s="79" t="n"/>
      <c r="Q32" s="79" t="n"/>
      <c r="R32" s="79" t="n"/>
      <c r="S32" s="79" t="n"/>
      <c r="T32" s="79" t="n"/>
      <c r="U32" s="79" t="n"/>
      <c r="V32" s="76" t="inlineStr">
        <is>
          <t>대당 1,850,000원 x15</t>
        </is>
      </c>
      <c r="W32" s="77" t="n">
        <v>4.030576789437109e-05</v>
      </c>
      <c r="X32" s="77" t="n">
        <v>1.118485059068798</v>
      </c>
    </row>
    <row r="33" ht="14.25" customHeight="1" s="60">
      <c r="B33" s="75" t="inlineStr">
        <is>
          <t>대한민국</t>
        </is>
      </c>
      <c r="C33" s="75" t="inlineStr">
        <is>
          <t>물류센터</t>
        </is>
      </c>
      <c r="D33" s="75" t="inlineStr">
        <is>
          <t>차량</t>
        </is>
      </c>
      <c r="E33" s="75" t="inlineStr">
        <is>
          <t>지게차(전동) 3톤급 2대</t>
        </is>
      </c>
      <c r="F33" s="78" t="inlineStr">
        <is>
          <t>FA-25-101</t>
        </is>
      </c>
      <c r="G33" s="76" t="inlineStr">
        <is>
          <t>차량운반구</t>
        </is>
      </c>
      <c r="H33" s="76" t="inlineStr">
        <is>
          <t>두산산업차량</t>
        </is>
      </c>
      <c r="I33" s="79" t="n">
        <v>68000000</v>
      </c>
      <c r="J33" s="79" t="n"/>
      <c r="K33" s="79" t="n"/>
      <c r="L33" s="79" t="n"/>
      <c r="M33" s="79" t="n"/>
      <c r="N33" s="79" t="n"/>
      <c r="O33" s="79" t="n"/>
      <c r="P33" s="79" t="n"/>
      <c r="Q33" s="79" t="n"/>
      <c r="R33" s="79" t="n"/>
      <c r="S33" s="79" t="n"/>
      <c r="T33" s="79" t="n"/>
      <c r="U33" s="79" t="n"/>
      <c r="V33" s="78" t="n"/>
      <c r="W33" s="77" t="n">
        <v>0.0001779013203613621</v>
      </c>
      <c r="X33" s="77" t="n">
        <v>12.09728978457262</v>
      </c>
    </row>
    <row r="34" ht="14.25" customHeight="1" s="60">
      <c r="B34" s="75" t="inlineStr">
        <is>
          <t>중국</t>
        </is>
      </c>
      <c r="C34" s="75" t="inlineStr">
        <is>
          <t>상하이공장</t>
        </is>
      </c>
      <c r="D34" s="75" t="inlineStr">
        <is>
          <t>기계장치</t>
        </is>
      </c>
      <c r="E34" s="79" t="inlineStr">
        <is>
          <t>SMT 리플로우 오븐  8존</t>
        </is>
      </c>
      <c r="F34" s="78" t="inlineStr">
        <is>
          <t>FA-25-108</t>
        </is>
      </c>
      <c r="G34" s="76" t="inlineStr">
        <is>
          <t>기계장치</t>
        </is>
      </c>
      <c r="H34" s="76" t="inlineStr">
        <is>
          <t>深圳精密设备</t>
        </is>
      </c>
      <c r="I34" s="79" t="n">
        <v>145000000</v>
      </c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9" t="n"/>
      <c r="T34" s="79" t="n"/>
      <c r="U34" s="79" t="n"/>
      <c r="V34" s="76" t="inlineStr">
        <is>
          <t>수입설비, 통관비 별도</t>
        </is>
      </c>
      <c r="W34" s="77" t="n">
        <v>0.0001285615010423905</v>
      </c>
      <c r="X34" s="77" t="n">
        <v>18.64141765114663</v>
      </c>
    </row>
    <row r="35" ht="14.25" customHeight="1" s="60">
      <c r="B35" s="75" t="inlineStr">
        <is>
          <t>대한민국</t>
        </is>
      </c>
      <c r="C35" s="75" t="inlineStr">
        <is>
          <t>부산지사</t>
        </is>
      </c>
      <c r="D35" s="75" t="inlineStr">
        <is>
          <t>건물/구축물</t>
        </is>
      </c>
      <c r="E35" s="75" t="inlineStr">
        <is>
          <t>지사 화장실 리모델링</t>
        </is>
      </c>
      <c r="F35" s="78" t="inlineStr">
        <is>
          <t>FA-25-110</t>
        </is>
      </c>
      <c r="G35" s="76" t="inlineStr">
        <is>
          <t>구축물</t>
        </is>
      </c>
      <c r="H35" s="76" t="inlineStr">
        <is>
          <t>㈜대한인테리어</t>
        </is>
      </c>
      <c r="I35" s="79" t="n">
        <v>19800000</v>
      </c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9" t="n"/>
      <c r="T35" s="79" t="n"/>
      <c r="U35" s="79" t="n"/>
      <c r="V35" s="76" t="inlineStr">
        <is>
          <t>정확한 금액 재확인필요(견적서기준)</t>
        </is>
      </c>
      <c r="W35" s="77" t="n">
        <v>0.0001535788742182071</v>
      </c>
      <c r="X35" s="77" t="n">
        <v>3.040861709520501</v>
      </c>
    </row>
    <row r="36" ht="14.25" customHeight="1" s="60">
      <c r="B36" s="75" t="inlineStr">
        <is>
          <t>대한민국</t>
        </is>
      </c>
      <c r="C36" s="75" t="inlineStr">
        <is>
          <t>평택공장</t>
        </is>
      </c>
      <c r="D36" s="75" t="inlineStr">
        <is>
          <t>기계장치</t>
        </is>
      </c>
      <c r="E36" s="75" t="inlineStr">
        <is>
          <t>컨베이어벨트 라인 증설(15M)</t>
        </is>
      </c>
      <c r="F36" s="78" t="inlineStr">
        <is>
          <t>FA-25-115</t>
        </is>
      </c>
      <c r="G36" s="76" t="inlineStr">
        <is>
          <t>기계장치</t>
        </is>
      </c>
      <c r="H36" s="76" t="inlineStr">
        <is>
          <t>한국컨베이어시스템</t>
        </is>
      </c>
      <c r="I36" s="79" t="n">
        <v>33200000</v>
      </c>
      <c r="J36" s="79" t="n"/>
      <c r="K36" s="79" t="n"/>
      <c r="L36" s="79" t="n"/>
      <c r="M36" s="79" t="n"/>
      <c r="N36" s="79" t="n"/>
      <c r="O36" s="79" t="n"/>
      <c r="P36" s="79" t="n"/>
      <c r="Q36" s="79" t="n"/>
      <c r="R36" s="79" t="n"/>
      <c r="S36" s="79" t="n"/>
      <c r="T36" s="79" t="n"/>
      <c r="U36" s="79" t="n"/>
      <c r="V36" s="76" t="inlineStr">
        <is>
          <t>냉동탑차 관련 부대비용 별도</t>
        </is>
      </c>
      <c r="W36" s="77" t="n">
        <v>0.0001285615010423905</v>
      </c>
      <c r="X36" s="77" t="n">
        <v>4.268241834607364</v>
      </c>
    </row>
    <row r="37" ht="14.25" customHeight="1" s="60">
      <c r="B37" s="75" t="inlineStr">
        <is>
          <t>일본</t>
        </is>
      </c>
      <c r="C37" s="75" t="inlineStr">
        <is>
          <t>도쿄지점</t>
        </is>
      </c>
      <c r="D37" s="79" t="inlineStr">
        <is>
          <t>IT장비</t>
        </is>
      </c>
      <c r="E37" s="75" t="inlineStr">
        <is>
          <t>복합기 렌탈-&gt;구매전환</t>
        </is>
      </c>
      <c r="F37" s="78" t="inlineStr">
        <is>
          <t>FA-25-118</t>
        </is>
      </c>
      <c r="G37" s="76" t="inlineStr">
        <is>
          <t>비품</t>
        </is>
      </c>
      <c r="H37" s="76" t="inlineStr">
        <is>
          <t>리코재팬</t>
        </is>
      </c>
      <c r="I37" s="79" t="n">
        <v>4100000</v>
      </c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9" t="n"/>
      <c r="T37" s="79" t="n"/>
      <c r="U37" s="79" t="n"/>
      <c r="V37" s="76" t="inlineStr">
        <is>
          <t>렌탈계약 만료로 구매전환건</t>
        </is>
      </c>
      <c r="W37" s="77" t="n">
        <v>0.0001285615010423905</v>
      </c>
      <c r="X37" s="77" t="n">
        <v>0.5271021542738011</v>
      </c>
    </row>
    <row r="38" ht="14.25" customHeight="1" s="60">
      <c r="B38" s="75" t="inlineStr">
        <is>
          <t>대한민국</t>
        </is>
      </c>
      <c r="C38" s="75" t="inlineStr">
        <is>
          <t>본사</t>
        </is>
      </c>
      <c r="D38" s="79" t="inlineStr">
        <is>
          <t>IT장비</t>
        </is>
      </c>
      <c r="E38" s="75" t="inlineStr">
        <is>
          <t>서버 UPS 20KVA</t>
        </is>
      </c>
      <c r="F38" s="78" t="inlineStr">
        <is>
          <t>FA-25-122</t>
        </is>
      </c>
      <c r="G38" s="76" t="inlineStr">
        <is>
          <t>비품</t>
        </is>
      </c>
      <c r="H38" s="78" t="inlineStr">
        <is>
          <t>APC코리아</t>
        </is>
      </c>
      <c r="I38" s="79" t="n">
        <v>15600000</v>
      </c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9" t="n"/>
      <c r="T38" s="79" t="n"/>
      <c r="U38" s="79" t="n"/>
      <c r="V38" s="76" t="inlineStr">
        <is>
          <t>전산실 무정전전원공급장치</t>
        </is>
      </c>
      <c r="W38" s="77" t="n">
        <v>4.030576789437109e-05</v>
      </c>
      <c r="X38" s="77" t="n">
        <v>0.628769979152189</v>
      </c>
    </row>
    <row r="39" ht="14.25" customHeight="1" s="60">
      <c r="B39" s="82" t="inlineStr">
        <is>
          <t>대한민국</t>
        </is>
      </c>
      <c r="C39" s="82" t="inlineStr">
        <is>
          <t>물류센터</t>
        </is>
      </c>
      <c r="D39" s="79" t="n"/>
      <c r="E39" s="82" t="inlineStr">
        <is>
          <t>지게차 3톤급 추가구매(중고)</t>
        </is>
      </c>
      <c r="F39" s="78" t="inlineStr">
        <is>
          <t>FA-25-130</t>
        </is>
      </c>
      <c r="G39" s="80" t="inlineStr">
        <is>
          <t>차량운반구</t>
        </is>
      </c>
      <c r="H39" s="80" t="inlineStr">
        <is>
          <t>현대건설기계중고사업부</t>
        </is>
      </c>
      <c r="I39" s="79" t="n">
        <v>41000000</v>
      </c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9" t="n"/>
      <c r="U39" s="79" t="n"/>
      <c r="V39" s="80" t="inlineStr">
        <is>
          <t>자산분류 미입력 — 키워드매칭(지게차) 테스트</t>
        </is>
      </c>
      <c r="W39" s="77" t="n">
        <v>0.0001779013203613621</v>
      </c>
      <c r="X39" s="77" t="n">
        <v>7.293954134815846</v>
      </c>
    </row>
    <row r="40" ht="14.25" customHeight="1" s="60">
      <c r="B40" s="82" t="inlineStr">
        <is>
          <t>대한민국</t>
        </is>
      </c>
      <c r="C40" s="82" t="inlineStr">
        <is>
          <t>본사</t>
        </is>
      </c>
      <c r="D40" s="79" t="n"/>
      <c r="E40" s="82" t="inlineStr">
        <is>
          <t>회의실 보조책상 6EA</t>
        </is>
      </c>
      <c r="F40" s="78" t="inlineStr">
        <is>
          <t>FA-25-133</t>
        </is>
      </c>
      <c r="G40" s="80" t="inlineStr">
        <is>
          <t>비품</t>
        </is>
      </c>
      <c r="H40" s="80" t="inlineStr">
        <is>
          <t>한샘오피스</t>
        </is>
      </c>
      <c r="I40" s="79" t="n">
        <v>2100000</v>
      </c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9" t="n"/>
      <c r="T40" s="79" t="n"/>
      <c r="U40" s="79" t="n"/>
      <c r="V40" s="80" t="inlineStr">
        <is>
          <t>자산분류 미입력 — 키워드매칭(책상) 테스트</t>
        </is>
      </c>
      <c r="W40" s="77" t="n">
        <v>0.0001667824878387769</v>
      </c>
      <c r="X40" s="77" t="n">
        <v>0.3502432244614315</v>
      </c>
    </row>
    <row r="41" ht="14.25" customHeight="1" s="60">
      <c r="B41" s="82" t="inlineStr">
        <is>
          <t>대한민국</t>
        </is>
      </c>
      <c r="C41" s="82" t="inlineStr">
        <is>
          <t>대구공장</t>
        </is>
      </c>
      <c r="D41" s="79" t="n"/>
      <c r="E41" s="82" t="inlineStr">
        <is>
          <t>특수 냉각시스템 모듈(공정용)</t>
        </is>
      </c>
      <c r="F41" s="78" t="inlineStr">
        <is>
          <t>FA-25-140</t>
        </is>
      </c>
      <c r="G41" s="80" t="inlineStr">
        <is>
          <t>기계장치</t>
        </is>
      </c>
      <c r="H41" s="80" t="inlineStr">
        <is>
          <t>대성냉동설비</t>
        </is>
      </c>
      <c r="I41" s="79" t="n">
        <v>28500000</v>
      </c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9" t="n"/>
      <c r="T41" s="79" t="n"/>
      <c r="U41" s="79" t="n"/>
      <c r="V41" s="80" t="inlineStr">
        <is>
          <t>자산분류 미입력 — 키워드매칭 실패시 AI그룹핑 테스트</t>
        </is>
      </c>
      <c r="W41" s="77" t="n">
        <v>0.0001285615010423905</v>
      </c>
      <c r="X41" s="77" t="n">
        <v>3.66400277970813</v>
      </c>
    </row>
    <row r="42" ht="14.25" customHeight="1" s="60">
      <c r="B42" s="82" t="inlineStr">
        <is>
          <t>대한민국</t>
        </is>
      </c>
      <c r="C42" s="82" t="inlineStr">
        <is>
          <t>부산지사</t>
        </is>
      </c>
      <c r="D42" s="79" t="n"/>
      <c r="E42" s="82" t="inlineStr">
        <is>
          <t>기타 설비관련 자산(내역 추후정리)</t>
        </is>
      </c>
      <c r="F42" s="78" t="inlineStr">
        <is>
          <t>FA-25-145</t>
        </is>
      </c>
      <c r="G42" s="80" t="inlineStr">
        <is>
          <t>기타자산</t>
        </is>
      </c>
      <c r="H42" s="80" t="inlineStr">
        <is>
          <t>미상</t>
        </is>
      </c>
      <c r="I42" s="79" t="n">
        <v>4300000</v>
      </c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9" t="n"/>
      <c r="T42" s="79" t="n"/>
      <c r="U42" s="79" t="n"/>
      <c r="V42" s="80" t="inlineStr">
        <is>
          <t>자산분류/품목명 모두 모호 — 기타구매 폴백 테스트</t>
        </is>
      </c>
      <c r="W42" s="77" t="n">
        <v>0.0001285615010423905</v>
      </c>
      <c r="X42" s="77" t="n">
        <v>0.5528144544822792</v>
      </c>
    </row>
    <row r="43" ht="14.25" customHeight="1" s="60">
      <c r="B43" s="79" t="n"/>
      <c r="C43" s="79" t="n"/>
      <c r="D43" s="79" t="n"/>
      <c r="E43" s="79" t="n"/>
      <c r="F43" s="78" t="n"/>
      <c r="G43" s="78" t="n"/>
      <c r="H43" s="78" t="n"/>
      <c r="I43" s="7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9" t="n"/>
      <c r="T43" s="79" t="n"/>
      <c r="U43" s="79" t="n"/>
      <c r="V43" s="78" t="n"/>
      <c r="W43" s="77" t="n"/>
      <c r="X43" s="77" t="n"/>
    </row>
    <row r="44" ht="14.25" customHeight="1" s="60">
      <c r="B44" s="79" t="n"/>
      <c r="C44" s="79" t="n"/>
      <c r="D44" s="79" t="n"/>
      <c r="E44" s="79" t="n"/>
      <c r="F44" s="78" t="n"/>
      <c r="G44" s="78" t="n"/>
      <c r="H44" s="78" t="n"/>
      <c r="I44" s="79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9" t="n"/>
      <c r="T44" s="79" t="n"/>
      <c r="U44" s="79" t="n"/>
      <c r="V44" s="78" t="n"/>
      <c r="W44" s="77" t="n"/>
      <c r="X44" s="77" t="n"/>
    </row>
    <row r="45" ht="14.25" customHeight="1" s="60">
      <c r="B45" s="79" t="n"/>
      <c r="C45" s="79" t="n"/>
      <c r="D45" s="79" t="n"/>
      <c r="E45" s="79" t="n"/>
      <c r="F45" s="78" t="n"/>
      <c r="G45" s="78" t="n"/>
      <c r="H45" s="78" t="n"/>
      <c r="I45" s="79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9" t="n"/>
      <c r="T45" s="79" t="n"/>
      <c r="U45" s="79" t="n"/>
      <c r="V45" s="78" t="n"/>
      <c r="W45" s="77" t="n"/>
      <c r="X45" s="77" t="n"/>
    </row>
    <row r="46" ht="14.25" customHeight="1" s="60">
      <c r="B46" s="79" t="n"/>
      <c r="C46" s="79" t="n"/>
      <c r="D46" s="79" t="n"/>
      <c r="E46" s="79" t="n"/>
      <c r="F46" s="78" t="n"/>
      <c r="G46" s="78" t="n"/>
      <c r="H46" s="78" t="n"/>
      <c r="I46" s="79" t="n"/>
      <c r="J46" s="79" t="n"/>
      <c r="K46" s="79" t="n"/>
      <c r="L46" s="79" t="n"/>
      <c r="M46" s="79" t="n"/>
      <c r="N46" s="79" t="n"/>
      <c r="O46" s="79" t="n"/>
      <c r="P46" s="79" t="n"/>
      <c r="Q46" s="79" t="n"/>
      <c r="R46" s="79" t="n"/>
      <c r="S46" s="79" t="n"/>
      <c r="T46" s="79" t="n"/>
      <c r="U46" s="79" t="n"/>
      <c r="V46" s="78" t="n"/>
      <c r="W46" s="77" t="n"/>
      <c r="X46" s="77" t="n"/>
    </row>
    <row r="47" ht="14.25" customHeight="1" s="60">
      <c r="B47" s="79" t="n"/>
      <c r="C47" s="79" t="n"/>
      <c r="D47" s="79" t="n"/>
      <c r="E47" s="79" t="n"/>
      <c r="F47" s="78" t="n"/>
      <c r="G47" s="78" t="n"/>
      <c r="H47" s="78" t="n"/>
      <c r="I47" s="79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9" t="n"/>
      <c r="T47" s="79" t="n"/>
      <c r="U47" s="79" t="n"/>
      <c r="V47" s="78" t="n"/>
      <c r="W47" s="77" t="n"/>
      <c r="X47" s="77" t="n"/>
    </row>
    <row r="48" ht="14.25" customHeight="1" s="60">
      <c r="B48" s="79" t="n"/>
      <c r="C48" s="79" t="n"/>
      <c r="D48" s="79" t="n"/>
      <c r="E48" s="79" t="n"/>
      <c r="F48" s="78" t="n"/>
      <c r="G48" s="78" t="n"/>
      <c r="H48" s="78" t="n"/>
      <c r="I48" s="79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9" t="n"/>
      <c r="T48" s="79" t="n"/>
      <c r="U48" s="79" t="n"/>
      <c r="V48" s="78" t="n"/>
      <c r="W48" s="77" t="n"/>
      <c r="X48" s="77" t="n"/>
    </row>
    <row r="49" ht="14.25" customHeight="1" s="60">
      <c r="B49" s="79" t="n"/>
      <c r="C49" s="79" t="n"/>
      <c r="D49" s="79" t="n"/>
      <c r="E49" s="79" t="n"/>
      <c r="F49" s="78" t="n"/>
      <c r="G49" s="78" t="n"/>
      <c r="H49" s="78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79" t="n"/>
      <c r="V49" s="78" t="n"/>
      <c r="W49" s="77" t="n"/>
      <c r="X49" s="77" t="n"/>
    </row>
    <row r="50" ht="14.25" customHeight="1" s="60">
      <c r="B50" s="79" t="n"/>
      <c r="C50" s="79" t="n"/>
      <c r="D50" s="79" t="n"/>
      <c r="E50" s="79" t="n"/>
      <c r="F50" s="78" t="n"/>
      <c r="G50" s="78" t="n"/>
      <c r="H50" s="78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9" t="n"/>
      <c r="T50" s="79" t="n"/>
      <c r="U50" s="79" t="n"/>
      <c r="V50" s="78" t="n"/>
      <c r="W50" s="77" t="n"/>
      <c r="X50" s="77" t="n"/>
    </row>
    <row r="51" ht="14.25" customHeight="1" s="60">
      <c r="B51" s="79" t="n"/>
      <c r="C51" s="79" t="n"/>
      <c r="D51" s="79" t="n"/>
      <c r="E51" s="79" t="n"/>
      <c r="F51" s="78" t="n"/>
      <c r="G51" s="78" t="n"/>
      <c r="H51" s="78" t="n"/>
      <c r="I51" s="79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9" t="n"/>
      <c r="T51" s="79" t="n"/>
      <c r="U51" s="79" t="n"/>
      <c r="V51" s="78" t="n"/>
      <c r="W51" s="77" t="n"/>
      <c r="X51" s="77" t="n"/>
    </row>
    <row r="52" ht="14.25" customHeight="1" s="60">
      <c r="B52" s="79" t="n"/>
      <c r="C52" s="79" t="n"/>
      <c r="D52" s="79" t="n"/>
      <c r="E52" s="79" t="n"/>
      <c r="F52" s="78" t="n"/>
      <c r="G52" s="78" t="n"/>
      <c r="H52" s="78" t="n"/>
      <c r="I52" s="79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9" t="n"/>
      <c r="T52" s="79" t="n"/>
      <c r="U52" s="79" t="n"/>
      <c r="V52" s="78" t="n"/>
      <c r="W52" s="77" t="n"/>
      <c r="X52" s="77" t="n"/>
    </row>
    <row r="53" ht="14.25" customHeight="1" s="60">
      <c r="B53" s="79" t="n"/>
      <c r="C53" s="79" t="n"/>
      <c r="D53" s="79" t="n"/>
      <c r="E53" s="79" t="n"/>
      <c r="F53" s="78" t="n"/>
      <c r="G53" s="78" t="n"/>
      <c r="H53" s="78" t="n"/>
      <c r="I53" s="79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9" t="n"/>
      <c r="V53" s="78" t="n"/>
      <c r="W53" s="77" t="n"/>
      <c r="X53" s="77" t="n"/>
    </row>
    <row r="54" ht="14.25" customHeight="1" s="60">
      <c r="B54" s="79" t="n"/>
      <c r="C54" s="79" t="n"/>
      <c r="D54" s="79" t="n"/>
      <c r="E54" s="79" t="n"/>
      <c r="F54" s="78" t="n"/>
      <c r="G54" s="78" t="n"/>
      <c r="H54" s="78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79" t="n"/>
      <c r="V54" s="78" t="n"/>
      <c r="W54" s="77" t="n"/>
      <c r="X54" s="77" t="n"/>
    </row>
  </sheetData>
  <mergeCells count="11">
    <mergeCell ref="E17:E18"/>
    <mergeCell ref="G17:G18"/>
    <mergeCell ref="H17:H18"/>
    <mergeCell ref="C17:C18"/>
    <mergeCell ref="F17:F18"/>
    <mergeCell ref="B17:B18"/>
    <mergeCell ref="V17:V18"/>
    <mergeCell ref="D17:D18"/>
    <mergeCell ref="W17:W18"/>
    <mergeCell ref="X17:X18"/>
    <mergeCell ref="J17:U17"/>
  </mergeCells>
  <dataValidations count="1">
    <dataValidation sqref="D20:D219" showDropDown="0" showInputMessage="0" showErrorMessage="0" allowBlank="0" type="list" errorStyle="stop" operator="between">
      <formula1>"건물/구축물,기계장치,생산설비,전기설비,공조/냉난방설비,차량운반구,공구와기구,금형/치공구,비품,IT장비,전기전자장비,연구/시험장비,물류/운반장비,소프트웨어/시스템,선택안함"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U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59" min="2" max="2"/>
    <col width="16" customWidth="1" style="59" min="3" max="3"/>
    <col width="18" customWidth="1" style="59" min="4" max="4"/>
    <col width="10" customWidth="1" style="59" min="5" max="5"/>
    <col width="16" customWidth="1" style="59" min="6" max="6"/>
    <col width="8" customWidth="1" style="59" min="7" max="18"/>
    <col width="18" customWidth="1" style="59" min="19" max="19"/>
    <col width="20" customWidth="1" style="59" min="20" max="20"/>
    <col width="16" customWidth="1" style="59" min="21" max="21"/>
  </cols>
  <sheetData>
    <row r="1"/>
    <row r="2" ht="20.25" customHeight="1" s="60">
      <c r="B2" s="61" t="inlineStr">
        <is>
          <t>C3. 연료 및 에너지 관련 활동</t>
        </is>
      </c>
    </row>
    <row r="3"/>
    <row r="4" ht="14.25" customHeight="1" s="60">
      <c r="B4" s="62" t="inlineStr">
        <is>
          <t>카테고리 정의</t>
        </is>
      </c>
    </row>
    <row r="5" ht="14.25" customHeight="1" s="60">
      <c r="B5" s="63" t="inlineStr">
        <is>
          <t>- Scope 1, Scope 2에 포함되지 않은 연료 및 에너지의 업스트림 배출량과 송전·배전 손실에서 발생하는 온실가스 배출량</t>
        </is>
      </c>
    </row>
    <row r="6" ht="14.25" customHeight="1" s="60">
      <c r="B6" s="63" t="inlineStr">
        <is>
          <t>- 직접 연소 배출량 또는 전력 사용 배출량 자체가 아니라 연료 생산·운송 및 전력 손실 등 간접 배출량에 해당</t>
        </is>
      </c>
    </row>
    <row r="7"/>
    <row r="8"/>
    <row r="9" ht="14.25" customHeight="1" s="60">
      <c r="B9" s="62" t="inlineStr">
        <is>
          <t>작성 기준</t>
        </is>
      </c>
    </row>
    <row r="10" ht="14.25" customHeight="1" s="60">
      <c r="B10" s="63" t="inlineStr">
        <is>
          <t>1) 온실가스 산정 식: Σ(연료/에너지 사용량 × 연료/에너지별 업스트림 또는 손실 배출계수)</t>
        </is>
      </c>
    </row>
    <row r="11" ht="14.25" customHeight="1" s="60">
      <c r="B11" s="63" t="inlineStr">
        <is>
          <t xml:space="preserve"> - 온실가스 배출계수는 환경부-환경성적표지(EPD) 평가계수를 활용</t>
        </is>
      </c>
    </row>
    <row r="12" ht="14.25" customHeight="1" s="60">
      <c r="B12" s="63" t="inlineStr">
        <is>
          <t>2) 원지출금액이 아니라 실제 사용량을 기준으로 작성</t>
        </is>
      </c>
    </row>
    <row r="13" ht="14.25" customHeight="1" s="60">
      <c r="B13" s="63" t="inlineStr">
        <is>
          <t>3) 연료/에너지명과 단위는 실제 사용한 항목 기준으로 선택</t>
        </is>
      </c>
    </row>
    <row r="14" ht="14.25" customHeight="1" s="60">
      <c r="B14" s="63" t="inlineStr">
        <is>
          <t>4) 동일한 연료라도 사업장, 단위, 사용 목적이 다르면 행을 나누어 작성</t>
        </is>
      </c>
    </row>
    <row r="15"/>
    <row r="16" ht="14.25" customHeight="1" s="60">
      <c r="B16" s="64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0">
      <c r="B17" s="64" t="inlineStr">
        <is>
          <t>※ 주황색으로 표시된 필수 입력칸은 반드시 작성해야 합니다.</t>
        </is>
      </c>
    </row>
    <row r="18" ht="15" customHeight="1" s="60">
      <c r="B18" s="65" t="inlineStr">
        <is>
          <t>*국가</t>
        </is>
      </c>
      <c r="C18" s="65" t="inlineStr">
        <is>
          <t>*사업장</t>
        </is>
      </c>
      <c r="D18" s="65" t="inlineStr">
        <is>
          <t>*연료/에너지명</t>
        </is>
      </c>
      <c r="E18" s="65" t="inlineStr">
        <is>
          <t>*단위</t>
        </is>
      </c>
      <c r="F18" s="67" t="inlineStr">
        <is>
          <t>연간 입력</t>
        </is>
      </c>
      <c r="G18" s="67" t="inlineStr">
        <is>
          <t>월별 사용량</t>
        </is>
      </c>
      <c r="H18" s="68" t="n"/>
      <c r="I18" s="68" t="n"/>
      <c r="J18" s="68" t="n"/>
      <c r="K18" s="68" t="n"/>
      <c r="L18" s="68" t="n"/>
      <c r="M18" s="68" t="n"/>
      <c r="N18" s="68" t="n"/>
      <c r="O18" s="68" t="n"/>
      <c r="P18" s="68" t="n"/>
      <c r="Q18" s="68" t="n"/>
      <c r="R18" s="69" t="n"/>
      <c r="S18" s="66" t="inlineStr">
        <is>
          <t>비고(선택)</t>
        </is>
      </c>
      <c r="T18" s="66" t="inlineStr">
        <is>
          <t>배출계수(tCO2e/단위)</t>
        </is>
      </c>
      <c r="U18" s="66" t="inlineStr">
        <is>
          <t>배출량(tCO2e)</t>
        </is>
      </c>
    </row>
    <row r="19" ht="15.75" customHeight="1" s="60">
      <c r="B19" s="70" t="n"/>
      <c r="C19" s="70" t="n"/>
      <c r="D19" s="70" t="n"/>
      <c r="E19" s="70" t="n"/>
      <c r="F19" s="66" t="inlineStr">
        <is>
          <t>연간사용량</t>
        </is>
      </c>
      <c r="G19" s="65" t="inlineStr">
        <is>
          <t>1월</t>
        </is>
      </c>
      <c r="H19" s="65" t="inlineStr">
        <is>
          <t>2월</t>
        </is>
      </c>
      <c r="I19" s="65" t="inlineStr">
        <is>
          <t>3월</t>
        </is>
      </c>
      <c r="J19" s="65" t="inlineStr">
        <is>
          <t>4월</t>
        </is>
      </c>
      <c r="K19" s="65" t="inlineStr">
        <is>
          <t>5월</t>
        </is>
      </c>
      <c r="L19" s="65" t="inlineStr">
        <is>
          <t>6월</t>
        </is>
      </c>
      <c r="M19" s="65" t="inlineStr">
        <is>
          <t>7월</t>
        </is>
      </c>
      <c r="N19" s="65" t="inlineStr">
        <is>
          <t>8월</t>
        </is>
      </c>
      <c r="O19" s="65" t="inlineStr">
        <is>
          <t>9월</t>
        </is>
      </c>
      <c r="P19" s="65" t="inlineStr">
        <is>
          <t>10월</t>
        </is>
      </c>
      <c r="Q19" s="65" t="inlineStr">
        <is>
          <t>11월</t>
        </is>
      </c>
      <c r="R19" s="65" t="inlineStr">
        <is>
          <t>12월</t>
        </is>
      </c>
      <c r="S19" s="70" t="n"/>
      <c r="T19" s="70" t="n"/>
      <c r="U19" s="70" t="n"/>
    </row>
    <row r="20" ht="32.25" customHeight="1" s="60">
      <c r="B20" s="71" t="inlineStr">
        <is>
          <t>대한민국</t>
        </is>
      </c>
      <c r="C20" s="71" t="inlineStr">
        <is>
          <t>본사</t>
        </is>
      </c>
      <c r="D20" s="71" t="inlineStr">
        <is>
          <t>전기</t>
        </is>
      </c>
      <c r="E20" s="72" t="inlineStr">
        <is>
          <t>kWh</t>
        </is>
      </c>
      <c r="F20" s="71" t="n">
        <v>120000</v>
      </c>
      <c r="G20" s="71" t="n"/>
      <c r="H20" s="71" t="n"/>
      <c r="I20" s="71" t="n"/>
      <c r="J20" s="71" t="n"/>
      <c r="K20" s="71" t="n"/>
      <c r="L20" s="71" t="n"/>
      <c r="M20" s="71" t="n"/>
      <c r="N20" s="71" t="n"/>
      <c r="O20" s="71" t="n"/>
      <c r="P20" s="71" t="n"/>
      <c r="Q20" s="71" t="n"/>
      <c r="R20" s="71" t="n"/>
      <c r="S20" s="73" t="inlineStr">
        <is>
          <t>전력 사용량 연간 합계</t>
        </is>
      </c>
      <c r="T20" s="74" t="n">
        <v>7.099999999999999e-05</v>
      </c>
      <c r="U20" s="74" t="n">
        <v>8.52</v>
      </c>
    </row>
    <row r="21" ht="48" customHeight="1" s="60">
      <c r="B21" s="75" t="inlineStr">
        <is>
          <t>대한민국</t>
        </is>
      </c>
      <c r="C21" s="75" t="inlineStr">
        <is>
          <t>평택공장</t>
        </is>
      </c>
      <c r="D21" s="75" t="inlineStr">
        <is>
          <t>도시가스(LNG)</t>
        </is>
      </c>
      <c r="E21" s="79" t="inlineStr">
        <is>
          <t>Nm³</t>
        </is>
      </c>
      <c r="F21" s="75" t="n"/>
      <c r="G21" s="75" t="n">
        <v>8500</v>
      </c>
      <c r="H21" s="75" t="n">
        <v>8500</v>
      </c>
      <c r="I21" s="75" t="n">
        <v>8500</v>
      </c>
      <c r="J21" s="75" t="n">
        <v>8500</v>
      </c>
      <c r="K21" s="75" t="n">
        <v>8500</v>
      </c>
      <c r="L21" s="75" t="n">
        <v>8500</v>
      </c>
      <c r="M21" s="75" t="n">
        <v>8500</v>
      </c>
      <c r="N21" s="75" t="n">
        <v>8500</v>
      </c>
      <c r="O21" s="75" t="n">
        <v>8500</v>
      </c>
      <c r="P21" s="75" t="n">
        <v>8500</v>
      </c>
      <c r="Q21" s="75" t="n">
        <v>8500</v>
      </c>
      <c r="R21" s="75" t="n">
        <v>8500</v>
      </c>
      <c r="S21" s="76" t="inlineStr">
        <is>
          <t>공장 보일러 도시가스 월별 사용량</t>
        </is>
      </c>
      <c r="T21" s="77" t="n">
        <v>0.00019527</v>
      </c>
      <c r="U21" s="77" t="n">
        <v>19.91754</v>
      </c>
    </row>
    <row r="22" ht="32.25" customHeight="1" s="60">
      <c r="B22" s="75" t="inlineStr">
        <is>
          <t>대한민국</t>
        </is>
      </c>
      <c r="C22" s="75" t="inlineStr">
        <is>
          <t>물류센터</t>
        </is>
      </c>
      <c r="D22" s="75" t="inlineStr">
        <is>
          <t>경유</t>
        </is>
      </c>
      <c r="E22" s="79" t="inlineStr">
        <is>
          <t>L</t>
        </is>
      </c>
      <c r="F22" s="75" t="n">
        <v>54000</v>
      </c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6" t="inlineStr">
        <is>
          <t>비상발전기 및 지게차 연료</t>
        </is>
      </c>
      <c r="T22" s="77" t="n">
        <v>6.819e-05</v>
      </c>
      <c r="U22" s="77" t="n">
        <v>3.68226</v>
      </c>
    </row>
    <row r="23" ht="32.25" customHeight="1" s="60">
      <c r="B23" s="75" t="inlineStr">
        <is>
          <t>베트남</t>
        </is>
      </c>
      <c r="C23" s="75" t="inlineStr">
        <is>
          <t>베트남공장</t>
        </is>
      </c>
      <c r="D23" s="75" t="inlineStr">
        <is>
          <t>전기</t>
        </is>
      </c>
      <c r="E23" s="79" t="inlineStr">
        <is>
          <t>kWh</t>
        </is>
      </c>
      <c r="F23" s="75" t="n"/>
      <c r="G23" s="75" t="n">
        <v>43000</v>
      </c>
      <c r="H23" s="75" t="n">
        <v>43000</v>
      </c>
      <c r="I23" s="75" t="n">
        <v>43000</v>
      </c>
      <c r="J23" s="75" t="n">
        <v>43000</v>
      </c>
      <c r="K23" s="75" t="n">
        <v>43000</v>
      </c>
      <c r="L23" s="75" t="n">
        <v>43000</v>
      </c>
      <c r="M23" s="75" t="n">
        <v>43000</v>
      </c>
      <c r="N23" s="75" t="n">
        <v>43000</v>
      </c>
      <c r="O23" s="75" t="n">
        <v>43000</v>
      </c>
      <c r="P23" s="75" t="n">
        <v>43000</v>
      </c>
      <c r="Q23" s="75" t="n">
        <v>43000</v>
      </c>
      <c r="R23" s="75" t="n">
        <v>43000</v>
      </c>
      <c r="S23" s="76" t="inlineStr">
        <is>
          <t>해외 생산법인 전력 사용량</t>
        </is>
      </c>
      <c r="T23" s="77" t="n">
        <v>7.099999999999999e-05</v>
      </c>
      <c r="U23" s="77" t="n">
        <v>36.636</v>
      </c>
    </row>
    <row r="24" ht="32.25" customHeight="1" s="60">
      <c r="B24" s="75" t="inlineStr">
        <is>
          <t>대한민국</t>
        </is>
      </c>
      <c r="C24" s="75" t="inlineStr">
        <is>
          <t>대구공장</t>
        </is>
      </c>
      <c r="D24" s="75" t="inlineStr">
        <is>
          <t>전기</t>
        </is>
      </c>
      <c r="E24" s="79" t="inlineStr">
        <is>
          <t>kWh</t>
        </is>
      </c>
      <c r="F24" s="79" t="n">
        <v>310000</v>
      </c>
      <c r="G24" s="79" t="n"/>
      <c r="H24" s="79" t="n"/>
      <c r="I24" s="79" t="n"/>
      <c r="J24" s="79" t="n"/>
      <c r="K24" s="79" t="n"/>
      <c r="L24" s="79" t="n"/>
      <c r="M24" s="79" t="n"/>
      <c r="N24" s="79" t="n"/>
      <c r="O24" s="79" t="n"/>
      <c r="P24" s="79" t="n"/>
      <c r="Q24" s="79" t="n"/>
      <c r="R24" s="79" t="n"/>
      <c r="S24" s="76" t="inlineStr">
        <is>
          <t>공장 전력 사용량 연간 합계</t>
        </is>
      </c>
      <c r="T24" s="77" t="n">
        <v>7.099999999999999e-05</v>
      </c>
      <c r="U24" s="77" t="n">
        <v>22.01</v>
      </c>
    </row>
    <row r="25" ht="32.25" customHeight="1" s="60">
      <c r="B25" s="75" t="inlineStr">
        <is>
          <t>대한민국</t>
        </is>
      </c>
      <c r="C25" s="75" t="inlineStr">
        <is>
          <t>본사</t>
        </is>
      </c>
      <c r="D25" s="75" t="inlineStr">
        <is>
          <t>스팀</t>
        </is>
      </c>
      <c r="E25" s="79" t="inlineStr">
        <is>
          <t>GJ</t>
        </is>
      </c>
      <c r="F25" s="79" t="n"/>
      <c r="G25" s="79" t="n">
        <v>45</v>
      </c>
      <c r="H25" s="79" t="n">
        <v>45</v>
      </c>
      <c r="I25" s="79" t="n">
        <v>45</v>
      </c>
      <c r="J25" s="79" t="n">
        <v>45</v>
      </c>
      <c r="K25" s="79" t="n">
        <v>45</v>
      </c>
      <c r="L25" s="79" t="n">
        <v>45</v>
      </c>
      <c r="M25" s="79" t="n">
        <v>45</v>
      </c>
      <c r="N25" s="79" t="n">
        <v>45</v>
      </c>
      <c r="O25" s="79" t="n">
        <v>45</v>
      </c>
      <c r="P25" s="79" t="n">
        <v>45</v>
      </c>
      <c r="Q25" s="79" t="n">
        <v>45</v>
      </c>
      <c r="R25" s="79" t="n">
        <v>45</v>
      </c>
      <c r="S25" s="76" t="inlineStr">
        <is>
          <t>본사 냉난방용 지역난방 스팀</t>
        </is>
      </c>
      <c r="T25" s="77" t="n">
        <v>0.004844491145</v>
      </c>
      <c r="U25" s="77" t="n">
        <v>2.6160252183</v>
      </c>
    </row>
    <row r="26" ht="16.5" customHeight="1" s="60">
      <c r="B26" s="75" t="inlineStr">
        <is>
          <t>대한민국</t>
        </is>
      </c>
      <c r="C26" s="75" t="inlineStr">
        <is>
          <t>부산지사</t>
        </is>
      </c>
      <c r="D26" s="75" t="inlineStr">
        <is>
          <t>경유</t>
        </is>
      </c>
      <c r="E26" s="79" t="inlineStr">
        <is>
          <t>L</t>
        </is>
      </c>
      <c r="F26" s="79" t="n">
        <v>18000</v>
      </c>
      <c r="G26" s="79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6" t="inlineStr">
        <is>
          <t>비상발전기 연료</t>
        </is>
      </c>
      <c r="T26" s="77" t="n">
        <v>6.819e-05</v>
      </c>
      <c r="U26" s="77" t="n">
        <v>1.22742</v>
      </c>
    </row>
    <row r="27" ht="32.25" customHeight="1" s="60">
      <c r="B27" s="75" t="inlineStr">
        <is>
          <t>중국</t>
        </is>
      </c>
      <c r="C27" s="75" t="inlineStr">
        <is>
          <t>상하이공장</t>
        </is>
      </c>
      <c r="D27" s="75" t="inlineStr">
        <is>
          <t>전기</t>
        </is>
      </c>
      <c r="E27" s="79" t="inlineStr">
        <is>
          <t>kWh</t>
        </is>
      </c>
      <c r="F27" s="79" t="n"/>
      <c r="G27" s="79" t="n">
        <v>96000</v>
      </c>
      <c r="H27" s="79" t="n">
        <v>96000</v>
      </c>
      <c r="I27" s="79" t="n">
        <v>96000</v>
      </c>
      <c r="J27" s="79" t="n">
        <v>96000</v>
      </c>
      <c r="K27" s="79" t="n">
        <v>96000</v>
      </c>
      <c r="L27" s="79" t="n">
        <v>96000</v>
      </c>
      <c r="M27" s="79" t="n">
        <v>96000</v>
      </c>
      <c r="N27" s="79" t="n">
        <v>96000</v>
      </c>
      <c r="O27" s="79" t="n">
        <v>96000</v>
      </c>
      <c r="P27" s="79" t="n">
        <v>96000</v>
      </c>
      <c r="Q27" s="79" t="n">
        <v>96000</v>
      </c>
      <c r="R27" s="79" t="n">
        <v>96000</v>
      </c>
      <c r="S27" s="76" t="inlineStr">
        <is>
          <t>상하이공장 전력 사용량</t>
        </is>
      </c>
      <c r="T27" s="77" t="n">
        <v>7.099999999999999e-05</v>
      </c>
      <c r="U27" s="77" t="n">
        <v>81.79199999999999</v>
      </c>
    </row>
    <row r="28" ht="16.5" customHeight="1" s="60">
      <c r="B28" s="75" t="inlineStr">
        <is>
          <t>미국</t>
        </is>
      </c>
      <c r="C28" s="75" t="inlineStr">
        <is>
          <t>미국판매법인</t>
        </is>
      </c>
      <c r="D28" s="75" t="inlineStr">
        <is>
          <t>전기</t>
        </is>
      </c>
      <c r="E28" s="79" t="inlineStr">
        <is>
          <t>kWh</t>
        </is>
      </c>
      <c r="F28" s="79" t="n">
        <v>68000</v>
      </c>
      <c r="G28" s="79" t="n"/>
      <c r="H28" s="79" t="n"/>
      <c r="I28" s="79" t="n"/>
      <c r="J28" s="79" t="n"/>
      <c r="K28" s="79" t="n"/>
      <c r="L28" s="79" t="n"/>
      <c r="M28" s="79" t="n"/>
      <c r="N28" s="79" t="n"/>
      <c r="O28" s="79" t="n"/>
      <c r="P28" s="79" t="n"/>
      <c r="Q28" s="79" t="n"/>
      <c r="R28" s="79" t="n"/>
      <c r="S28" s="76" t="inlineStr">
        <is>
          <t>매장 전력 사용량</t>
        </is>
      </c>
      <c r="T28" s="77" t="n">
        <v>7.099999999999999e-05</v>
      </c>
      <c r="U28" s="77" t="n">
        <v>4.828</v>
      </c>
    </row>
    <row r="29" ht="16.5" customHeight="1" s="60">
      <c r="B29" s="75" t="inlineStr">
        <is>
          <t>대한민국</t>
        </is>
      </c>
      <c r="C29" s="75" t="inlineStr">
        <is>
          <t>물류센터</t>
        </is>
      </c>
      <c r="D29" s="79" t="inlineStr">
        <is>
          <t>LPG</t>
        </is>
      </c>
      <c r="E29" s="79" t="inlineStr">
        <is>
          <t>kg</t>
        </is>
      </c>
      <c r="F29" s="79" t="n">
        <v>4200</v>
      </c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6" t="inlineStr">
        <is>
          <t>지게차 연료용 LPG</t>
        </is>
      </c>
      <c r="T29" s="77" t="n">
        <v>0.0003936</v>
      </c>
      <c r="U29" s="77" t="n">
        <v>1.65312</v>
      </c>
    </row>
    <row r="30" ht="32.25" customHeight="1" s="60">
      <c r="B30" s="75" t="inlineStr">
        <is>
          <t>베트남</t>
        </is>
      </c>
      <c r="C30" s="75" t="inlineStr">
        <is>
          <t>베트남공장</t>
        </is>
      </c>
      <c r="D30" s="75" t="inlineStr">
        <is>
          <t>도시가스(LNG)</t>
        </is>
      </c>
      <c r="E30" s="79" t="inlineStr">
        <is>
          <t>Nm³</t>
        </is>
      </c>
      <c r="F30" s="79" t="n"/>
      <c r="G30" s="79" t="n">
        <v>6200</v>
      </c>
      <c r="H30" s="79" t="n">
        <v>6200</v>
      </c>
      <c r="I30" s="79" t="n">
        <v>6200</v>
      </c>
      <c r="J30" s="79" t="n">
        <v>6200</v>
      </c>
      <c r="K30" s="79" t="n">
        <v>6200</v>
      </c>
      <c r="L30" s="79" t="n">
        <v>6200</v>
      </c>
      <c r="M30" s="79" t="n">
        <v>6200</v>
      </c>
      <c r="N30" s="79" t="n">
        <v>6200</v>
      </c>
      <c r="O30" s="79" t="n">
        <v>6200</v>
      </c>
      <c r="P30" s="79" t="n">
        <v>6200</v>
      </c>
      <c r="Q30" s="79" t="n">
        <v>6200</v>
      </c>
      <c r="R30" s="79" t="n">
        <v>6200</v>
      </c>
      <c r="S30" s="76" t="inlineStr">
        <is>
          <t>기숙사 취사용 도시가스</t>
        </is>
      </c>
      <c r="T30" s="77" t="n">
        <v>0.00019527</v>
      </c>
      <c r="U30" s="77" t="n">
        <v>14.528088</v>
      </c>
    </row>
    <row r="31" ht="16.5" customHeight="1" s="60">
      <c r="B31" s="75" t="inlineStr">
        <is>
          <t>대한민국</t>
        </is>
      </c>
      <c r="C31" s="75" t="inlineStr">
        <is>
          <t>평택공장</t>
        </is>
      </c>
      <c r="D31" s="75" t="inlineStr">
        <is>
          <t>휘발유</t>
        </is>
      </c>
      <c r="E31" s="79" t="inlineStr">
        <is>
          <t>L</t>
        </is>
      </c>
      <c r="F31" s="79" t="n">
        <v>3600</v>
      </c>
      <c r="G31" s="79" t="n"/>
      <c r="H31" s="79" t="n"/>
      <c r="I31" s="79" t="n"/>
      <c r="J31" s="79" t="n"/>
      <c r="K31" s="79" t="n"/>
      <c r="L31" s="79" t="n"/>
      <c r="M31" s="79" t="n"/>
      <c r="N31" s="79" t="n"/>
      <c r="O31" s="79" t="n"/>
      <c r="P31" s="79" t="n"/>
      <c r="Q31" s="79" t="n"/>
      <c r="R31" s="79" t="n"/>
      <c r="S31" s="76" t="inlineStr">
        <is>
          <t>업무용 차량 연료</t>
        </is>
      </c>
      <c r="T31" s="77" t="n">
        <v>8.316999999999999e-05</v>
      </c>
      <c r="U31" s="77" t="n">
        <v>0.299412</v>
      </c>
    </row>
    <row r="32" ht="14.25" customHeight="1" s="60">
      <c r="B32" s="75" t="inlineStr">
        <is>
          <t>대한민국</t>
        </is>
      </c>
      <c r="C32" s="75" t="inlineStr">
        <is>
          <t>대구공장</t>
        </is>
      </c>
      <c r="D32" s="75" t="inlineStr">
        <is>
          <t>전기</t>
        </is>
      </c>
      <c r="E32" s="79" t="inlineStr">
        <is>
          <t>kwh</t>
        </is>
      </c>
      <c r="F32" s="79" t="n">
        <v>298450</v>
      </c>
      <c r="G32" s="79" t="n"/>
      <c r="H32" s="79" t="n"/>
      <c r="I32" s="79" t="n"/>
      <c r="J32" s="79" t="n"/>
      <c r="K32" s="79" t="n"/>
      <c r="L32" s="79" t="n"/>
      <c r="M32" s="79" t="n"/>
      <c r="N32" s="79" t="n"/>
      <c r="O32" s="79" t="n"/>
      <c r="P32" s="79" t="n"/>
      <c r="Q32" s="79" t="n"/>
      <c r="R32" s="79" t="n"/>
      <c r="S32" s="78" t="inlineStr">
        <is>
          <t>1~12월 합산치(계량기 검침값)</t>
        </is>
      </c>
      <c r="T32" s="77" t="n">
        <v>7.099999999999999e-05</v>
      </c>
      <c r="U32" s="77" t="n">
        <v>21.18995</v>
      </c>
    </row>
    <row r="33" ht="14.25" customHeight="1" s="60">
      <c r="B33" s="75" t="inlineStr">
        <is>
          <t>대한민국</t>
        </is>
      </c>
      <c r="C33" s="75" t="inlineStr">
        <is>
          <t>본사</t>
        </is>
      </c>
      <c r="D33" s="75" t="inlineStr">
        <is>
          <t>경유</t>
        </is>
      </c>
      <c r="E33" s="79" t="inlineStr">
        <is>
          <t>L</t>
        </is>
      </c>
      <c r="F33" s="79" t="n"/>
      <c r="G33" s="79" t="n">
        <v>1240</v>
      </c>
      <c r="H33" s="79" t="n">
        <v>1240</v>
      </c>
      <c r="I33" s="79" t="n">
        <v>1240</v>
      </c>
      <c r="J33" s="79" t="n">
        <v>1240</v>
      </c>
      <c r="K33" s="79" t="n">
        <v>1240</v>
      </c>
      <c r="L33" s="79" t="n">
        <v>1240</v>
      </c>
      <c r="M33" s="79" t="n">
        <v>1240</v>
      </c>
      <c r="N33" s="79" t="n">
        <v>1240</v>
      </c>
      <c r="O33" s="79" t="n">
        <v>1240</v>
      </c>
      <c r="P33" s="79" t="n">
        <v>1240</v>
      </c>
      <c r="Q33" s="79" t="n">
        <v>1240</v>
      </c>
      <c r="R33" s="79" t="n">
        <v>1240</v>
      </c>
      <c r="S33" s="76" t="inlineStr">
        <is>
          <t>본사 비상발전기, 매월 소량주유</t>
        </is>
      </c>
      <c r="T33" s="77" t="n">
        <v>6.819e-05</v>
      </c>
      <c r="U33" s="77" t="n">
        <v>1.0146672</v>
      </c>
    </row>
    <row r="34" ht="14.25" customHeight="1" s="60">
      <c r="B34" s="75" t="inlineStr">
        <is>
          <t>베트남</t>
        </is>
      </c>
      <c r="C34" s="75" t="inlineStr">
        <is>
          <t>베트남공장</t>
        </is>
      </c>
      <c r="D34" s="75" t="inlineStr">
        <is>
          <t>전기</t>
        </is>
      </c>
      <c r="E34" s="79" t="inlineStr">
        <is>
          <t>kWh</t>
        </is>
      </c>
      <c r="F34" s="79" t="n"/>
      <c r="G34" s="79" t="n">
        <v>88700</v>
      </c>
      <c r="H34" s="79" t="n">
        <v>88700</v>
      </c>
      <c r="I34" s="79" t="n">
        <v>88700</v>
      </c>
      <c r="J34" s="79" t="n">
        <v>88700</v>
      </c>
      <c r="K34" s="79" t="n">
        <v>88700</v>
      </c>
      <c r="L34" s="79" t="n">
        <v>88700</v>
      </c>
      <c r="M34" s="79" t="n">
        <v>88700</v>
      </c>
      <c r="N34" s="79" t="n">
        <v>88700</v>
      </c>
      <c r="O34" s="79" t="n">
        <v>88700</v>
      </c>
      <c r="P34" s="79" t="n">
        <v>88700</v>
      </c>
      <c r="Q34" s="79" t="n">
        <v>88700</v>
      </c>
      <c r="R34" s="79" t="n">
        <v>88700</v>
      </c>
      <c r="S34" s="76" t="inlineStr">
        <is>
          <t>현지 전력공사 청구서 기준환산</t>
        </is>
      </c>
      <c r="T34" s="77" t="n">
        <v>7.099999999999999e-05</v>
      </c>
      <c r="U34" s="77" t="n">
        <v>75.57239999999999</v>
      </c>
    </row>
    <row r="35" ht="14.25" customHeight="1" s="60">
      <c r="B35" s="75" t="inlineStr">
        <is>
          <t>대한민국</t>
        </is>
      </c>
      <c r="C35" s="75" t="inlineStr">
        <is>
          <t>물류센터</t>
        </is>
      </c>
      <c r="D35" s="79" t="inlineStr">
        <is>
          <t>LPG</t>
        </is>
      </c>
      <c r="E35" s="79" t="inlineStr">
        <is>
          <t>KG</t>
        </is>
      </c>
      <c r="F35" s="79" t="n">
        <v>3980</v>
      </c>
      <c r="G35" s="79" t="n"/>
      <c r="H35" s="79" t="n"/>
      <c r="I35" s="79" t="n"/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6" t="inlineStr">
        <is>
          <t>지게차용, 단위 대문자로 입력됨</t>
        </is>
      </c>
      <c r="T35" s="77" t="n">
        <v>0.0003936</v>
      </c>
      <c r="U35" s="77" t="n">
        <v>0.8459251200000001</v>
      </c>
    </row>
    <row r="36" ht="14.25" customHeight="1" s="60">
      <c r="B36" s="75" t="inlineStr">
        <is>
          <t>중국</t>
        </is>
      </c>
      <c r="C36" s="75" t="inlineStr">
        <is>
          <t>상하이공장</t>
        </is>
      </c>
      <c r="D36" s="75" t="inlineStr">
        <is>
          <t>도시가스(LNG)</t>
        </is>
      </c>
      <c r="E36" s="79" t="inlineStr">
        <is>
          <t>Nm3</t>
        </is>
      </c>
      <c r="F36" s="79" t="n"/>
      <c r="G36" s="79" t="n">
        <v>5430</v>
      </c>
      <c r="H36" s="79" t="n">
        <v>5430</v>
      </c>
      <c r="I36" s="79" t="n">
        <v>5430</v>
      </c>
      <c r="J36" s="79" t="n">
        <v>5430</v>
      </c>
      <c r="K36" s="79" t="n">
        <v>5430</v>
      </c>
      <c r="L36" s="79" t="n">
        <v>5430</v>
      </c>
      <c r="M36" s="79" t="n">
        <v>5430</v>
      </c>
      <c r="N36" s="79" t="n">
        <v>5430</v>
      </c>
      <c r="O36" s="79" t="n">
        <v>5430</v>
      </c>
      <c r="P36" s="79" t="n">
        <v>5430</v>
      </c>
      <c r="Q36" s="79" t="n">
        <v>5430</v>
      </c>
      <c r="R36" s="79" t="n">
        <v>5430</v>
      </c>
      <c r="S36" s="78" t="inlineStr">
        <is>
          <t>Nm³ 특수문자 대신 Nm3로 입력한 케이스</t>
        </is>
      </c>
      <c r="T36" s="77" t="n">
        <v>0.00019527</v>
      </c>
      <c r="U36" s="77" t="n">
        <v>12.7237932</v>
      </c>
    </row>
    <row r="37" ht="14.25" customHeight="1" s="60">
      <c r="B37" s="75" t="inlineStr">
        <is>
          <t>대한민국</t>
        </is>
      </c>
      <c r="C37" s="75" t="inlineStr">
        <is>
          <t>평택공장</t>
        </is>
      </c>
      <c r="D37" s="75" t="inlineStr">
        <is>
          <t xml:space="preserve">전기 </t>
        </is>
      </c>
      <c r="E37" s="79" t="inlineStr">
        <is>
          <t>kWh</t>
        </is>
      </c>
      <c r="F37" s="79" t="n">
        <v>612300</v>
      </c>
      <c r="G37" s="79" t="n"/>
      <c r="H37" s="79" t="n"/>
      <c r="I37" s="79" t="n"/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6" t="inlineStr">
        <is>
          <t>연료명 뒤에 공백 있음(오타성)</t>
        </is>
      </c>
      <c r="T37" s="77" t="n">
        <v>7.099999999999999e-05</v>
      </c>
      <c r="U37" s="77" t="n">
        <v>43.47329999999999</v>
      </c>
    </row>
    <row r="38" ht="14.25" customHeight="1" s="60">
      <c r="B38" s="75" t="inlineStr">
        <is>
          <t>일본</t>
        </is>
      </c>
      <c r="C38" s="75" t="inlineStr">
        <is>
          <t>도쿄지점</t>
        </is>
      </c>
      <c r="D38" s="75" t="inlineStr">
        <is>
          <t>전기</t>
        </is>
      </c>
      <c r="E38" s="79" t="inlineStr">
        <is>
          <t>kwh</t>
        </is>
      </c>
      <c r="F38" s="79" t="n"/>
      <c r="G38" s="79" t="n">
        <v>14200</v>
      </c>
      <c r="H38" s="79" t="n">
        <v>14200</v>
      </c>
      <c r="I38" s="79" t="n">
        <v>14200</v>
      </c>
      <c r="J38" s="79" t="n">
        <v>14200</v>
      </c>
      <c r="K38" s="79" t="n">
        <v>14200</v>
      </c>
      <c r="L38" s="79" t="n">
        <v>14200</v>
      </c>
      <c r="M38" s="79" t="n">
        <v>14200</v>
      </c>
      <c r="N38" s="79" t="n">
        <v>14200</v>
      </c>
      <c r="O38" s="79" t="n">
        <v>14200</v>
      </c>
      <c r="P38" s="79" t="n">
        <v>14200</v>
      </c>
      <c r="Q38" s="79" t="n">
        <v>14200</v>
      </c>
      <c r="R38" s="79" t="n">
        <v>14200</v>
      </c>
      <c r="S38" s="78" t="n"/>
      <c r="T38" s="77" t="n">
        <v>7.099999999999999e-05</v>
      </c>
      <c r="U38" s="77" t="n">
        <v>12.0984</v>
      </c>
    </row>
    <row r="39" ht="14.25" customHeight="1" s="60">
      <c r="B39" s="75" t="inlineStr">
        <is>
          <t>대한민국</t>
        </is>
      </c>
      <c r="C39" s="75" t="inlineStr">
        <is>
          <t>부산지사</t>
        </is>
      </c>
      <c r="D39" s="75" t="inlineStr">
        <is>
          <t>휘발유</t>
        </is>
      </c>
      <c r="E39" s="79" t="inlineStr">
        <is>
          <t>L</t>
        </is>
      </c>
      <c r="F39" s="79" t="n">
        <v>2150</v>
      </c>
      <c r="G39" s="79" t="n"/>
      <c r="H39" s="79" t="n"/>
      <c r="I39" s="79" t="n"/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6" t="inlineStr">
        <is>
          <t>업무용차량 3대 통합</t>
        </is>
      </c>
      <c r="T39" s="77" t="n">
        <v>8.316999999999999e-05</v>
      </c>
      <c r="U39" s="77" t="n">
        <v>0.1788155</v>
      </c>
    </row>
    <row r="40" ht="14.25" customHeight="1" s="60">
      <c r="B40" s="79" t="n"/>
      <c r="C40" s="79" t="n"/>
      <c r="D40" s="79" t="n"/>
      <c r="E40" s="79" t="n"/>
      <c r="F40" s="79" t="n"/>
      <c r="G40" s="79" t="n"/>
      <c r="H40" s="79" t="n"/>
      <c r="I40" s="79" t="n"/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8" t="n"/>
      <c r="T40" s="77" t="n"/>
      <c r="U40" s="77" t="n"/>
    </row>
    <row r="41" ht="14.25" customHeight="1" s="60">
      <c r="B41" s="79" t="n"/>
      <c r="C41" s="79" t="n"/>
      <c r="D41" s="79" t="n"/>
      <c r="E41" s="79" t="n"/>
      <c r="F41" s="79" t="n"/>
      <c r="G41" s="79" t="n"/>
      <c r="H41" s="79" t="n"/>
      <c r="I41" s="79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8" t="n"/>
      <c r="T41" s="77" t="n"/>
      <c r="U41" s="77" t="n"/>
    </row>
    <row r="42" ht="14.25" customHeight="1" s="60">
      <c r="B42" s="79" t="n"/>
      <c r="C42" s="79" t="n"/>
      <c r="D42" s="79" t="n"/>
      <c r="E42" s="79" t="n"/>
      <c r="F42" s="79" t="n"/>
      <c r="G42" s="79" t="n"/>
      <c r="H42" s="79" t="n"/>
      <c r="I42" s="79" t="n"/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8" t="n"/>
      <c r="T42" s="77" t="n"/>
      <c r="U42" s="77" t="n"/>
    </row>
    <row r="43" ht="14.25" customHeight="1" s="60">
      <c r="B43" s="79" t="n"/>
      <c r="C43" s="79" t="n"/>
      <c r="D43" s="79" t="n"/>
      <c r="E43" s="79" t="n"/>
      <c r="F43" s="79" t="n"/>
      <c r="G43" s="79" t="n"/>
      <c r="H43" s="79" t="n"/>
      <c r="I43" s="7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8" t="n"/>
      <c r="T43" s="77" t="n"/>
      <c r="U43" s="77" t="n"/>
    </row>
    <row r="44" ht="14.25" customHeight="1" s="60">
      <c r="B44" s="79" t="n"/>
      <c r="C44" s="79" t="n"/>
      <c r="D44" s="79" t="n"/>
      <c r="E44" s="79" t="n"/>
      <c r="F44" s="79" t="n"/>
      <c r="G44" s="79" t="n"/>
      <c r="H44" s="79" t="n"/>
      <c r="I44" s="79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8" t="n"/>
      <c r="T44" s="77" t="n"/>
      <c r="U44" s="77" t="n"/>
    </row>
    <row r="45" ht="14.25" customHeight="1" s="60">
      <c r="B45" s="79" t="n"/>
      <c r="C45" s="79" t="n"/>
      <c r="D45" s="79" t="n"/>
      <c r="E45" s="79" t="n"/>
      <c r="F45" s="79" t="n"/>
      <c r="G45" s="79" t="n"/>
      <c r="H45" s="79" t="n"/>
      <c r="I45" s="79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8" t="n"/>
      <c r="T45" s="77" t="n"/>
      <c r="U45" s="77" t="n"/>
    </row>
    <row r="46" ht="14.25" customHeight="1" s="60">
      <c r="B46" s="79" t="n"/>
      <c r="C46" s="79" t="n"/>
      <c r="D46" s="79" t="n"/>
      <c r="E46" s="79" t="n"/>
      <c r="F46" s="79" t="n"/>
      <c r="G46" s="79" t="n"/>
      <c r="H46" s="79" t="n"/>
      <c r="I46" s="79" t="n"/>
      <c r="J46" s="79" t="n"/>
      <c r="K46" s="79" t="n"/>
      <c r="L46" s="79" t="n"/>
      <c r="M46" s="79" t="n"/>
      <c r="N46" s="79" t="n"/>
      <c r="O46" s="79" t="n"/>
      <c r="P46" s="79" t="n"/>
      <c r="Q46" s="79" t="n"/>
      <c r="R46" s="79" t="n"/>
      <c r="S46" s="78" t="n"/>
      <c r="T46" s="77" t="n"/>
      <c r="U46" s="77" t="n"/>
    </row>
    <row r="47" ht="14.25" customHeight="1" s="60">
      <c r="B47" s="79" t="n"/>
      <c r="C47" s="79" t="n"/>
      <c r="D47" s="79" t="n"/>
      <c r="E47" s="79" t="n"/>
      <c r="F47" s="79" t="n"/>
      <c r="G47" s="79" t="n"/>
      <c r="H47" s="79" t="n"/>
      <c r="I47" s="79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8" t="n"/>
      <c r="T47" s="77" t="n"/>
      <c r="U47" s="77" t="n"/>
    </row>
    <row r="48" ht="14.25" customHeight="1" s="60">
      <c r="B48" s="79" t="n"/>
      <c r="C48" s="79" t="n"/>
      <c r="D48" s="79" t="n"/>
      <c r="E48" s="79" t="n"/>
      <c r="F48" s="79" t="n"/>
      <c r="G48" s="79" t="n"/>
      <c r="H48" s="79" t="n"/>
      <c r="I48" s="79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8" t="n"/>
      <c r="T48" s="77" t="n"/>
      <c r="U48" s="77" t="n"/>
    </row>
    <row r="49" ht="14.25" customHeight="1" s="60">
      <c r="B49" s="79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8" t="n"/>
      <c r="T49" s="77" t="n"/>
      <c r="U49" s="77" t="n"/>
    </row>
    <row r="50" ht="14.25" customHeight="1" s="60">
      <c r="B50" s="79" t="n"/>
      <c r="C50" s="79" t="n"/>
      <c r="D50" s="79" t="n"/>
      <c r="E50" s="79" t="n"/>
      <c r="F50" s="79" t="n"/>
      <c r="G50" s="79" t="n"/>
      <c r="H50" s="79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8" t="n"/>
      <c r="T50" s="77" t="n"/>
      <c r="U50" s="77" t="n"/>
    </row>
    <row r="51" ht="14.25" customHeight="1" s="60">
      <c r="B51" s="79" t="n"/>
      <c r="C51" s="79" t="n"/>
      <c r="D51" s="79" t="n"/>
      <c r="E51" s="79" t="n"/>
      <c r="F51" s="79" t="n"/>
      <c r="G51" s="79" t="n"/>
      <c r="H51" s="79" t="n"/>
      <c r="I51" s="79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8" t="n"/>
      <c r="T51" s="77" t="n"/>
      <c r="U51" s="77" t="n"/>
    </row>
    <row r="52" ht="14.25" customHeight="1" s="60">
      <c r="B52" s="79" t="n"/>
      <c r="C52" s="79" t="n"/>
      <c r="D52" s="79" t="n"/>
      <c r="E52" s="79" t="n"/>
      <c r="F52" s="79" t="n"/>
      <c r="G52" s="79" t="n"/>
      <c r="H52" s="79" t="n"/>
      <c r="I52" s="79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8" t="n"/>
      <c r="T52" s="77" t="n"/>
      <c r="U52" s="77" t="n"/>
    </row>
    <row r="53" ht="14.25" customHeight="1" s="60">
      <c r="B53" s="79" t="n"/>
      <c r="C53" s="79" t="n"/>
      <c r="D53" s="79" t="n"/>
      <c r="E53" s="79" t="n"/>
      <c r="F53" s="79" t="n"/>
      <c r="G53" s="79" t="n"/>
      <c r="H53" s="79" t="n"/>
      <c r="I53" s="79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8" t="n"/>
      <c r="T53" s="77" t="n"/>
      <c r="U53" s="77" t="n"/>
    </row>
    <row r="54" ht="14.25" customHeight="1" s="60">
      <c r="B54" s="79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8" t="n"/>
      <c r="T54" s="77" t="n"/>
      <c r="U54" s="77" t="n"/>
    </row>
    <row r="55" ht="14.25" customHeight="1" s="60">
      <c r="B55" s="79" t="n"/>
      <c r="C55" s="79" t="n"/>
      <c r="D55" s="79" t="n"/>
      <c r="E55" s="79" t="n"/>
      <c r="F55" s="79" t="n"/>
      <c r="G55" s="79" t="n"/>
      <c r="H55" s="79" t="n"/>
      <c r="I55" s="79" t="n"/>
      <c r="J55" s="79" t="n"/>
      <c r="K55" s="79" t="n"/>
      <c r="L55" s="79" t="n"/>
      <c r="M55" s="79" t="n"/>
      <c r="N55" s="79" t="n"/>
      <c r="O55" s="79" t="n"/>
      <c r="P55" s="79" t="n"/>
      <c r="Q55" s="79" t="n"/>
      <c r="R55" s="79" t="n"/>
      <c r="S55" s="78" t="n"/>
      <c r="T55" s="77" t="n"/>
      <c r="U55" s="77" t="n"/>
    </row>
  </sheetData>
  <mergeCells count="8">
    <mergeCell ref="U18:U19"/>
    <mergeCell ref="S18:S19"/>
    <mergeCell ref="D18:D19"/>
    <mergeCell ref="B18:B19"/>
    <mergeCell ref="E18:E19"/>
    <mergeCell ref="C18:C19"/>
    <mergeCell ref="G18:R18"/>
    <mergeCell ref="T18:T19"/>
  </mergeCells>
  <dataValidations count="2">
    <dataValidation sqref="D21:D220" showDropDown="0" showInputMessage="0" showErrorMessage="0" allowBlank="0" type="list" errorStyle="stop" operator="between">
      <formula1>"경유,등유,무연탄,벙커C유,석탄,스팀(열병합발전),액화석유가스,전기,중유,천연가스,휘발유,기타"</formula1>
      <formula2>0</formula2>
    </dataValidation>
    <dataValidation sqref="E21:E220" showDropDown="0" showInputMessage="0" showErrorMessage="0" allowBlank="0" type="list" errorStyle="stop" operator="between">
      <formula1>"kWh,MJ,kg,L,m3,Nm3,ton"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Y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59" min="2" max="2"/>
    <col width="16" customWidth="1" style="59" min="3" max="3"/>
    <col width="14.25" customWidth="1" style="59" min="4" max="4"/>
    <col width="20" customWidth="1" style="59" min="5" max="5"/>
    <col width="10" customWidth="1" style="59" min="6" max="6"/>
    <col width="22" customWidth="1" style="59" min="7" max="8"/>
    <col width="18.75" customWidth="1" style="59" min="9" max="9"/>
    <col width="16" customWidth="1" style="59" min="10" max="10"/>
    <col width="8" customWidth="1" style="59" min="11" max="22"/>
    <col width="18" customWidth="1" style="59" min="23" max="23"/>
    <col width="22" customWidth="1" style="59" min="24" max="24"/>
    <col width="16" customWidth="1" style="59" min="25" max="25"/>
  </cols>
  <sheetData>
    <row r="1"/>
    <row r="2" ht="20.25" customHeight="1" s="60">
      <c r="B2" s="61" t="inlineStr">
        <is>
          <t>C4. 업스트림 운송·배송 1안. 출발지·도착지 기반</t>
        </is>
      </c>
    </row>
    <row r="3"/>
    <row r="4" ht="14.25" customHeight="1" s="60">
      <c r="B4" s="62" t="inlineStr">
        <is>
          <t>카테고리 정의</t>
        </is>
      </c>
    </row>
    <row r="5" ht="14.25" customHeight="1" s="60">
      <c r="B5" s="63" t="inlineStr">
        <is>
          <t>- 보고년도에 회사가 구매한 원재료, 제품, 자재 등의 운송·배송 과정에서 발생하는 온실가스 배출량</t>
        </is>
      </c>
    </row>
    <row r="6" ht="14.25" customHeight="1" s="60">
      <c r="B6" s="63" t="inlineStr">
        <is>
          <t>- 출발지와 도착지 또는 운송거리를 알고 있는 경우 작성</t>
        </is>
      </c>
    </row>
    <row r="7"/>
    <row r="8"/>
    <row r="9" ht="14.25" customHeight="1" s="60">
      <c r="B9" s="62" t="inlineStr">
        <is>
          <t>작성 기준</t>
        </is>
      </c>
    </row>
    <row r="10" ht="14.25" customHeight="1" s="60">
      <c r="B10" s="63" t="inlineStr">
        <is>
          <t>1) 온실가스 산정 식: Σ(화물중량 × 운송거리 × 운송수단별 배출계수)</t>
        </is>
      </c>
    </row>
    <row r="11" ht="14.25" customHeight="1" s="60">
      <c r="B11" s="63" t="inlineStr">
        <is>
          <t xml:space="preserve"> - 온실가스 배출계수는 환경부-환경성적표지(EPD) 평가계수를 활용</t>
        </is>
      </c>
    </row>
    <row r="12" ht="14.25" customHeight="1" s="60">
      <c r="B12" s="63" t="inlineStr">
        <is>
          <t>2) 운송수단은 도로, 해상, 항공, 철도 중 실제 주요 운송수단을 선택</t>
        </is>
      </c>
    </row>
    <row r="13" ht="14.25" customHeight="1" s="60">
      <c r="B13" s="63" t="inlineStr">
        <is>
          <t>3) 운송수단을 모르는 경우 출발지·도착지를 기준으로 AI가 운송수단 추정</t>
        </is>
      </c>
    </row>
    <row r="14" ht="14.25" customHeight="1" s="60">
      <c r="B14" s="63" t="inlineStr">
        <is>
          <t>4) 운송거리를 모르는 경우 출발지·도착지를 기준으로 AI가 거리 추정</t>
        </is>
      </c>
    </row>
    <row r="15"/>
    <row r="16" ht="14.25" customHeight="1" s="60">
      <c r="B16" s="64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0">
      <c r="B17" s="64" t="inlineStr">
        <is>
          <t>※ 주황색으로 표시된 필수 입력칸은 반드시 작성해야 합니다.</t>
        </is>
      </c>
    </row>
    <row r="18" ht="15" customHeight="1" s="60">
      <c r="B18" s="65" t="inlineStr">
        <is>
          <t>*국가</t>
        </is>
      </c>
      <c r="C18" s="65" t="inlineStr">
        <is>
          <t>*사업장</t>
        </is>
      </c>
      <c r="D18" s="65" t="inlineStr">
        <is>
          <t>*운송수단(선택)</t>
        </is>
      </c>
      <c r="E18" s="65" t="inlineStr">
        <is>
          <t>*자재명/품목명</t>
        </is>
      </c>
      <c r="F18" s="65" t="inlineStr">
        <is>
          <t>*중량단위</t>
        </is>
      </c>
      <c r="G18" s="83" t="inlineStr">
        <is>
          <t>*출도착지</t>
        </is>
      </c>
      <c r="H18" s="84" t="n"/>
      <c r="I18" s="66" t="inlineStr">
        <is>
          <t>운송거리(km)(선택)</t>
        </is>
      </c>
      <c r="J18" s="67" t="inlineStr">
        <is>
          <t>연간 입력</t>
        </is>
      </c>
      <c r="K18" s="67" t="inlineStr">
        <is>
          <t>월별 운송량</t>
        </is>
      </c>
      <c r="L18" s="68" t="n"/>
      <c r="M18" s="68" t="n"/>
      <c r="N18" s="68" t="n"/>
      <c r="O18" s="68" t="n"/>
      <c r="P18" s="68" t="n"/>
      <c r="Q18" s="68" t="n"/>
      <c r="R18" s="68" t="n"/>
      <c r="S18" s="68" t="n"/>
      <c r="T18" s="68" t="n"/>
      <c r="U18" s="68" t="n"/>
      <c r="V18" s="69" t="n"/>
      <c r="W18" s="66" t="inlineStr">
        <is>
          <t>비고(선택)</t>
        </is>
      </c>
      <c r="X18" s="66" t="inlineStr">
        <is>
          <t>배출계수(tCO2e/ton-km)</t>
        </is>
      </c>
      <c r="Y18" s="66" t="inlineStr">
        <is>
          <t>배출량(tCO2e)</t>
        </is>
      </c>
    </row>
    <row r="19" ht="14.25" customHeight="1" s="60">
      <c r="B19" s="70" t="n"/>
      <c r="C19" s="70" t="n"/>
      <c r="D19" s="70" t="n"/>
      <c r="E19" s="70" t="n"/>
      <c r="F19" s="70" t="n"/>
      <c r="G19" s="85" t="inlineStr">
        <is>
          <t>*출발지</t>
        </is>
      </c>
      <c r="H19" s="85" t="inlineStr">
        <is>
          <t>*도착지</t>
        </is>
      </c>
      <c r="I19" s="70" t="n"/>
      <c r="J19" s="66" t="inlineStr">
        <is>
          <t>연간운송량</t>
        </is>
      </c>
      <c r="K19" s="65" t="inlineStr">
        <is>
          <t>1월</t>
        </is>
      </c>
      <c r="L19" s="65" t="inlineStr">
        <is>
          <t>2월</t>
        </is>
      </c>
      <c r="M19" s="65" t="inlineStr">
        <is>
          <t>3월</t>
        </is>
      </c>
      <c r="N19" s="65" t="inlineStr">
        <is>
          <t>4월</t>
        </is>
      </c>
      <c r="O19" s="65" t="inlineStr">
        <is>
          <t>5월</t>
        </is>
      </c>
      <c r="P19" s="65" t="inlineStr">
        <is>
          <t>6월</t>
        </is>
      </c>
      <c r="Q19" s="65" t="inlineStr">
        <is>
          <t>7월</t>
        </is>
      </c>
      <c r="R19" s="65" t="inlineStr">
        <is>
          <t>8월</t>
        </is>
      </c>
      <c r="S19" s="65" t="inlineStr">
        <is>
          <t>9월</t>
        </is>
      </c>
      <c r="T19" s="65" t="inlineStr">
        <is>
          <t>10월</t>
        </is>
      </c>
      <c r="U19" s="65" t="inlineStr">
        <is>
          <t>11월</t>
        </is>
      </c>
      <c r="V19" s="65" t="inlineStr">
        <is>
          <t>12월</t>
        </is>
      </c>
      <c r="W19" s="70" t="n"/>
      <c r="X19" s="70" t="n"/>
      <c r="Y19" s="70" t="n"/>
    </row>
    <row r="20" ht="32.25" customHeight="1" s="60">
      <c r="B20" s="71" t="inlineStr">
        <is>
          <t>대한민국</t>
        </is>
      </c>
      <c r="C20" s="71" t="inlineStr">
        <is>
          <t>평택공장</t>
        </is>
      </c>
      <c r="D20" s="73" t="inlineStr">
        <is>
          <t>도로</t>
        </is>
      </c>
      <c r="E20" s="71" t="inlineStr">
        <is>
          <t>원재료 A</t>
        </is>
      </c>
      <c r="F20" s="72" t="inlineStr">
        <is>
          <t>ton</t>
        </is>
      </c>
      <c r="G20" s="86" t="inlineStr">
        <is>
          <t>부산항</t>
        </is>
      </c>
      <c r="H20" s="86" t="inlineStr">
        <is>
          <t>평택공장</t>
        </is>
      </c>
      <c r="I20" s="73" t="n">
        <v>380</v>
      </c>
      <c r="J20" s="71" t="n">
        <v>240</v>
      </c>
      <c r="K20" s="71" t="n"/>
      <c r="L20" s="71" t="n"/>
      <c r="M20" s="71" t="n"/>
      <c r="N20" s="71" t="n"/>
      <c r="O20" s="71" t="n"/>
      <c r="P20" s="71" t="n"/>
      <c r="Q20" s="71" t="n"/>
      <c r="R20" s="71" t="n"/>
      <c r="S20" s="71" t="n"/>
      <c r="T20" s="71" t="n"/>
      <c r="U20" s="71" t="n"/>
      <c r="V20" s="71" t="n"/>
      <c r="W20" s="73" t="inlineStr">
        <is>
          <t>수입 원재료 국내 입고 물류</t>
        </is>
      </c>
      <c r="X20" s="74" t="n">
        <v>0.00012</v>
      </c>
      <c r="Y20" s="74" t="n">
        <v>10.944</v>
      </c>
    </row>
    <row r="21" ht="32.25" customHeight="1" s="60">
      <c r="B21" s="75" t="inlineStr">
        <is>
          <t>대한민국</t>
        </is>
      </c>
      <c r="C21" s="75" t="inlineStr">
        <is>
          <t>평택공장</t>
        </is>
      </c>
      <c r="D21" s="76" t="inlineStr">
        <is>
          <t>철도</t>
        </is>
      </c>
      <c r="E21" s="75" t="inlineStr">
        <is>
          <t>철강 코일</t>
        </is>
      </c>
      <c r="F21" s="79" t="inlineStr">
        <is>
          <t>ton</t>
        </is>
      </c>
      <c r="G21" s="87" t="inlineStr">
        <is>
          <t>광양역</t>
        </is>
      </c>
      <c r="H21" s="87" t="inlineStr">
        <is>
          <t>평택역</t>
        </is>
      </c>
      <c r="I21" s="78" t="n"/>
      <c r="J21" s="75" t="n"/>
      <c r="K21" s="75" t="n">
        <v>18</v>
      </c>
      <c r="L21" s="75" t="n">
        <v>18</v>
      </c>
      <c r="M21" s="75" t="n">
        <v>18</v>
      </c>
      <c r="N21" s="75" t="n">
        <v>18</v>
      </c>
      <c r="O21" s="75" t="n">
        <v>18</v>
      </c>
      <c r="P21" s="75" t="n">
        <v>18</v>
      </c>
      <c r="Q21" s="75" t="n">
        <v>18</v>
      </c>
      <c r="R21" s="75" t="n">
        <v>18</v>
      </c>
      <c r="S21" s="75" t="n">
        <v>18</v>
      </c>
      <c r="T21" s="75" t="n">
        <v>18</v>
      </c>
      <c r="U21" s="75" t="n">
        <v>18</v>
      </c>
      <c r="V21" s="75" t="n">
        <v>18</v>
      </c>
      <c r="W21" s="76" t="inlineStr">
        <is>
          <t>철도 기반 원재료 입고</t>
        </is>
      </c>
      <c r="X21" s="77" t="n">
        <v>3e-05</v>
      </c>
      <c r="Y21" s="77" t="n">
        <v>1.968417220089497</v>
      </c>
    </row>
    <row r="22" ht="32.25" customHeight="1" s="60">
      <c r="B22" s="75" t="inlineStr">
        <is>
          <t>중국</t>
        </is>
      </c>
      <c r="C22" s="75" t="inlineStr">
        <is>
          <t>상하이공장</t>
        </is>
      </c>
      <c r="D22" s="76" t="inlineStr">
        <is>
          <t>해상</t>
        </is>
      </c>
      <c r="E22" s="75" t="inlineStr">
        <is>
          <t>전자부품</t>
        </is>
      </c>
      <c r="F22" s="79" t="inlineStr">
        <is>
          <t>ton</t>
        </is>
      </c>
      <c r="G22" s="87" t="inlineStr">
        <is>
          <t>상하이항</t>
        </is>
      </c>
      <c r="H22" s="87" t="inlineStr">
        <is>
          <t>인천항</t>
        </is>
      </c>
      <c r="I22" s="78" t="n">
        <v>820</v>
      </c>
      <c r="J22" s="75" t="n">
        <v>96</v>
      </c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6" t="inlineStr">
        <is>
          <t>해상 운송 후 국내 반입</t>
        </is>
      </c>
      <c r="X22" s="77" t="n">
        <v>1.5e-05</v>
      </c>
      <c r="Y22" s="77" t="n">
        <v>1.1808</v>
      </c>
    </row>
    <row r="23" ht="16.5" customHeight="1" s="60">
      <c r="B23" s="75" t="inlineStr">
        <is>
          <t>대한민국</t>
        </is>
      </c>
      <c r="C23" s="75" t="inlineStr">
        <is>
          <t>부산지사</t>
        </is>
      </c>
      <c r="D23" s="76" t="inlineStr">
        <is>
          <t>도로</t>
        </is>
      </c>
      <c r="E23" s="75" t="inlineStr">
        <is>
          <t>포장재</t>
        </is>
      </c>
      <c r="F23" s="79" t="inlineStr">
        <is>
          <t>kg</t>
        </is>
      </c>
      <c r="G23" s="87" t="inlineStr">
        <is>
          <t>김해창고</t>
        </is>
      </c>
      <c r="H23" s="87" t="inlineStr">
        <is>
          <t>부산지사</t>
        </is>
      </c>
      <c r="I23" s="78" t="n">
        <v>28</v>
      </c>
      <c r="J23" s="75" t="n"/>
      <c r="K23" s="75" t="n">
        <v>500</v>
      </c>
      <c r="L23" s="75" t="n">
        <v>500</v>
      </c>
      <c r="M23" s="75" t="n">
        <v>500</v>
      </c>
      <c r="N23" s="75" t="n">
        <v>500</v>
      </c>
      <c r="O23" s="75" t="n">
        <v>500</v>
      </c>
      <c r="P23" s="75" t="n">
        <v>500</v>
      </c>
      <c r="Q23" s="75" t="n">
        <v>500</v>
      </c>
      <c r="R23" s="75" t="n">
        <v>500</v>
      </c>
      <c r="S23" s="75" t="n">
        <v>500</v>
      </c>
      <c r="T23" s="75" t="n">
        <v>500</v>
      </c>
      <c r="U23" s="75" t="n">
        <v>500</v>
      </c>
      <c r="V23" s="75" t="n">
        <v>500</v>
      </c>
      <c r="W23" s="76" t="inlineStr">
        <is>
          <t>소량 포장재 배송</t>
        </is>
      </c>
      <c r="X23" s="77" t="n">
        <v>1.5e-05</v>
      </c>
      <c r="Y23" s="77" t="n">
        <v>0.00252</v>
      </c>
    </row>
    <row r="24" ht="32.25" customHeight="1" s="60">
      <c r="B24" s="75" t="inlineStr">
        <is>
          <t>대한민국</t>
        </is>
      </c>
      <c r="C24" s="75" t="inlineStr">
        <is>
          <t>대구공장</t>
        </is>
      </c>
      <c r="D24" s="76" t="inlineStr">
        <is>
          <t>도로</t>
        </is>
      </c>
      <c r="E24" s="75" t="inlineStr">
        <is>
          <t>알루미늄 판재</t>
        </is>
      </c>
      <c r="F24" s="79" t="inlineStr">
        <is>
          <t>ton</t>
        </is>
      </c>
      <c r="G24" s="87" t="inlineStr">
        <is>
          <t>포항제철소</t>
        </is>
      </c>
      <c r="H24" s="87" t="inlineStr">
        <is>
          <t>대구공장</t>
        </is>
      </c>
      <c r="I24" s="78" t="n">
        <v>95</v>
      </c>
      <c r="J24" s="79" t="n">
        <v>180</v>
      </c>
      <c r="K24" s="79" t="n"/>
      <c r="L24" s="79" t="n"/>
      <c r="M24" s="79" t="n"/>
      <c r="N24" s="79" t="n"/>
      <c r="O24" s="79" t="n"/>
      <c r="P24" s="79" t="n"/>
      <c r="Q24" s="79" t="n"/>
      <c r="R24" s="79" t="n"/>
      <c r="S24" s="79" t="n"/>
      <c r="T24" s="79" t="n"/>
      <c r="U24" s="79" t="n"/>
      <c r="V24" s="79" t="n"/>
      <c r="W24" s="76" t="inlineStr">
        <is>
          <t>원자재 국내 육상 운송</t>
        </is>
      </c>
      <c r="X24" s="77" t="n">
        <v>0.00012</v>
      </c>
      <c r="Y24" s="77" t="n">
        <v>2.052</v>
      </c>
    </row>
    <row r="25" ht="16.5" customHeight="1" s="60">
      <c r="B25" s="75" t="inlineStr">
        <is>
          <t>대한민국</t>
        </is>
      </c>
      <c r="C25" s="75" t="inlineStr">
        <is>
          <t>본사</t>
        </is>
      </c>
      <c r="D25" s="76" t="inlineStr">
        <is>
          <t>항공</t>
        </is>
      </c>
      <c r="E25" s="75" t="inlineStr">
        <is>
          <t>반도체 샘플</t>
        </is>
      </c>
      <c r="F25" s="79" t="inlineStr">
        <is>
          <t>kg</t>
        </is>
      </c>
      <c r="G25" s="87" t="inlineStr">
        <is>
          <t>인천공항</t>
        </is>
      </c>
      <c r="H25" s="87" t="inlineStr">
        <is>
          <t>상하이공장</t>
        </is>
      </c>
      <c r="I25" s="78" t="n">
        <v>810</v>
      </c>
      <c r="J25" s="79" t="n">
        <v>45</v>
      </c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6" t="inlineStr">
        <is>
          <t>긴급 샘플 항공 운송</t>
        </is>
      </c>
      <c r="X25" s="77" t="n">
        <v>0.0005999999999999999</v>
      </c>
      <c r="Y25" s="77" t="n">
        <v>0.02187</v>
      </c>
    </row>
    <row r="26" ht="32.25" customHeight="1" s="60">
      <c r="B26" s="75" t="inlineStr">
        <is>
          <t>미국</t>
        </is>
      </c>
      <c r="C26" s="75" t="inlineStr">
        <is>
          <t>미국판매법인</t>
        </is>
      </c>
      <c r="D26" s="76" t="inlineStr">
        <is>
          <t>도로</t>
        </is>
      </c>
      <c r="E26" s="75" t="inlineStr">
        <is>
          <t>부품 컨테이너</t>
        </is>
      </c>
      <c r="F26" s="79" t="inlineStr">
        <is>
          <t>ton</t>
        </is>
      </c>
      <c r="G26" s="88" t="inlineStr">
        <is>
          <t>LA항</t>
        </is>
      </c>
      <c r="H26" s="87" t="inlineStr">
        <is>
          <t>시카고창고</t>
        </is>
      </c>
      <c r="I26" s="78" t="n"/>
      <c r="J26" s="79" t="n"/>
      <c r="K26" s="79" t="n">
        <v>22</v>
      </c>
      <c r="L26" s="79" t="n">
        <v>22</v>
      </c>
      <c r="M26" s="79" t="n">
        <v>22</v>
      </c>
      <c r="N26" s="79" t="n">
        <v>22</v>
      </c>
      <c r="O26" s="79" t="n">
        <v>22</v>
      </c>
      <c r="P26" s="79" t="n">
        <v>22</v>
      </c>
      <c r="Q26" s="79" t="n">
        <v>22</v>
      </c>
      <c r="R26" s="79" t="n">
        <v>22</v>
      </c>
      <c r="S26" s="79" t="n">
        <v>22</v>
      </c>
      <c r="T26" s="79" t="n">
        <v>22</v>
      </c>
      <c r="U26" s="79" t="n">
        <v>22</v>
      </c>
      <c r="V26" s="79" t="n">
        <v>22</v>
      </c>
      <c r="W26" s="76" t="inlineStr">
        <is>
          <t>수입 컨테이너 내륙 운송</t>
        </is>
      </c>
      <c r="X26" s="77" t="n">
        <v>0.00012</v>
      </c>
      <c r="Y26" s="77" t="n">
        <v>115.7185100530037</v>
      </c>
    </row>
    <row r="27" ht="16.5" customHeight="1" s="60">
      <c r="B27" s="75" t="inlineStr">
        <is>
          <t>대한민국</t>
        </is>
      </c>
      <c r="C27" s="75" t="inlineStr">
        <is>
          <t>물류센터</t>
        </is>
      </c>
      <c r="D27" s="76" t="inlineStr">
        <is>
          <t>해상</t>
        </is>
      </c>
      <c r="E27" s="75" t="inlineStr">
        <is>
          <t>산업용 로봇팔</t>
        </is>
      </c>
      <c r="F27" s="79" t="inlineStr">
        <is>
          <t>ton</t>
        </is>
      </c>
      <c r="G27" s="87" t="inlineStr">
        <is>
          <t>울산항</t>
        </is>
      </c>
      <c r="H27" s="87" t="inlineStr">
        <is>
          <t>자카르타항</t>
        </is>
      </c>
      <c r="I27" s="78" t="n">
        <v>5100</v>
      </c>
      <c r="J27" s="79" t="n">
        <v>12</v>
      </c>
      <c r="K27" s="79" t="n"/>
      <c r="L27" s="79" t="n"/>
      <c r="M27" s="79" t="n"/>
      <c r="N27" s="79" t="n"/>
      <c r="O27" s="79" t="n"/>
      <c r="P27" s="79" t="n"/>
      <c r="Q27" s="79" t="n"/>
      <c r="R27" s="79" t="n"/>
      <c r="S27" s="79" t="n"/>
      <c r="T27" s="79" t="n"/>
      <c r="U27" s="79" t="n"/>
      <c r="V27" s="79" t="n"/>
      <c r="W27" s="76" t="inlineStr">
        <is>
          <t>해외 설비 수출 운송</t>
        </is>
      </c>
      <c r="X27" s="77" t="n">
        <v>1.5e-05</v>
      </c>
      <c r="Y27" s="77" t="n">
        <v>0.918</v>
      </c>
    </row>
    <row r="28" ht="16.5" customHeight="1" s="60">
      <c r="B28" s="75" t="inlineStr">
        <is>
          <t>중국</t>
        </is>
      </c>
      <c r="C28" s="75" t="inlineStr">
        <is>
          <t>상하이공장</t>
        </is>
      </c>
      <c r="D28" s="76" t="inlineStr">
        <is>
          <t>철도</t>
        </is>
      </c>
      <c r="E28" s="75" t="inlineStr">
        <is>
          <t>전자부품 원자재</t>
        </is>
      </c>
      <c r="F28" s="79" t="inlineStr">
        <is>
          <t>ton</t>
        </is>
      </c>
      <c r="G28" s="87" t="inlineStr">
        <is>
          <t>청도역</t>
        </is>
      </c>
      <c r="H28" s="87" t="inlineStr">
        <is>
          <t>상하이역</t>
        </is>
      </c>
      <c r="I28" s="78" t="n">
        <v>620</v>
      </c>
      <c r="J28" s="79" t="n"/>
      <c r="K28" s="79" t="n">
        <v>40</v>
      </c>
      <c r="L28" s="79" t="n">
        <v>40</v>
      </c>
      <c r="M28" s="79" t="n">
        <v>40</v>
      </c>
      <c r="N28" s="79" t="n">
        <v>40</v>
      </c>
      <c r="O28" s="79" t="n">
        <v>40</v>
      </c>
      <c r="P28" s="79" t="n">
        <v>40</v>
      </c>
      <c r="Q28" s="79" t="n">
        <v>40</v>
      </c>
      <c r="R28" s="79" t="n">
        <v>40</v>
      </c>
      <c r="S28" s="79" t="n">
        <v>40</v>
      </c>
      <c r="T28" s="79" t="n">
        <v>40</v>
      </c>
      <c r="U28" s="79" t="n">
        <v>40</v>
      </c>
      <c r="V28" s="79" t="n">
        <v>40</v>
      </c>
      <c r="W28" s="76" t="inlineStr">
        <is>
          <t>대륙 내륙 철도 운송</t>
        </is>
      </c>
      <c r="X28" s="77" t="n">
        <v>3e-05</v>
      </c>
      <c r="Y28" s="77" t="n">
        <v>8.928000000000001</v>
      </c>
    </row>
    <row r="29" ht="16.5" customHeight="1" s="60">
      <c r="B29" s="75" t="inlineStr">
        <is>
          <t>대한민국</t>
        </is>
      </c>
      <c r="C29" s="75" t="inlineStr">
        <is>
          <t>부산지사</t>
        </is>
      </c>
      <c r="D29" s="76" t="inlineStr">
        <is>
          <t>도로</t>
        </is>
      </c>
      <c r="E29" s="75" t="inlineStr">
        <is>
          <t>완제품 샘플</t>
        </is>
      </c>
      <c r="F29" s="79" t="inlineStr">
        <is>
          <t>kg</t>
        </is>
      </c>
      <c r="G29" s="87" t="inlineStr">
        <is>
          <t>부산지사</t>
        </is>
      </c>
      <c r="H29" s="87" t="inlineStr">
        <is>
          <t>창원 협력사</t>
        </is>
      </c>
      <c r="I29" s="78" t="n">
        <v>55</v>
      </c>
      <c r="J29" s="79" t="n">
        <v>300</v>
      </c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6" t="inlineStr">
        <is>
          <t>협력사 샘플 배송</t>
        </is>
      </c>
      <c r="X29" s="77" t="n">
        <v>1.5e-05</v>
      </c>
      <c r="Y29" s="77" t="n">
        <v>0.0002475</v>
      </c>
    </row>
    <row r="30" ht="32.25" customHeight="1" s="60">
      <c r="B30" s="75" t="inlineStr">
        <is>
          <t>베트남</t>
        </is>
      </c>
      <c r="C30" s="75" t="inlineStr">
        <is>
          <t>베트남공장</t>
        </is>
      </c>
      <c r="D30" s="76" t="inlineStr">
        <is>
          <t>해상</t>
        </is>
      </c>
      <c r="E30" s="75" t="inlineStr">
        <is>
          <t>원사 원자재</t>
        </is>
      </c>
      <c r="F30" s="79" t="inlineStr">
        <is>
          <t>ton</t>
        </is>
      </c>
      <c r="G30" s="87" t="inlineStr">
        <is>
          <t>호치민항</t>
        </is>
      </c>
      <c r="H30" s="87" t="inlineStr">
        <is>
          <t>하이퐁항</t>
        </is>
      </c>
      <c r="I30" s="78" t="n">
        <v>1750</v>
      </c>
      <c r="J30" s="79" t="n"/>
      <c r="K30" s="79" t="n">
        <v>65</v>
      </c>
      <c r="L30" s="79" t="n">
        <v>65</v>
      </c>
      <c r="M30" s="79" t="n">
        <v>65</v>
      </c>
      <c r="N30" s="79" t="n">
        <v>65</v>
      </c>
      <c r="O30" s="79" t="n">
        <v>65</v>
      </c>
      <c r="P30" s="79" t="n">
        <v>65</v>
      </c>
      <c r="Q30" s="79" t="n">
        <v>65</v>
      </c>
      <c r="R30" s="79" t="n">
        <v>65</v>
      </c>
      <c r="S30" s="79" t="n">
        <v>65</v>
      </c>
      <c r="T30" s="79" t="n">
        <v>65</v>
      </c>
      <c r="U30" s="79" t="n">
        <v>65</v>
      </c>
      <c r="V30" s="79" t="n">
        <v>65</v>
      </c>
      <c r="W30" s="76" t="inlineStr">
        <is>
          <t>원자재 국내 해상 운송</t>
        </is>
      </c>
      <c r="X30" s="77" t="n">
        <v>1.5e-05</v>
      </c>
      <c r="Y30" s="77" t="n">
        <v>20.475</v>
      </c>
    </row>
    <row r="31" ht="16.5" customHeight="1" s="60">
      <c r="B31" s="75" t="inlineStr">
        <is>
          <t>대한민국</t>
        </is>
      </c>
      <c r="C31" s="75" t="inlineStr">
        <is>
          <t>평택공장</t>
        </is>
      </c>
      <c r="D31" s="76" t="inlineStr">
        <is>
          <t>도로</t>
        </is>
      </c>
      <c r="E31" s="75" t="inlineStr">
        <is>
          <t>완제품 파렛트</t>
        </is>
      </c>
      <c r="F31" s="79" t="inlineStr">
        <is>
          <t>ton</t>
        </is>
      </c>
      <c r="G31" s="87" t="inlineStr">
        <is>
          <t>평택공장</t>
        </is>
      </c>
      <c r="H31" s="87" t="inlineStr">
        <is>
          <t>이천물류센터</t>
        </is>
      </c>
      <c r="I31" s="78" t="n">
        <v>48</v>
      </c>
      <c r="J31" s="79" t="n">
        <v>520</v>
      </c>
      <c r="K31" s="79" t="n"/>
      <c r="L31" s="79" t="n"/>
      <c r="M31" s="79" t="n"/>
      <c r="N31" s="79" t="n"/>
      <c r="O31" s="79" t="n"/>
      <c r="P31" s="79" t="n"/>
      <c r="Q31" s="79" t="n"/>
      <c r="R31" s="79" t="n"/>
      <c r="S31" s="79" t="n"/>
      <c r="T31" s="79" t="n"/>
      <c r="U31" s="79" t="n"/>
      <c r="V31" s="79" t="n"/>
      <c r="W31" s="76" t="inlineStr">
        <is>
          <t>국내 완제품 배송</t>
        </is>
      </c>
      <c r="X31" s="77" t="n">
        <v>1.5e-05</v>
      </c>
      <c r="Y31" s="77" t="n">
        <v>0.3744</v>
      </c>
    </row>
    <row r="32" ht="14.25" customHeight="1" s="60">
      <c r="B32" s="75" t="inlineStr">
        <is>
          <t>대한민국</t>
        </is>
      </c>
      <c r="C32" s="75" t="inlineStr">
        <is>
          <t>대구공장</t>
        </is>
      </c>
      <c r="D32" s="76" t="inlineStr">
        <is>
          <t>도로</t>
        </is>
      </c>
      <c r="E32" s="79" t="inlineStr">
        <is>
          <t>SUS304 원자재</t>
        </is>
      </c>
      <c r="F32" s="79" t="inlineStr">
        <is>
          <t>ton</t>
        </is>
      </c>
      <c r="G32" s="87" t="inlineStr">
        <is>
          <t>포항</t>
        </is>
      </c>
      <c r="H32" s="87" t="inlineStr">
        <is>
          <t>대구공장</t>
        </is>
      </c>
      <c r="I32" s="78" t="n">
        <v>92</v>
      </c>
      <c r="J32" s="79" t="n">
        <v>210</v>
      </c>
      <c r="K32" s="79" t="n"/>
      <c r="L32" s="79" t="n"/>
      <c r="M32" s="79" t="n"/>
      <c r="N32" s="79" t="n"/>
      <c r="O32" s="79" t="n"/>
      <c r="P32" s="79" t="n"/>
      <c r="Q32" s="79" t="n"/>
      <c r="R32" s="79" t="n"/>
      <c r="S32" s="79" t="n"/>
      <c r="T32" s="79" t="n"/>
      <c r="U32" s="79" t="n"/>
      <c r="V32" s="79" t="n"/>
      <c r="W32" s="76" t="inlineStr">
        <is>
          <t>출발지 상세주소 생략됨(도시명만)</t>
        </is>
      </c>
      <c r="X32" s="77" t="n">
        <v>0.00012</v>
      </c>
      <c r="Y32" s="77" t="n">
        <v>2.3184</v>
      </c>
    </row>
    <row r="33" ht="14.25" customHeight="1" s="60">
      <c r="B33" s="75" t="inlineStr">
        <is>
          <t>대한민국</t>
        </is>
      </c>
      <c r="C33" s="75" t="inlineStr">
        <is>
          <t>물류센터</t>
        </is>
      </c>
      <c r="D33" s="76" t="inlineStr">
        <is>
          <t>택배</t>
        </is>
      </c>
      <c r="E33" s="75" t="inlineStr">
        <is>
          <t>소형부품 박스</t>
        </is>
      </c>
      <c r="F33" s="79" t="inlineStr">
        <is>
          <t>kg</t>
        </is>
      </c>
      <c r="G33" s="87" t="inlineStr">
        <is>
          <t>물류센터</t>
        </is>
      </c>
      <c r="H33" s="87" t="inlineStr">
        <is>
          <t>전국 각지</t>
        </is>
      </c>
      <c r="I33" s="78" t="n"/>
      <c r="J33" s="79" t="n"/>
      <c r="K33" s="79" t="n">
        <v>1800</v>
      </c>
      <c r="L33" s="79" t="n">
        <v>1800</v>
      </c>
      <c r="M33" s="79" t="n">
        <v>1800</v>
      </c>
      <c r="N33" s="79" t="n">
        <v>1800</v>
      </c>
      <c r="O33" s="79" t="n">
        <v>1800</v>
      </c>
      <c r="P33" s="79" t="n">
        <v>1800</v>
      </c>
      <c r="Q33" s="79" t="n">
        <v>1800</v>
      </c>
      <c r="R33" s="79" t="n">
        <v>1800</v>
      </c>
      <c r="S33" s="79" t="n">
        <v>1800</v>
      </c>
      <c r="T33" s="79" t="n">
        <v>1800</v>
      </c>
      <c r="U33" s="79" t="n">
        <v>1800</v>
      </c>
      <c r="V33" s="79" t="n">
        <v>1800</v>
      </c>
      <c r="W33" s="76" t="inlineStr">
        <is>
          <t>평균거리 추정치, 실측아님</t>
        </is>
      </c>
      <c r="X33" s="77" t="n">
        <v>0.00018</v>
      </c>
      <c r="Y33" s="77" t="n">
        <v>0.972</v>
      </c>
    </row>
    <row r="34" ht="14.25" customHeight="1" s="60">
      <c r="B34" s="75" t="inlineStr">
        <is>
          <t>중국</t>
        </is>
      </c>
      <c r="C34" s="75" t="inlineStr">
        <is>
          <t>상하이공장</t>
        </is>
      </c>
      <c r="D34" s="76" t="inlineStr">
        <is>
          <t>철도</t>
        </is>
      </c>
      <c r="E34" s="79" t="inlineStr">
        <is>
          <t>PCB 원자재</t>
        </is>
      </c>
      <c r="F34" s="79" t="inlineStr">
        <is>
          <t>ton</t>
        </is>
      </c>
      <c r="G34" s="87" t="inlineStr">
        <is>
          <t>청도</t>
        </is>
      </c>
      <c r="H34" s="87" t="inlineStr">
        <is>
          <t>상하이</t>
        </is>
      </c>
      <c r="I34" s="78" t="n">
        <v>615</v>
      </c>
      <c r="J34" s="79" t="n"/>
      <c r="K34" s="79" t="n">
        <v>38</v>
      </c>
      <c r="L34" s="79" t="n">
        <v>38</v>
      </c>
      <c r="M34" s="79" t="n">
        <v>38</v>
      </c>
      <c r="N34" s="79" t="n">
        <v>38</v>
      </c>
      <c r="O34" s="79" t="n">
        <v>38</v>
      </c>
      <c r="P34" s="79" t="n">
        <v>38</v>
      </c>
      <c r="Q34" s="79" t="n">
        <v>38</v>
      </c>
      <c r="R34" s="79" t="n">
        <v>38</v>
      </c>
      <c r="S34" s="79" t="n">
        <v>38</v>
      </c>
      <c r="T34" s="79" t="n">
        <v>38</v>
      </c>
      <c r="U34" s="79" t="n">
        <v>38</v>
      </c>
      <c r="V34" s="79" t="n">
        <v>38</v>
      </c>
      <c r="W34" s="78" t="n"/>
      <c r="X34" s="77" t="n">
        <v>3e-05</v>
      </c>
      <c r="Y34" s="77" t="n">
        <v>8.4132</v>
      </c>
    </row>
    <row r="35" ht="14.25" customHeight="1" s="60">
      <c r="B35" s="75" t="inlineStr">
        <is>
          <t>미국</t>
        </is>
      </c>
      <c r="C35" s="75" t="inlineStr">
        <is>
          <t>미국판매법인</t>
        </is>
      </c>
      <c r="D35" s="76" t="inlineStr">
        <is>
          <t>도로</t>
        </is>
      </c>
      <c r="E35" s="75" t="inlineStr">
        <is>
          <t>부품컨테이너 40FT</t>
        </is>
      </c>
      <c r="F35" s="79" t="inlineStr">
        <is>
          <t>ton</t>
        </is>
      </c>
      <c r="G35" s="88" t="inlineStr">
        <is>
          <t>LA Port</t>
        </is>
      </c>
      <c r="H35" s="88" t="inlineStr">
        <is>
          <t>Chicago DC</t>
        </is>
      </c>
      <c r="I35" s="78" t="n">
        <v>3180</v>
      </c>
      <c r="J35" s="79" t="n">
        <v>48</v>
      </c>
      <c r="K35" s="79" t="n"/>
      <c r="L35" s="79" t="n"/>
      <c r="M35" s="79" t="n"/>
      <c r="N35" s="79" t="n"/>
      <c r="O35" s="79" t="n"/>
      <c r="P35" s="79" t="n"/>
      <c r="Q35" s="79" t="n"/>
      <c r="R35" s="79" t="n"/>
      <c r="S35" s="79" t="n"/>
      <c r="T35" s="79" t="n"/>
      <c r="U35" s="79" t="n"/>
      <c r="V35" s="79" t="n"/>
      <c r="W35" s="76" t="inlineStr">
        <is>
          <t>영문 지명 혼용입력</t>
        </is>
      </c>
      <c r="X35" s="77" t="n">
        <v>0.00012</v>
      </c>
      <c r="Y35" s="77" t="n">
        <v>18.3168</v>
      </c>
    </row>
    <row r="36" ht="14.25" customHeight="1" s="60">
      <c r="B36" s="75" t="inlineStr">
        <is>
          <t>대한민국</t>
        </is>
      </c>
      <c r="C36" s="75" t="inlineStr">
        <is>
          <t>부산지사</t>
        </is>
      </c>
      <c r="D36" s="76" t="inlineStr">
        <is>
          <t>도로</t>
        </is>
      </c>
      <c r="E36" s="75" t="inlineStr">
        <is>
          <t>완제품샘플박스</t>
        </is>
      </c>
      <c r="F36" s="79" t="inlineStr">
        <is>
          <t>kg</t>
        </is>
      </c>
      <c r="G36" s="87" t="inlineStr">
        <is>
          <t>부산</t>
        </is>
      </c>
      <c r="H36" s="87" t="inlineStr">
        <is>
          <t>창원</t>
        </is>
      </c>
      <c r="I36" s="78" t="n">
        <v>58</v>
      </c>
      <c r="J36" s="79" t="n">
        <v>280</v>
      </c>
      <c r="K36" s="79" t="n"/>
      <c r="L36" s="79" t="n"/>
      <c r="M36" s="79" t="n"/>
      <c r="N36" s="79" t="n"/>
      <c r="O36" s="79" t="n"/>
      <c r="P36" s="79" t="n"/>
      <c r="Q36" s="79" t="n"/>
      <c r="R36" s="79" t="n"/>
      <c r="S36" s="79" t="n"/>
      <c r="T36" s="79" t="n"/>
      <c r="U36" s="79" t="n"/>
      <c r="V36" s="79" t="n"/>
      <c r="W36" s="76" t="inlineStr">
        <is>
          <t>협력사 왕복포함 거리아님(편도)</t>
        </is>
      </c>
      <c r="X36" s="77" t="n">
        <v>0.00012</v>
      </c>
      <c r="Y36" s="77" t="n">
        <v>0.0019488</v>
      </c>
    </row>
    <row r="37" ht="14.25" customHeight="1" s="60">
      <c r="B37" s="75" t="inlineStr">
        <is>
          <t>베트남</t>
        </is>
      </c>
      <c r="C37" s="75" t="inlineStr">
        <is>
          <t>베트남공장</t>
        </is>
      </c>
      <c r="D37" s="76" t="inlineStr">
        <is>
          <t>해상</t>
        </is>
      </c>
      <c r="E37" s="75" t="inlineStr">
        <is>
          <t>원사(polyester)</t>
        </is>
      </c>
      <c r="F37" s="79" t="inlineStr">
        <is>
          <t>ton</t>
        </is>
      </c>
      <c r="G37" s="87" t="inlineStr">
        <is>
          <t>호치민항</t>
        </is>
      </c>
      <c r="H37" s="87" t="inlineStr">
        <is>
          <t>하이퐁항</t>
        </is>
      </c>
      <c r="I37" s="78" t="n">
        <v>1720</v>
      </c>
      <c r="J37" s="79" t="n"/>
      <c r="K37" s="79" t="n">
        <v>61</v>
      </c>
      <c r="L37" s="79" t="n">
        <v>61</v>
      </c>
      <c r="M37" s="79" t="n">
        <v>61</v>
      </c>
      <c r="N37" s="79" t="n">
        <v>61</v>
      </c>
      <c r="O37" s="79" t="n">
        <v>61</v>
      </c>
      <c r="P37" s="79" t="n">
        <v>61</v>
      </c>
      <c r="Q37" s="79" t="n">
        <v>61</v>
      </c>
      <c r="R37" s="79" t="n">
        <v>61</v>
      </c>
      <c r="S37" s="79" t="n">
        <v>61</v>
      </c>
      <c r="T37" s="79" t="n">
        <v>61</v>
      </c>
      <c r="U37" s="79" t="n">
        <v>61</v>
      </c>
      <c r="V37" s="79" t="n">
        <v>61</v>
      </c>
      <c r="W37" s="76" t="inlineStr">
        <is>
          <t>원사=원재료, 영문표기 혼입</t>
        </is>
      </c>
      <c r="X37" s="77" t="n">
        <v>1.5e-05</v>
      </c>
      <c r="Y37" s="77" t="n">
        <v>18.8856</v>
      </c>
    </row>
    <row r="38" ht="14.25" customHeight="1" s="60">
      <c r="B38" s="79" t="n"/>
      <c r="C38" s="79" t="n"/>
      <c r="D38" s="76" t="n"/>
      <c r="E38" s="79" t="n"/>
      <c r="F38" s="79" t="n"/>
      <c r="G38" s="88" t="n"/>
      <c r="H38" s="88" t="n"/>
      <c r="I38" s="78" t="n"/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9" t="n"/>
      <c r="T38" s="79" t="n"/>
      <c r="U38" s="79" t="n"/>
      <c r="V38" s="79" t="n"/>
      <c r="W38" s="78" t="n"/>
      <c r="X38" s="77" t="n"/>
      <c r="Y38" s="77" t="n"/>
    </row>
    <row r="39" ht="14.25" customHeight="1" s="60">
      <c r="B39" s="79" t="n"/>
      <c r="C39" s="79" t="n"/>
      <c r="D39" s="76" t="n"/>
      <c r="E39" s="79" t="n"/>
      <c r="F39" s="79" t="n"/>
      <c r="G39" s="88" t="n"/>
      <c r="H39" s="88" t="n"/>
      <c r="I39" s="78" t="n"/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9" t="n"/>
      <c r="U39" s="79" t="n"/>
      <c r="V39" s="79" t="n"/>
      <c r="W39" s="78" t="n"/>
      <c r="X39" s="77" t="n"/>
      <c r="Y39" s="77" t="n"/>
    </row>
    <row r="40" ht="14.25" customHeight="1" s="60">
      <c r="B40" s="79" t="n"/>
      <c r="C40" s="79" t="n"/>
      <c r="D40" s="76" t="n"/>
      <c r="E40" s="79" t="n"/>
      <c r="F40" s="79" t="n"/>
      <c r="G40" s="88" t="n"/>
      <c r="H40" s="88" t="n"/>
      <c r="I40" s="78" t="n"/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9" t="n"/>
      <c r="T40" s="79" t="n"/>
      <c r="U40" s="79" t="n"/>
      <c r="V40" s="79" t="n"/>
      <c r="W40" s="78" t="n"/>
      <c r="X40" s="77" t="n"/>
      <c r="Y40" s="77" t="n"/>
    </row>
    <row r="41" ht="14.25" customHeight="1" s="60">
      <c r="B41" s="79" t="n"/>
      <c r="C41" s="79" t="n"/>
      <c r="D41" s="76" t="n"/>
      <c r="E41" s="79" t="n"/>
      <c r="F41" s="79" t="n"/>
      <c r="G41" s="88" t="n"/>
      <c r="H41" s="88" t="n"/>
      <c r="I41" s="78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9" t="n"/>
      <c r="T41" s="79" t="n"/>
      <c r="U41" s="79" t="n"/>
      <c r="V41" s="79" t="n"/>
      <c r="W41" s="78" t="n"/>
      <c r="X41" s="77" t="n"/>
      <c r="Y41" s="77" t="n"/>
    </row>
    <row r="42" ht="14.25" customHeight="1" s="60">
      <c r="B42" s="79" t="n"/>
      <c r="C42" s="79" t="n"/>
      <c r="D42" s="76" t="n"/>
      <c r="E42" s="79" t="n"/>
      <c r="F42" s="79" t="n"/>
      <c r="G42" s="88" t="n"/>
      <c r="H42" s="88" t="n"/>
      <c r="I42" s="78" t="n"/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9" t="n"/>
      <c r="T42" s="79" t="n"/>
      <c r="U42" s="79" t="n"/>
      <c r="V42" s="79" t="n"/>
      <c r="W42" s="78" t="n"/>
      <c r="X42" s="77" t="n"/>
      <c r="Y42" s="77" t="n"/>
    </row>
    <row r="43" ht="14.25" customHeight="1" s="60">
      <c r="B43" s="79" t="n"/>
      <c r="C43" s="79" t="n"/>
      <c r="D43" s="76" t="n"/>
      <c r="E43" s="79" t="n"/>
      <c r="F43" s="79" t="n"/>
      <c r="G43" s="88" t="n"/>
      <c r="H43" s="88" t="n"/>
      <c r="I43" s="78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9" t="n"/>
      <c r="T43" s="79" t="n"/>
      <c r="U43" s="79" t="n"/>
      <c r="V43" s="79" t="n"/>
      <c r="W43" s="78" t="n"/>
      <c r="X43" s="77" t="n"/>
      <c r="Y43" s="77" t="n"/>
    </row>
    <row r="44" ht="14.25" customHeight="1" s="60">
      <c r="B44" s="79" t="n"/>
      <c r="C44" s="79" t="n"/>
      <c r="D44" s="76" t="n"/>
      <c r="E44" s="79" t="n"/>
      <c r="F44" s="79" t="n"/>
      <c r="G44" s="88" t="n"/>
      <c r="H44" s="88" t="n"/>
      <c r="I44" s="78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9" t="n"/>
      <c r="T44" s="79" t="n"/>
      <c r="U44" s="79" t="n"/>
      <c r="V44" s="79" t="n"/>
      <c r="W44" s="78" t="n"/>
      <c r="X44" s="77" t="n"/>
      <c r="Y44" s="77" t="n"/>
    </row>
    <row r="45" ht="14.25" customHeight="1" s="60">
      <c r="B45" s="79" t="n"/>
      <c r="C45" s="79" t="n"/>
      <c r="D45" s="76" t="n"/>
      <c r="E45" s="79" t="n"/>
      <c r="F45" s="79" t="n"/>
      <c r="G45" s="88" t="n"/>
      <c r="H45" s="88" t="n"/>
      <c r="I45" s="78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9" t="n"/>
      <c r="T45" s="79" t="n"/>
      <c r="U45" s="79" t="n"/>
      <c r="V45" s="79" t="n"/>
      <c r="W45" s="78" t="n"/>
      <c r="X45" s="77" t="n"/>
      <c r="Y45" s="77" t="n"/>
    </row>
    <row r="46" ht="14.25" customHeight="1" s="60">
      <c r="B46" s="79" t="n"/>
      <c r="C46" s="79" t="n"/>
      <c r="D46" s="76" t="n"/>
      <c r="E46" s="79" t="n"/>
      <c r="F46" s="79" t="n"/>
      <c r="G46" s="88" t="n"/>
      <c r="H46" s="88" t="n"/>
      <c r="I46" s="78" t="n"/>
      <c r="J46" s="79" t="n"/>
      <c r="K46" s="79" t="n"/>
      <c r="L46" s="79" t="n"/>
      <c r="M46" s="79" t="n"/>
      <c r="N46" s="79" t="n"/>
      <c r="O46" s="79" t="n"/>
      <c r="P46" s="79" t="n"/>
      <c r="Q46" s="79" t="n"/>
      <c r="R46" s="79" t="n"/>
      <c r="S46" s="79" t="n"/>
      <c r="T46" s="79" t="n"/>
      <c r="U46" s="79" t="n"/>
      <c r="V46" s="79" t="n"/>
      <c r="W46" s="78" t="n"/>
      <c r="X46" s="77" t="n"/>
      <c r="Y46" s="77" t="n"/>
    </row>
    <row r="47" ht="14.25" customHeight="1" s="60">
      <c r="B47" s="79" t="n"/>
      <c r="C47" s="79" t="n"/>
      <c r="D47" s="76" t="n"/>
      <c r="E47" s="79" t="n"/>
      <c r="F47" s="79" t="n"/>
      <c r="G47" s="88" t="n"/>
      <c r="H47" s="88" t="n"/>
      <c r="I47" s="78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9" t="n"/>
      <c r="T47" s="79" t="n"/>
      <c r="U47" s="79" t="n"/>
      <c r="V47" s="79" t="n"/>
      <c r="W47" s="78" t="n"/>
      <c r="X47" s="77" t="n"/>
      <c r="Y47" s="77" t="n"/>
    </row>
    <row r="48" ht="14.25" customHeight="1" s="60">
      <c r="B48" s="79" t="n"/>
      <c r="C48" s="79" t="n"/>
      <c r="D48" s="76" t="n"/>
      <c r="E48" s="79" t="n"/>
      <c r="F48" s="79" t="n"/>
      <c r="G48" s="88" t="n"/>
      <c r="H48" s="88" t="n"/>
      <c r="I48" s="78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9" t="n"/>
      <c r="T48" s="79" t="n"/>
      <c r="U48" s="79" t="n"/>
      <c r="V48" s="79" t="n"/>
      <c r="W48" s="78" t="n"/>
      <c r="X48" s="77" t="n"/>
      <c r="Y48" s="77" t="n"/>
    </row>
    <row r="49" ht="14.25" customHeight="1" s="60">
      <c r="B49" s="79" t="n"/>
      <c r="C49" s="79" t="n"/>
      <c r="D49" s="76" t="n"/>
      <c r="E49" s="79" t="n"/>
      <c r="F49" s="79" t="n"/>
      <c r="G49" s="88" t="n"/>
      <c r="H49" s="88" t="n"/>
      <c r="I49" s="78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79" t="n"/>
      <c r="V49" s="79" t="n"/>
      <c r="W49" s="78" t="n"/>
      <c r="X49" s="77" t="n"/>
      <c r="Y49" s="77" t="n"/>
    </row>
    <row r="50" ht="14.25" customHeight="1" s="60">
      <c r="B50" s="79" t="n"/>
      <c r="C50" s="79" t="n"/>
      <c r="D50" s="76" t="n"/>
      <c r="E50" s="79" t="n"/>
      <c r="F50" s="79" t="n"/>
      <c r="G50" s="88" t="n"/>
      <c r="H50" s="88" t="n"/>
      <c r="I50" s="78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9" t="n"/>
      <c r="T50" s="79" t="n"/>
      <c r="U50" s="79" t="n"/>
      <c r="V50" s="79" t="n"/>
      <c r="W50" s="78" t="n"/>
      <c r="X50" s="77" t="n"/>
      <c r="Y50" s="77" t="n"/>
    </row>
    <row r="51" ht="14.25" customHeight="1" s="60">
      <c r="B51" s="79" t="n"/>
      <c r="C51" s="79" t="n"/>
      <c r="D51" s="76" t="n"/>
      <c r="E51" s="79" t="n"/>
      <c r="F51" s="79" t="n"/>
      <c r="G51" s="88" t="n"/>
      <c r="H51" s="88" t="n"/>
      <c r="I51" s="78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9" t="n"/>
      <c r="T51" s="79" t="n"/>
      <c r="U51" s="79" t="n"/>
      <c r="V51" s="79" t="n"/>
      <c r="W51" s="78" t="n"/>
      <c r="X51" s="77" t="n"/>
      <c r="Y51" s="77" t="n"/>
    </row>
    <row r="52" ht="14.25" customHeight="1" s="60">
      <c r="B52" s="79" t="n"/>
      <c r="C52" s="79" t="n"/>
      <c r="D52" s="76" t="n"/>
      <c r="E52" s="79" t="n"/>
      <c r="F52" s="79" t="n"/>
      <c r="G52" s="88" t="n"/>
      <c r="H52" s="88" t="n"/>
      <c r="I52" s="78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9" t="n"/>
      <c r="T52" s="79" t="n"/>
      <c r="U52" s="79" t="n"/>
      <c r="V52" s="79" t="n"/>
      <c r="W52" s="78" t="n"/>
      <c r="X52" s="77" t="n"/>
      <c r="Y52" s="77" t="n"/>
    </row>
    <row r="53" ht="14.25" customHeight="1" s="60">
      <c r="B53" s="79" t="n"/>
      <c r="C53" s="79" t="n"/>
      <c r="D53" s="76" t="n"/>
      <c r="E53" s="79" t="n"/>
      <c r="F53" s="79" t="n"/>
      <c r="G53" s="88" t="n"/>
      <c r="H53" s="88" t="n"/>
      <c r="I53" s="78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9" t="n"/>
      <c r="V53" s="79" t="n"/>
      <c r="W53" s="78" t="n"/>
      <c r="X53" s="77" t="n"/>
      <c r="Y53" s="77" t="n"/>
    </row>
    <row r="54" ht="14.25" customHeight="1" s="60">
      <c r="B54" s="79" t="n"/>
      <c r="C54" s="79" t="n"/>
      <c r="D54" s="76" t="n"/>
      <c r="E54" s="79" t="n"/>
      <c r="F54" s="79" t="n"/>
      <c r="G54" s="88" t="n"/>
      <c r="H54" s="88" t="n"/>
      <c r="I54" s="78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79" t="n"/>
      <c r="V54" s="79" t="n"/>
      <c r="W54" s="78" t="n"/>
      <c r="X54" s="77" t="n"/>
      <c r="Y54" s="77" t="n"/>
    </row>
    <row r="55" ht="14.25" customHeight="1" s="60">
      <c r="B55" s="79" t="n"/>
      <c r="C55" s="79" t="n"/>
      <c r="D55" s="76" t="n"/>
      <c r="E55" s="79" t="n"/>
      <c r="F55" s="79" t="n"/>
      <c r="G55" s="88" t="n"/>
      <c r="H55" s="88" t="n"/>
      <c r="I55" s="78" t="n"/>
      <c r="J55" s="79" t="n"/>
      <c r="K55" s="79" t="n"/>
      <c r="L55" s="79" t="n"/>
      <c r="M55" s="79" t="n"/>
      <c r="N55" s="79" t="n"/>
      <c r="O55" s="79" t="n"/>
      <c r="P55" s="79" t="n"/>
      <c r="Q55" s="79" t="n"/>
      <c r="R55" s="79" t="n"/>
      <c r="S55" s="79" t="n"/>
      <c r="T55" s="79" t="n"/>
      <c r="U55" s="79" t="n"/>
      <c r="V55" s="79" t="n"/>
      <c r="W55" s="78" t="n"/>
      <c r="X55" s="77" t="n"/>
      <c r="Y55" s="77" t="n"/>
    </row>
  </sheetData>
  <mergeCells count="11">
    <mergeCell ref="W18:W19"/>
    <mergeCell ref="I18:I19"/>
    <mergeCell ref="D18:D19"/>
    <mergeCell ref="B18:B19"/>
    <mergeCell ref="E18:E19"/>
    <mergeCell ref="K18:V18"/>
    <mergeCell ref="C18:C19"/>
    <mergeCell ref="G18:H18"/>
    <mergeCell ref="X18:X19"/>
    <mergeCell ref="Y18:Y19"/>
    <mergeCell ref="F18:F19"/>
  </mergeCells>
  <dataValidations count="2">
    <dataValidation sqref="D21:D220" showDropDown="0" showInputMessage="0" showErrorMessage="0" allowBlank="0" type="list" errorStyle="stop" operator="between">
      <formula1>"도로,해상,항공,철도"</formula1>
      <formula2>0</formula2>
    </dataValidation>
    <dataValidation sqref="F21:F220" showDropDown="0" showInputMessage="0" showErrorMessage="0" allowBlank="0" type="list" errorStyle="stop" operator="between">
      <formula1>"kg,ton"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V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59" min="2" max="2"/>
    <col width="16" customWidth="1" style="59" min="3" max="3"/>
    <col width="13.62" customWidth="1" style="59" min="4" max="4"/>
    <col width="20" customWidth="1" style="59" min="5" max="5"/>
    <col width="16" customWidth="1" style="59" min="6" max="7"/>
    <col width="8" customWidth="1" style="59" min="8" max="19"/>
    <col width="18" customWidth="1" style="59" min="20" max="20"/>
    <col width="20.75" customWidth="1" style="59" min="21" max="21"/>
    <col width="16" customWidth="1" style="59" min="22" max="22"/>
  </cols>
  <sheetData>
    <row r="1"/>
    <row r="2" ht="20.25" customHeight="1" s="60">
      <c r="B2" s="61" t="inlineStr">
        <is>
          <t>C4. 업스트림 운송·배송 2안. 운송금액 기반</t>
        </is>
      </c>
    </row>
    <row r="3"/>
    <row r="4" ht="14.25" customHeight="1" s="60">
      <c r="B4" s="62" t="inlineStr">
        <is>
          <t>카테고리 정의</t>
        </is>
      </c>
    </row>
    <row r="5" ht="14.25" customHeight="1" s="60">
      <c r="B5" s="63" t="inlineStr">
        <is>
          <t>- 보고년도에 회사가 구매한 원재료, 제품, 자재 등의 운송·배송 비용을 기준으로 산정하는 온실가스 배출량</t>
        </is>
      </c>
    </row>
    <row r="6" ht="14.25" customHeight="1" s="60">
      <c r="B6" s="63" t="inlineStr">
        <is>
          <t>- 출발지, 도착지, 운송거리, 화물중량을 알 수 없고 운송비 또는 물류비만 확인 가능한 경우 작성</t>
        </is>
      </c>
    </row>
    <row r="7"/>
    <row r="8"/>
    <row r="9" ht="14.25" customHeight="1" s="60">
      <c r="B9" s="62" t="inlineStr">
        <is>
          <t>작성 기준</t>
        </is>
      </c>
    </row>
    <row r="10" ht="14.25" customHeight="1" s="60">
      <c r="B10" s="63" t="inlineStr">
        <is>
          <t>1) 온실가스 산정 식: Σ(운송지출금액 × 운송/물류 지출기반 배출계수)</t>
        </is>
      </c>
    </row>
    <row r="11" ht="14.25" customHeight="1" s="60">
      <c r="B11" s="63" t="inlineStr">
        <is>
          <t xml:space="preserve"> - 배출계수는 US EPA Supply Chain Greenhouse Gas Emission Factors v1.3 등 지출기반 배출계수 활용</t>
        </is>
      </c>
    </row>
    <row r="12" ht="14.25" customHeight="1" s="60">
      <c r="B12" s="63" t="inlineStr">
        <is>
          <t>2) 운송수단은 도로, 해상, 항공, 철도 중 실제 주요 운송수단을 선택</t>
        </is>
      </c>
    </row>
    <row r="13" ht="14.25" customHeight="1" s="60">
      <c r="B13" s="63" t="inlineStr">
        <is>
          <t>3) 운송수단을 모르는 경우 출발지·도착지를 기준으로 AI가 운송수단 추정</t>
        </is>
      </c>
    </row>
    <row r="14" ht="14.25" customHeight="1" s="60">
      <c r="B14" s="63" t="inlineStr">
        <is>
          <t>4) 운송금액은 실제 운송비, 물류비, 배송비, 포워딩 비용 등을 기준으로 작성</t>
        </is>
      </c>
    </row>
    <row r="15" ht="14.25" customHeight="1" s="60">
      <c r="B15" s="63" t="inlineStr">
        <is>
          <t>5) 출발지·도착지와 화물중량을 알고 있는 경우 C4-1 시트에 작성</t>
        </is>
      </c>
    </row>
    <row r="16"/>
    <row r="17" ht="14.25" customHeight="1" s="60">
      <c r="B17" s="64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8" ht="14.25" customHeight="1" s="60">
      <c r="B18" s="64" t="inlineStr">
        <is>
          <t>※ 주황색으로 표시된 필수 입력칸은 반드시 작성해야 합니다.</t>
        </is>
      </c>
    </row>
    <row r="19" ht="15" customHeight="1" s="60">
      <c r="B19" s="65" t="inlineStr">
        <is>
          <t>*국가</t>
        </is>
      </c>
      <c r="C19" s="65" t="inlineStr">
        <is>
          <t>*사업장</t>
        </is>
      </c>
      <c r="D19" s="66" t="inlineStr">
        <is>
          <t>운송수단(선택)</t>
        </is>
      </c>
      <c r="E19" s="65" t="inlineStr">
        <is>
          <t>*자재명/품목명</t>
        </is>
      </c>
      <c r="F19" s="66" t="inlineStr">
        <is>
          <t>거래처명(선택)</t>
        </is>
      </c>
      <c r="G19" s="67" t="inlineStr">
        <is>
          <t>연간 입력</t>
        </is>
      </c>
      <c r="H19" s="67" t="inlineStr">
        <is>
          <t>월별 운송금액</t>
        </is>
      </c>
      <c r="I19" s="68" t="n"/>
      <c r="J19" s="68" t="n"/>
      <c r="K19" s="68" t="n"/>
      <c r="L19" s="68" t="n"/>
      <c r="M19" s="68" t="n"/>
      <c r="N19" s="68" t="n"/>
      <c r="O19" s="68" t="n"/>
      <c r="P19" s="68" t="n"/>
      <c r="Q19" s="68" t="n"/>
      <c r="R19" s="68" t="n"/>
      <c r="S19" s="69" t="n"/>
      <c r="T19" s="66" t="inlineStr">
        <is>
          <t>비고(선택)</t>
        </is>
      </c>
      <c r="U19" s="66" t="inlineStr">
        <is>
          <t>배출계수(kgCO2e/원)</t>
        </is>
      </c>
      <c r="V19" s="66" t="inlineStr">
        <is>
          <t>배출량(tCO2e)</t>
        </is>
      </c>
    </row>
    <row r="20" ht="15.75" customHeight="1" s="60">
      <c r="B20" s="70" t="n"/>
      <c r="C20" s="70" t="n"/>
      <c r="D20" s="70" t="n"/>
      <c r="E20" s="70" t="n"/>
      <c r="F20" s="70" t="n"/>
      <c r="G20" s="66" t="inlineStr">
        <is>
          <t>연간운송금액(원)</t>
        </is>
      </c>
      <c r="H20" s="65" t="inlineStr">
        <is>
          <t>1월</t>
        </is>
      </c>
      <c r="I20" s="65" t="inlineStr">
        <is>
          <t>2월</t>
        </is>
      </c>
      <c r="J20" s="65" t="inlineStr">
        <is>
          <t>3월</t>
        </is>
      </c>
      <c r="K20" s="65" t="inlineStr">
        <is>
          <t>4월</t>
        </is>
      </c>
      <c r="L20" s="65" t="inlineStr">
        <is>
          <t>5월</t>
        </is>
      </c>
      <c r="M20" s="65" t="inlineStr">
        <is>
          <t>6월</t>
        </is>
      </c>
      <c r="N20" s="65" t="inlineStr">
        <is>
          <t>7월</t>
        </is>
      </c>
      <c r="O20" s="65" t="inlineStr">
        <is>
          <t>8월</t>
        </is>
      </c>
      <c r="P20" s="65" t="inlineStr">
        <is>
          <t>9월</t>
        </is>
      </c>
      <c r="Q20" s="65" t="inlineStr">
        <is>
          <t>10월</t>
        </is>
      </c>
      <c r="R20" s="65" t="inlineStr">
        <is>
          <t>11월</t>
        </is>
      </c>
      <c r="S20" s="65" t="inlineStr">
        <is>
          <t>12월</t>
        </is>
      </c>
      <c r="T20" s="70" t="n"/>
      <c r="U20" s="70" t="n"/>
      <c r="V20" s="70" t="n"/>
    </row>
    <row r="21" ht="16.5" customHeight="1" s="60">
      <c r="B21" s="71" t="inlineStr">
        <is>
          <t>대한민국</t>
        </is>
      </c>
      <c r="C21" s="71" t="inlineStr">
        <is>
          <t>평택공장</t>
        </is>
      </c>
      <c r="D21" s="73" t="inlineStr">
        <is>
          <t>도로</t>
        </is>
      </c>
      <c r="E21" s="71" t="inlineStr">
        <is>
          <t>원재료 A</t>
        </is>
      </c>
      <c r="F21" s="73" t="inlineStr">
        <is>
          <t>물류업체</t>
        </is>
      </c>
      <c r="G21" s="71" t="n">
        <v>12000000</v>
      </c>
      <c r="H21" s="71" t="n"/>
      <c r="I21" s="71" t="n"/>
      <c r="J21" s="71" t="n"/>
      <c r="K21" s="71" t="n"/>
      <c r="L21" s="71" t="n"/>
      <c r="M21" s="71" t="n"/>
      <c r="N21" s="71" t="n"/>
      <c r="O21" s="71" t="n"/>
      <c r="P21" s="71" t="n"/>
      <c r="Q21" s="71" t="n"/>
      <c r="R21" s="71" t="n"/>
      <c r="S21" s="71" t="n"/>
      <c r="T21" s="73" t="inlineStr">
        <is>
          <t>연간 물류비 기준</t>
        </is>
      </c>
      <c r="U21" s="74" t="n">
        <v>0.0007338429464906</v>
      </c>
      <c r="V21" s="74" t="n">
        <v>8.806115357887199</v>
      </c>
    </row>
    <row r="22" ht="16.5" customHeight="1" s="60">
      <c r="B22" s="75" t="inlineStr">
        <is>
          <t>대한민국</t>
        </is>
      </c>
      <c r="C22" s="75" t="inlineStr">
        <is>
          <t>본사</t>
        </is>
      </c>
      <c r="D22" s="76" t="inlineStr">
        <is>
          <t>택배</t>
        </is>
      </c>
      <c r="E22" s="75" t="inlineStr">
        <is>
          <t>샘플 제품</t>
        </is>
      </c>
      <c r="F22" s="76" t="inlineStr">
        <is>
          <t>택배사</t>
        </is>
      </c>
      <c r="G22" s="75" t="n"/>
      <c r="H22" s="75" t="n">
        <v>180000</v>
      </c>
      <c r="I22" s="75" t="n">
        <v>180000</v>
      </c>
      <c r="J22" s="75" t="n">
        <v>180000</v>
      </c>
      <c r="K22" s="75" t="n">
        <v>180000</v>
      </c>
      <c r="L22" s="75" t="n">
        <v>180000</v>
      </c>
      <c r="M22" s="75" t="n">
        <v>180000</v>
      </c>
      <c r="N22" s="75" t="n">
        <v>180000</v>
      </c>
      <c r="O22" s="75" t="n">
        <v>180000</v>
      </c>
      <c r="P22" s="75" t="n">
        <v>180000</v>
      </c>
      <c r="Q22" s="75" t="n">
        <v>180000</v>
      </c>
      <c r="R22" s="75" t="n">
        <v>180000</v>
      </c>
      <c r="S22" s="75" t="n">
        <v>180000</v>
      </c>
      <c r="T22" s="76" t="inlineStr">
        <is>
          <t>월별 택배비 기준</t>
        </is>
      </c>
      <c r="U22" s="77" t="n">
        <v>0.0003280055594162</v>
      </c>
      <c r="V22" s="77" t="n">
        <v>0.7084920083389921</v>
      </c>
    </row>
    <row r="23" ht="16.5" customHeight="1" s="60">
      <c r="B23" s="75" t="inlineStr">
        <is>
          <t>일본</t>
        </is>
      </c>
      <c r="C23" s="75" t="inlineStr">
        <is>
          <t>도쿄지점</t>
        </is>
      </c>
      <c r="D23" s="76" t="inlineStr">
        <is>
          <t>항공</t>
        </is>
      </c>
      <c r="E23" s="75" t="inlineStr">
        <is>
          <t>긴급 부품</t>
        </is>
      </c>
      <c r="F23" s="76" t="inlineStr">
        <is>
          <t>국제특송사</t>
        </is>
      </c>
      <c r="G23" s="75" t="n">
        <v>8400000</v>
      </c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6" t="inlineStr">
        <is>
          <t>긴급 항공 특송 비용</t>
        </is>
      </c>
      <c r="U23" s="77" t="n">
        <v>0.0015031271716469</v>
      </c>
      <c r="V23" s="77" t="n">
        <v>12.62626824183396</v>
      </c>
    </row>
    <row r="24" ht="16.5" customHeight="1" s="60">
      <c r="B24" s="75" t="inlineStr">
        <is>
          <t>대한민국</t>
        </is>
      </c>
      <c r="C24" s="75" t="inlineStr">
        <is>
          <t>부산지사</t>
        </is>
      </c>
      <c r="D24" s="76" t="inlineStr">
        <is>
          <t>해상</t>
        </is>
      </c>
      <c r="E24" s="75" t="inlineStr">
        <is>
          <t>수입 포장재</t>
        </is>
      </c>
      <c r="F24" s="76" t="inlineStr">
        <is>
          <t>포워더</t>
        </is>
      </c>
      <c r="G24" s="75" t="n"/>
      <c r="H24" s="75" t="n">
        <v>650000</v>
      </c>
      <c r="I24" s="75" t="n">
        <v>650000</v>
      </c>
      <c r="J24" s="75" t="n">
        <v>650000</v>
      </c>
      <c r="K24" s="75" t="n">
        <v>650000</v>
      </c>
      <c r="L24" s="75" t="n">
        <v>650000</v>
      </c>
      <c r="M24" s="75" t="n">
        <v>650000</v>
      </c>
      <c r="N24" s="75" t="n">
        <v>650000</v>
      </c>
      <c r="O24" s="75" t="n">
        <v>650000</v>
      </c>
      <c r="P24" s="75" t="n">
        <v>650000</v>
      </c>
      <c r="Q24" s="75" t="n">
        <v>650000</v>
      </c>
      <c r="R24" s="75" t="n">
        <v>650000</v>
      </c>
      <c r="S24" s="75" t="n">
        <v>650000</v>
      </c>
      <c r="T24" s="76" t="inlineStr">
        <is>
          <t>수입 부대 운송비</t>
        </is>
      </c>
      <c r="U24" s="77" t="n">
        <v>0.0003280055594162</v>
      </c>
      <c r="V24" s="77" t="n">
        <v>2.55844336344636</v>
      </c>
    </row>
    <row r="25" ht="16.5" customHeight="1" s="60">
      <c r="B25" s="75" t="inlineStr">
        <is>
          <t>대한민국</t>
        </is>
      </c>
      <c r="C25" s="75" t="inlineStr">
        <is>
          <t>대구공장</t>
        </is>
      </c>
      <c r="D25" s="76" t="inlineStr">
        <is>
          <t>도로</t>
        </is>
      </c>
      <c r="E25" s="75" t="inlineStr">
        <is>
          <t>알루미늄 판재</t>
        </is>
      </c>
      <c r="F25" s="76" t="inlineStr">
        <is>
          <t>대구운송</t>
        </is>
      </c>
      <c r="G25" s="79" t="n">
        <v>8600000</v>
      </c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6" t="inlineStr">
        <is>
          <t>원자재 정기 운송비</t>
        </is>
      </c>
      <c r="U25" s="77" t="n">
        <v>0.0007338429464906</v>
      </c>
      <c r="V25" s="77" t="n">
        <v>6.31104933981916</v>
      </c>
    </row>
    <row r="26" ht="16.5" customHeight="1" s="60">
      <c r="B26" s="75" t="inlineStr">
        <is>
          <t>대한민국</t>
        </is>
      </c>
      <c r="C26" s="75" t="inlineStr">
        <is>
          <t>물류센터</t>
        </is>
      </c>
      <c r="D26" s="76" t="inlineStr">
        <is>
          <t>항공</t>
        </is>
      </c>
      <c r="E26" s="75" t="inlineStr">
        <is>
          <t>긴급 부품</t>
        </is>
      </c>
      <c r="F26" s="76" t="inlineStr">
        <is>
          <t>국제특송사</t>
        </is>
      </c>
      <c r="G26" s="79" t="n">
        <v>3200000</v>
      </c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6" t="inlineStr">
        <is>
          <t>긴급 항공 특송비</t>
        </is>
      </c>
      <c r="U26" s="77" t="n">
        <v>0.0015031271716469</v>
      </c>
      <c r="V26" s="77" t="n">
        <v>4.81000694927008</v>
      </c>
    </row>
    <row r="27" ht="16.5" customHeight="1" s="60">
      <c r="B27" s="75" t="inlineStr">
        <is>
          <t>중국</t>
        </is>
      </c>
      <c r="C27" s="75" t="inlineStr">
        <is>
          <t>상하이공장</t>
        </is>
      </c>
      <c r="D27" s="76" t="inlineStr">
        <is>
          <t>철도</t>
        </is>
      </c>
      <c r="E27" s="75" t="inlineStr">
        <is>
          <t>원자재</t>
        </is>
      </c>
      <c r="F27" s="76" t="inlineStr">
        <is>
          <t>상하이물류</t>
        </is>
      </c>
      <c r="G27" s="79" t="n"/>
      <c r="H27" s="79" t="n">
        <v>950000</v>
      </c>
      <c r="I27" s="79" t="n">
        <v>950000</v>
      </c>
      <c r="J27" s="79" t="n">
        <v>950000</v>
      </c>
      <c r="K27" s="79" t="n">
        <v>950000</v>
      </c>
      <c r="L27" s="79" t="n">
        <v>950000</v>
      </c>
      <c r="M27" s="79" t="n">
        <v>950000</v>
      </c>
      <c r="N27" s="79" t="n">
        <v>950000</v>
      </c>
      <c r="O27" s="79" t="n">
        <v>950000</v>
      </c>
      <c r="P27" s="79" t="n">
        <v>950000</v>
      </c>
      <c r="Q27" s="79" t="n">
        <v>950000</v>
      </c>
      <c r="R27" s="79" t="n">
        <v>950000</v>
      </c>
      <c r="S27" s="79" t="n">
        <v>950000</v>
      </c>
      <c r="T27" s="76" t="inlineStr">
        <is>
          <t>내륙 철도 운송비</t>
        </is>
      </c>
      <c r="U27" s="77" t="n">
        <v>0.0002536483669214</v>
      </c>
      <c r="V27" s="77" t="n">
        <v>2.89159138290396</v>
      </c>
    </row>
    <row r="28" ht="32.25" customHeight="1" s="60">
      <c r="B28" s="75" t="inlineStr">
        <is>
          <t>미국</t>
        </is>
      </c>
      <c r="C28" s="75" t="inlineStr">
        <is>
          <t>미국판매법인</t>
        </is>
      </c>
      <c r="D28" s="76" t="inlineStr">
        <is>
          <t>도로</t>
        </is>
      </c>
      <c r="E28" s="75" t="inlineStr">
        <is>
          <t>컨테이너 화물</t>
        </is>
      </c>
      <c r="F28" s="76" t="inlineStr">
        <is>
          <t>미국물류사</t>
        </is>
      </c>
      <c r="G28" s="79" t="n">
        <v>22000000</v>
      </c>
      <c r="H28" s="79" t="n"/>
      <c r="I28" s="79" t="n"/>
      <c r="J28" s="79" t="n"/>
      <c r="K28" s="79" t="n"/>
      <c r="L28" s="79" t="n"/>
      <c r="M28" s="79" t="n"/>
      <c r="N28" s="79" t="n"/>
      <c r="O28" s="79" t="n"/>
      <c r="P28" s="79" t="n"/>
      <c r="Q28" s="79" t="n"/>
      <c r="R28" s="79" t="n"/>
      <c r="S28" s="79" t="n"/>
      <c r="T28" s="76" t="inlineStr">
        <is>
          <t>수입 컨테이너 내륙 운송비</t>
        </is>
      </c>
      <c r="U28" s="77" t="n">
        <v>0.0007338429464906</v>
      </c>
      <c r="V28" s="77" t="n">
        <v>16.1445448227932</v>
      </c>
    </row>
    <row r="29" ht="16.5" customHeight="1" s="60">
      <c r="B29" s="75" t="inlineStr">
        <is>
          <t>대한민국</t>
        </is>
      </c>
      <c r="C29" s="75" t="inlineStr">
        <is>
          <t>부산지사</t>
        </is>
      </c>
      <c r="D29" s="76" t="inlineStr">
        <is>
          <t>해상</t>
        </is>
      </c>
      <c r="E29" s="75" t="inlineStr">
        <is>
          <t>수출 원자재</t>
        </is>
      </c>
      <c r="F29" s="76" t="inlineStr">
        <is>
          <t>부산해운</t>
        </is>
      </c>
      <c r="G29" s="79" t="n"/>
      <c r="H29" s="79" t="n">
        <v>1100000</v>
      </c>
      <c r="I29" s="79" t="n">
        <v>1100000</v>
      </c>
      <c r="J29" s="79" t="n">
        <v>1100000</v>
      </c>
      <c r="K29" s="79" t="n">
        <v>1100000</v>
      </c>
      <c r="L29" s="79" t="n">
        <v>1100000</v>
      </c>
      <c r="M29" s="79" t="n">
        <v>1100000</v>
      </c>
      <c r="N29" s="79" t="n">
        <v>1100000</v>
      </c>
      <c r="O29" s="79" t="n">
        <v>1100000</v>
      </c>
      <c r="P29" s="79" t="n">
        <v>1100000</v>
      </c>
      <c r="Q29" s="79" t="n">
        <v>1100000</v>
      </c>
      <c r="R29" s="79" t="n">
        <v>1100000</v>
      </c>
      <c r="S29" s="79" t="n">
        <v>1100000</v>
      </c>
      <c r="T29" s="76" t="inlineStr">
        <is>
          <t>수출 해상 운송비</t>
        </is>
      </c>
      <c r="U29" s="77" t="n">
        <v>0.0003280055594162</v>
      </c>
      <c r="V29" s="77" t="n">
        <v>4.32967338429384</v>
      </c>
    </row>
    <row r="30" ht="16.5" customHeight="1" s="60">
      <c r="B30" s="75" t="inlineStr">
        <is>
          <t>베트남</t>
        </is>
      </c>
      <c r="C30" s="75" t="inlineStr">
        <is>
          <t>베트남공장</t>
        </is>
      </c>
      <c r="D30" s="76" t="inlineStr">
        <is>
          <t>도로</t>
        </is>
      </c>
      <c r="E30" s="75" t="inlineStr">
        <is>
          <t>원사</t>
        </is>
      </c>
      <c r="F30" s="76" t="inlineStr">
        <is>
          <t>베트남물류</t>
        </is>
      </c>
      <c r="G30" s="79" t="n">
        <v>4800000</v>
      </c>
      <c r="H30" s="79" t="n"/>
      <c r="I30" s="79" t="n"/>
      <c r="J30" s="79" t="n"/>
      <c r="K30" s="79" t="n"/>
      <c r="L30" s="79" t="n"/>
      <c r="M30" s="79" t="n"/>
      <c r="N30" s="79" t="n"/>
      <c r="O30" s="79" t="n"/>
      <c r="P30" s="79" t="n"/>
      <c r="Q30" s="79" t="n"/>
      <c r="R30" s="79" t="n"/>
      <c r="S30" s="79" t="n"/>
      <c r="T30" s="76" t="inlineStr">
        <is>
          <t>원자재 국내 운송비</t>
        </is>
      </c>
      <c r="U30" s="77" t="n">
        <v>0.0007338429464906</v>
      </c>
      <c r="V30" s="77" t="n">
        <v>3.52244614315488</v>
      </c>
    </row>
    <row r="31" ht="16.5" customHeight="1" s="60">
      <c r="B31" s="75" t="inlineStr">
        <is>
          <t>대한민국</t>
        </is>
      </c>
      <c r="C31" s="75" t="inlineStr">
        <is>
          <t>본사</t>
        </is>
      </c>
      <c r="D31" s="76" t="inlineStr">
        <is>
          <t>택배</t>
        </is>
      </c>
      <c r="E31" s="75" t="inlineStr">
        <is>
          <t>사무용 소모품</t>
        </is>
      </c>
      <c r="F31" s="76" t="inlineStr">
        <is>
          <t>로젠택배</t>
        </is>
      </c>
      <c r="G31" s="79" t="n"/>
      <c r="H31" s="79" t="n">
        <v>320000</v>
      </c>
      <c r="I31" s="79" t="n">
        <v>320000</v>
      </c>
      <c r="J31" s="79" t="n">
        <v>320000</v>
      </c>
      <c r="K31" s="79" t="n">
        <v>320000</v>
      </c>
      <c r="L31" s="79" t="n">
        <v>320000</v>
      </c>
      <c r="M31" s="79" t="n">
        <v>320000</v>
      </c>
      <c r="N31" s="79" t="n">
        <v>320000</v>
      </c>
      <c r="O31" s="79" t="n">
        <v>320000</v>
      </c>
      <c r="P31" s="79" t="n">
        <v>320000</v>
      </c>
      <c r="Q31" s="79" t="n">
        <v>320000</v>
      </c>
      <c r="R31" s="79" t="n">
        <v>320000</v>
      </c>
      <c r="S31" s="79" t="n">
        <v>320000</v>
      </c>
      <c r="T31" s="76" t="inlineStr">
        <is>
          <t>본사 택배 배송비</t>
        </is>
      </c>
      <c r="U31" s="77" t="n">
        <v>0.0003280055594162</v>
      </c>
      <c r="V31" s="77" t="n">
        <v>1.259541348158208</v>
      </c>
    </row>
    <row r="32" ht="32.25" customHeight="1" s="60">
      <c r="B32" s="75" t="inlineStr">
        <is>
          <t>인도네시아</t>
        </is>
      </c>
      <c r="C32" s="75" t="inlineStr">
        <is>
          <t>자카르타지점</t>
        </is>
      </c>
      <c r="D32" s="76" t="inlineStr">
        <is>
          <t>해상</t>
        </is>
      </c>
      <c r="E32" s="75" t="inlineStr">
        <is>
          <t>설비 부품</t>
        </is>
      </c>
      <c r="F32" s="76" t="inlineStr">
        <is>
          <t>자카르타포워더</t>
        </is>
      </c>
      <c r="G32" s="79" t="n">
        <v>6100000</v>
      </c>
      <c r="H32" s="79" t="n"/>
      <c r="I32" s="79" t="n"/>
      <c r="J32" s="79" t="n"/>
      <c r="K32" s="79" t="n"/>
      <c r="L32" s="79" t="n"/>
      <c r="M32" s="79" t="n"/>
      <c r="N32" s="79" t="n"/>
      <c r="O32" s="79" t="n"/>
      <c r="P32" s="79" t="n"/>
      <c r="Q32" s="79" t="n"/>
      <c r="R32" s="79" t="n"/>
      <c r="S32" s="79" t="n"/>
      <c r="T32" s="76" t="inlineStr">
        <is>
          <t>설비 부품 해상 운송비</t>
        </is>
      </c>
      <c r="U32" s="77" t="n">
        <v>0.0003280055594162</v>
      </c>
      <c r="V32" s="77" t="n">
        <v>2.00083391243882</v>
      </c>
    </row>
    <row r="33" ht="14.25" customHeight="1" s="60">
      <c r="B33" s="75" t="inlineStr">
        <is>
          <t>대한민국</t>
        </is>
      </c>
      <c r="C33" s="75" t="inlineStr">
        <is>
          <t>대구공장</t>
        </is>
      </c>
      <c r="D33" s="76" t="inlineStr">
        <is>
          <t>도로</t>
        </is>
      </c>
      <c r="E33" s="79" t="inlineStr">
        <is>
          <t>SUS원자재</t>
        </is>
      </c>
      <c r="F33" s="76" t="inlineStr">
        <is>
          <t>대구운송(주)</t>
        </is>
      </c>
      <c r="G33" s="79" t="n">
        <v>8940000</v>
      </c>
      <c r="H33" s="79" t="n"/>
      <c r="I33" s="79" t="n"/>
      <c r="J33" s="79" t="n"/>
      <c r="K33" s="79" t="n"/>
      <c r="L33" s="79" t="n"/>
      <c r="M33" s="79" t="n"/>
      <c r="N33" s="79" t="n"/>
      <c r="O33" s="79" t="n"/>
      <c r="P33" s="79" t="n"/>
      <c r="Q33" s="79" t="n"/>
      <c r="R33" s="79" t="n"/>
      <c r="S33" s="79" t="n"/>
      <c r="T33" s="78" t="inlineStr">
        <is>
          <t>9월 유가할증료 포함된 금액</t>
        </is>
      </c>
      <c r="U33" s="77" t="n">
        <v>0.0007338429464906</v>
      </c>
      <c r="V33" s="77" t="n">
        <v>6.560555941625965</v>
      </c>
    </row>
    <row r="34" ht="14.25" customHeight="1" s="60">
      <c r="B34" s="75" t="inlineStr">
        <is>
          <t>대한민국</t>
        </is>
      </c>
      <c r="C34" s="75" t="inlineStr">
        <is>
          <t>물류센터</t>
        </is>
      </c>
      <c r="D34" s="76" t="inlineStr">
        <is>
          <t>택배</t>
        </is>
      </c>
      <c r="E34" s="75" t="inlineStr">
        <is>
          <t>소형부품</t>
        </is>
      </c>
      <c r="F34" s="78" t="inlineStr">
        <is>
          <t>CJ대한통운</t>
        </is>
      </c>
      <c r="G34" s="79" t="n"/>
      <c r="H34" s="79" t="n">
        <v>612000</v>
      </c>
      <c r="I34" s="79" t="n">
        <v>612000</v>
      </c>
      <c r="J34" s="79" t="n">
        <v>612000</v>
      </c>
      <c r="K34" s="79" t="n">
        <v>612000</v>
      </c>
      <c r="L34" s="79" t="n">
        <v>612000</v>
      </c>
      <c r="M34" s="79" t="n">
        <v>612000</v>
      </c>
      <c r="N34" s="79" t="n">
        <v>612000</v>
      </c>
      <c r="O34" s="79" t="n">
        <v>612000</v>
      </c>
      <c r="P34" s="79" t="n">
        <v>612000</v>
      </c>
      <c r="Q34" s="79" t="n">
        <v>612000</v>
      </c>
      <c r="R34" s="79" t="n">
        <v>612000</v>
      </c>
      <c r="S34" s="79" t="n">
        <v>612000</v>
      </c>
      <c r="T34" s="78" t="n"/>
      <c r="U34" s="77" t="n">
        <v>0.0003280055594162</v>
      </c>
      <c r="V34" s="77" t="n">
        <v>2.408872828352573</v>
      </c>
    </row>
    <row r="35" ht="14.25" customHeight="1" s="60">
      <c r="B35" s="75" t="inlineStr">
        <is>
          <t>중국</t>
        </is>
      </c>
      <c r="C35" s="75" t="inlineStr">
        <is>
          <t>상하이공장</t>
        </is>
      </c>
      <c r="D35" s="76" t="inlineStr">
        <is>
          <t>철도</t>
        </is>
      </c>
      <c r="E35" s="79" t="inlineStr">
        <is>
          <t>PCB원자재 운송비</t>
        </is>
      </c>
      <c r="F35" s="76" t="inlineStr">
        <is>
          <t>上海物流集团</t>
        </is>
      </c>
      <c r="G35" s="79" t="n"/>
      <c r="H35" s="79" t="n">
        <v>1050000</v>
      </c>
      <c r="I35" s="79" t="n">
        <v>1050000</v>
      </c>
      <c r="J35" s="79" t="n">
        <v>1050000</v>
      </c>
      <c r="K35" s="79" t="n">
        <v>1050000</v>
      </c>
      <c r="L35" s="79" t="n">
        <v>1050000</v>
      </c>
      <c r="M35" s="79" t="n">
        <v>1050000</v>
      </c>
      <c r="N35" s="79" t="n">
        <v>1050000</v>
      </c>
      <c r="O35" s="79" t="n">
        <v>1050000</v>
      </c>
      <c r="P35" s="79" t="n">
        <v>1050000</v>
      </c>
      <c r="Q35" s="79" t="n">
        <v>1050000</v>
      </c>
      <c r="R35" s="79" t="n">
        <v>1050000</v>
      </c>
      <c r="S35" s="79" t="n">
        <v>1050000</v>
      </c>
      <c r="T35" s="76" t="inlineStr">
        <is>
          <t>중국 현지법인 결제, 세금계산서 없음-추정치</t>
        </is>
      </c>
      <c r="U35" s="77" t="n">
        <v>0.0002536483669214</v>
      </c>
      <c r="V35" s="77" t="n">
        <v>3.19596942320964</v>
      </c>
    </row>
    <row r="36" ht="14.25" customHeight="1" s="60">
      <c r="B36" s="75" t="inlineStr">
        <is>
          <t>미국</t>
        </is>
      </c>
      <c r="C36" s="75" t="inlineStr">
        <is>
          <t>미국판매법인</t>
        </is>
      </c>
      <c r="D36" s="76" t="inlineStr">
        <is>
          <t>도로</t>
        </is>
      </c>
      <c r="E36" s="75" t="inlineStr">
        <is>
          <t>컨테이너 내륙운송</t>
        </is>
      </c>
      <c r="F36" s="78" t="inlineStr">
        <is>
          <t>US Freight Solutions Inc.</t>
        </is>
      </c>
      <c r="G36" s="79" t="n">
        <v>24500000</v>
      </c>
      <c r="H36" s="79" t="n"/>
      <c r="I36" s="79" t="n"/>
      <c r="J36" s="79" t="n"/>
      <c r="K36" s="79" t="n"/>
      <c r="L36" s="79" t="n"/>
      <c r="M36" s="79" t="n"/>
      <c r="N36" s="79" t="n"/>
      <c r="O36" s="79" t="n"/>
      <c r="P36" s="79" t="n"/>
      <c r="Q36" s="79" t="n"/>
      <c r="R36" s="79" t="n"/>
      <c r="S36" s="79" t="n"/>
      <c r="T36" s="78" t="inlineStr">
        <is>
          <t>US법인 내륙운송비(월별)</t>
        </is>
      </c>
      <c r="U36" s="77" t="n">
        <v>0.0007338429464906</v>
      </c>
      <c r="V36" s="77" t="n">
        <v>17.9791521890197</v>
      </c>
    </row>
    <row r="37" ht="14.25" customHeight="1" s="60">
      <c r="B37" s="75" t="inlineStr">
        <is>
          <t>베트남</t>
        </is>
      </c>
      <c r="C37" s="75" t="inlineStr">
        <is>
          <t>베트남공장</t>
        </is>
      </c>
      <c r="D37" s="76" t="inlineStr">
        <is>
          <t>해상</t>
        </is>
      </c>
      <c r="E37" s="75" t="inlineStr">
        <is>
          <t>원사 수입운송비</t>
        </is>
      </c>
      <c r="F37" s="76" t="inlineStr">
        <is>
          <t>베트남해운㈜</t>
        </is>
      </c>
      <c r="G37" s="79" t="n">
        <v>5230000</v>
      </c>
      <c r="H37" s="79" t="n"/>
      <c r="I37" s="79" t="n"/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9" t="n"/>
      <c r="T37" s="78" t="inlineStr">
        <is>
          <t>1회성, 연1회 대량발주</t>
        </is>
      </c>
      <c r="U37" s="77" t="n">
        <v>0.0003280055594162</v>
      </c>
      <c r="V37" s="77" t="n">
        <v>1.715469075746726</v>
      </c>
    </row>
    <row r="38" ht="14.25" customHeight="1" s="60">
      <c r="B38" s="75" t="inlineStr">
        <is>
          <t>대한민국</t>
        </is>
      </c>
      <c r="C38" s="75" t="inlineStr">
        <is>
          <t>본사</t>
        </is>
      </c>
      <c r="D38" s="76" t="inlineStr">
        <is>
          <t>택배</t>
        </is>
      </c>
      <c r="E38" s="75" t="inlineStr">
        <is>
          <t>샘플/서류 발송</t>
        </is>
      </c>
      <c r="F38" s="76" t="inlineStr">
        <is>
          <t>로젠택배</t>
        </is>
      </c>
      <c r="G38" s="79" t="n"/>
      <c r="H38" s="79" t="n">
        <v>95000</v>
      </c>
      <c r="I38" s="79" t="n">
        <v>95000</v>
      </c>
      <c r="J38" s="79" t="n">
        <v>95000</v>
      </c>
      <c r="K38" s="79" t="n">
        <v>95000</v>
      </c>
      <c r="L38" s="79" t="n">
        <v>95000</v>
      </c>
      <c r="M38" s="79" t="n">
        <v>95000</v>
      </c>
      <c r="N38" s="79" t="n">
        <v>95000</v>
      </c>
      <c r="O38" s="79" t="n">
        <v>95000</v>
      </c>
      <c r="P38" s="79" t="n">
        <v>95000</v>
      </c>
      <c r="Q38" s="79" t="n">
        <v>95000</v>
      </c>
      <c r="R38" s="79" t="n">
        <v>95000</v>
      </c>
      <c r="S38" s="79" t="n">
        <v>95000</v>
      </c>
      <c r="T38" s="76" t="inlineStr">
        <is>
          <t>소액 반복건 합산</t>
        </is>
      </c>
      <c r="U38" s="77" t="n">
        <v>0.0003280055594162</v>
      </c>
      <c r="V38" s="77" t="n">
        <v>0.373926337734468</v>
      </c>
    </row>
    <row r="39" ht="14.25" customHeight="1" s="60">
      <c r="B39" s="79" t="n"/>
      <c r="C39" s="79" t="n"/>
      <c r="D39" s="76" t="n"/>
      <c r="E39" s="79" t="n"/>
      <c r="F39" s="78" t="n"/>
      <c r="G39" s="79" t="n"/>
      <c r="H39" s="79" t="n"/>
      <c r="I39" s="79" t="n"/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8" t="n"/>
      <c r="U39" s="77" t="n"/>
      <c r="V39" s="77" t="n"/>
    </row>
    <row r="40" ht="14.25" customHeight="1" s="60">
      <c r="B40" s="79" t="n"/>
      <c r="C40" s="79" t="n"/>
      <c r="D40" s="76" t="n"/>
      <c r="E40" s="79" t="n"/>
      <c r="F40" s="78" t="n"/>
      <c r="G40" s="79" t="n"/>
      <c r="H40" s="79" t="n"/>
      <c r="I40" s="79" t="n"/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9" t="n"/>
      <c r="T40" s="78" t="n"/>
      <c r="U40" s="77" t="n"/>
      <c r="V40" s="77" t="n"/>
    </row>
    <row r="41" ht="14.25" customHeight="1" s="60">
      <c r="B41" s="79" t="n"/>
      <c r="C41" s="79" t="n"/>
      <c r="D41" s="76" t="n"/>
      <c r="E41" s="79" t="n"/>
      <c r="F41" s="78" t="n"/>
      <c r="G41" s="79" t="n"/>
      <c r="H41" s="79" t="n"/>
      <c r="I41" s="79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9" t="n"/>
      <c r="T41" s="78" t="n"/>
      <c r="U41" s="77" t="n"/>
      <c r="V41" s="77" t="n"/>
    </row>
    <row r="42" ht="14.25" customHeight="1" s="60">
      <c r="B42" s="79" t="n"/>
      <c r="C42" s="79" t="n"/>
      <c r="D42" s="76" t="n"/>
      <c r="E42" s="79" t="n"/>
      <c r="F42" s="78" t="n"/>
      <c r="G42" s="79" t="n"/>
      <c r="H42" s="79" t="n"/>
      <c r="I42" s="79" t="n"/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9" t="n"/>
      <c r="T42" s="78" t="n"/>
      <c r="U42" s="77" t="n"/>
      <c r="V42" s="77" t="n"/>
    </row>
    <row r="43" ht="14.25" customHeight="1" s="60">
      <c r="B43" s="79" t="n"/>
      <c r="C43" s="79" t="n"/>
      <c r="D43" s="76" t="n"/>
      <c r="E43" s="79" t="n"/>
      <c r="F43" s="78" t="n"/>
      <c r="G43" s="79" t="n"/>
      <c r="H43" s="79" t="n"/>
      <c r="I43" s="7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9" t="n"/>
      <c r="T43" s="78" t="n"/>
      <c r="U43" s="77" t="n"/>
      <c r="V43" s="77" t="n"/>
    </row>
    <row r="44" ht="14.25" customHeight="1" s="60">
      <c r="B44" s="79" t="n"/>
      <c r="C44" s="79" t="n"/>
      <c r="D44" s="76" t="n"/>
      <c r="E44" s="79" t="n"/>
      <c r="F44" s="78" t="n"/>
      <c r="G44" s="79" t="n"/>
      <c r="H44" s="79" t="n"/>
      <c r="I44" s="79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9" t="n"/>
      <c r="T44" s="78" t="n"/>
      <c r="U44" s="77" t="n"/>
      <c r="V44" s="77" t="n"/>
    </row>
    <row r="45" ht="14.25" customHeight="1" s="60">
      <c r="B45" s="79" t="n"/>
      <c r="C45" s="79" t="n"/>
      <c r="D45" s="76" t="n"/>
      <c r="E45" s="79" t="n"/>
      <c r="F45" s="78" t="n"/>
      <c r="G45" s="79" t="n"/>
      <c r="H45" s="79" t="n"/>
      <c r="I45" s="79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9" t="n"/>
      <c r="T45" s="78" t="n"/>
      <c r="U45" s="77" t="n"/>
      <c r="V45" s="77" t="n"/>
    </row>
    <row r="46" ht="14.25" customHeight="1" s="60">
      <c r="B46" s="79" t="n"/>
      <c r="C46" s="79" t="n"/>
      <c r="D46" s="76" t="n"/>
      <c r="E46" s="79" t="n"/>
      <c r="F46" s="78" t="n"/>
      <c r="G46" s="79" t="n"/>
      <c r="H46" s="79" t="n"/>
      <c r="I46" s="79" t="n"/>
      <c r="J46" s="79" t="n"/>
      <c r="K46" s="79" t="n"/>
      <c r="L46" s="79" t="n"/>
      <c r="M46" s="79" t="n"/>
      <c r="N46" s="79" t="n"/>
      <c r="O46" s="79" t="n"/>
      <c r="P46" s="79" t="n"/>
      <c r="Q46" s="79" t="n"/>
      <c r="R46" s="79" t="n"/>
      <c r="S46" s="79" t="n"/>
      <c r="T46" s="78" t="n"/>
      <c r="U46" s="77" t="n"/>
      <c r="V46" s="77" t="n"/>
    </row>
    <row r="47" ht="14.25" customHeight="1" s="60">
      <c r="B47" s="79" t="n"/>
      <c r="C47" s="79" t="n"/>
      <c r="D47" s="76" t="n"/>
      <c r="E47" s="79" t="n"/>
      <c r="F47" s="78" t="n"/>
      <c r="G47" s="79" t="n"/>
      <c r="H47" s="79" t="n"/>
      <c r="I47" s="79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9" t="n"/>
      <c r="T47" s="78" t="n"/>
      <c r="U47" s="77" t="n"/>
      <c r="V47" s="77" t="n"/>
    </row>
    <row r="48" ht="14.25" customHeight="1" s="60">
      <c r="B48" s="79" t="n"/>
      <c r="C48" s="79" t="n"/>
      <c r="D48" s="76" t="n"/>
      <c r="E48" s="79" t="n"/>
      <c r="F48" s="78" t="n"/>
      <c r="G48" s="79" t="n"/>
      <c r="H48" s="79" t="n"/>
      <c r="I48" s="79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9" t="n"/>
      <c r="T48" s="78" t="n"/>
      <c r="U48" s="77" t="n"/>
      <c r="V48" s="77" t="n"/>
    </row>
    <row r="49" ht="14.25" customHeight="1" s="60">
      <c r="B49" s="79" t="n"/>
      <c r="C49" s="79" t="n"/>
      <c r="D49" s="76" t="n"/>
      <c r="E49" s="79" t="n"/>
      <c r="F49" s="78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8" t="n"/>
      <c r="U49" s="77" t="n"/>
      <c r="V49" s="77" t="n"/>
    </row>
    <row r="50" ht="14.25" customHeight="1" s="60">
      <c r="B50" s="79" t="n"/>
      <c r="C50" s="79" t="n"/>
      <c r="D50" s="76" t="n"/>
      <c r="E50" s="79" t="n"/>
      <c r="F50" s="78" t="n"/>
      <c r="G50" s="79" t="n"/>
      <c r="H50" s="79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9" t="n"/>
      <c r="T50" s="78" t="n"/>
      <c r="U50" s="77" t="n"/>
      <c r="V50" s="77" t="n"/>
    </row>
    <row r="51" ht="14.25" customHeight="1" s="60">
      <c r="B51" s="79" t="n"/>
      <c r="C51" s="79" t="n"/>
      <c r="D51" s="76" t="n"/>
      <c r="E51" s="79" t="n"/>
      <c r="F51" s="78" t="n"/>
      <c r="G51" s="79" t="n"/>
      <c r="H51" s="79" t="n"/>
      <c r="I51" s="79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9" t="n"/>
      <c r="T51" s="78" t="n"/>
      <c r="U51" s="77" t="n"/>
      <c r="V51" s="77" t="n"/>
    </row>
    <row r="52" ht="14.25" customHeight="1" s="60">
      <c r="B52" s="79" t="n"/>
      <c r="C52" s="79" t="n"/>
      <c r="D52" s="76" t="n"/>
      <c r="E52" s="79" t="n"/>
      <c r="F52" s="78" t="n"/>
      <c r="G52" s="79" t="n"/>
      <c r="H52" s="79" t="n"/>
      <c r="I52" s="79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9" t="n"/>
      <c r="T52" s="78" t="n"/>
      <c r="U52" s="77" t="n"/>
      <c r="V52" s="77" t="n"/>
    </row>
    <row r="53" ht="14.25" customHeight="1" s="60">
      <c r="B53" s="79" t="n"/>
      <c r="C53" s="79" t="n"/>
      <c r="D53" s="76" t="n"/>
      <c r="E53" s="79" t="n"/>
      <c r="F53" s="78" t="n"/>
      <c r="G53" s="79" t="n"/>
      <c r="H53" s="79" t="n"/>
      <c r="I53" s="79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9" t="n"/>
      <c r="T53" s="78" t="n"/>
      <c r="U53" s="77" t="n"/>
      <c r="V53" s="77" t="n"/>
    </row>
    <row r="54" ht="14.25" customHeight="1" s="60">
      <c r="B54" s="79" t="n"/>
      <c r="C54" s="79" t="n"/>
      <c r="D54" s="76" t="n"/>
      <c r="E54" s="79" t="n"/>
      <c r="F54" s="78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8" t="n"/>
      <c r="U54" s="77" t="n"/>
      <c r="V54" s="77" t="n"/>
    </row>
    <row r="55" ht="14.25" customHeight="1" s="60">
      <c r="B55" s="79" t="n"/>
      <c r="C55" s="79" t="n"/>
      <c r="D55" s="76" t="n"/>
      <c r="E55" s="79" t="n"/>
      <c r="F55" s="78" t="n"/>
      <c r="G55" s="79" t="n"/>
      <c r="H55" s="79" t="n"/>
      <c r="I55" s="79" t="n"/>
      <c r="J55" s="79" t="n"/>
      <c r="K55" s="79" t="n"/>
      <c r="L55" s="79" t="n"/>
      <c r="M55" s="79" t="n"/>
      <c r="N55" s="79" t="n"/>
      <c r="O55" s="79" t="n"/>
      <c r="P55" s="79" t="n"/>
      <c r="Q55" s="79" t="n"/>
      <c r="R55" s="79" t="n"/>
      <c r="S55" s="79" t="n"/>
      <c r="T55" s="78" t="n"/>
      <c r="U55" s="77" t="n"/>
      <c r="V55" s="77" t="n"/>
    </row>
    <row r="56" ht="14.25" customHeight="1" s="60">
      <c r="B56" s="79" t="n"/>
      <c r="C56" s="79" t="n"/>
      <c r="D56" s="76" t="n"/>
      <c r="E56" s="79" t="n"/>
      <c r="F56" s="78" t="n"/>
      <c r="G56" s="79" t="n"/>
      <c r="H56" s="79" t="n"/>
      <c r="I56" s="79" t="n"/>
      <c r="J56" s="79" t="n"/>
      <c r="K56" s="79" t="n"/>
      <c r="L56" s="79" t="n"/>
      <c r="M56" s="79" t="n"/>
      <c r="N56" s="79" t="n"/>
      <c r="O56" s="79" t="n"/>
      <c r="P56" s="79" t="n"/>
      <c r="Q56" s="79" t="n"/>
      <c r="R56" s="79" t="n"/>
      <c r="S56" s="79" t="n"/>
      <c r="T56" s="78" t="n"/>
      <c r="U56" s="77" t="n"/>
      <c r="V56" s="77" t="n"/>
    </row>
  </sheetData>
  <mergeCells count="9">
    <mergeCell ref="D19:D20"/>
    <mergeCell ref="U19:U20"/>
    <mergeCell ref="F19:F20"/>
    <mergeCell ref="H19:S19"/>
    <mergeCell ref="V19:V20"/>
    <mergeCell ref="E19:E20"/>
    <mergeCell ref="T19:T20"/>
    <mergeCell ref="B19:B20"/>
    <mergeCell ref="C19:C20"/>
  </mergeCells>
  <dataValidations count="1">
    <dataValidation sqref="D22:D221" showDropDown="0" showInputMessage="0" showErrorMessage="0" allowBlank="0" type="list" errorStyle="stop" operator="between">
      <formula1>"도로,해상,항공,철도"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W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59" min="2" max="2"/>
    <col width="16" customWidth="1" style="59" min="3" max="3"/>
    <col width="18" customWidth="1" style="59" min="4" max="4"/>
    <col width="22" customWidth="1" style="59" min="5" max="5"/>
    <col width="10" customWidth="1" style="59" min="6" max="6"/>
    <col width="12" customWidth="1" style="59" min="7" max="7"/>
    <col width="16" customWidth="1" style="59" min="8" max="8"/>
    <col width="8" customWidth="1" style="59" min="9" max="20"/>
    <col width="18" customWidth="1" style="59" min="21" max="21"/>
    <col width="20" customWidth="1" style="59" min="22" max="22"/>
    <col width="16" customWidth="1" style="59" min="23" max="23"/>
  </cols>
  <sheetData>
    <row r="1"/>
    <row r="2" ht="20.25" customHeight="1" s="60">
      <c r="B2" s="61" t="inlineStr">
        <is>
          <t>C5. 사업장 발생 폐기물</t>
        </is>
      </c>
    </row>
    <row r="3"/>
    <row r="4" ht="14.25" customHeight="1" s="60">
      <c r="B4" s="62" t="inlineStr">
        <is>
          <t>카테고리 정의</t>
        </is>
      </c>
    </row>
    <row r="5" ht="14.25" customHeight="1" s="60">
      <c r="B5" s="63" t="inlineStr">
        <is>
          <t>- 보고년도에 운영 과정에서 발생한 폐기물의 처리·반매립·소각 시 발생한 온실가스 배출량</t>
        </is>
      </c>
    </row>
    <row r="6" ht="14.25" customHeight="1" s="60">
      <c r="B6" s="63" t="inlineStr">
        <is>
          <t>- 본사, 지부, 복지시설 운영 과정의 일반 폐기물, 음식물 쓰레기 등도 포함</t>
        </is>
      </c>
    </row>
    <row r="7"/>
    <row r="8"/>
    <row r="9" ht="14.25" customHeight="1" s="60">
      <c r="B9" s="62" t="inlineStr">
        <is>
          <t>작성 기준</t>
        </is>
      </c>
    </row>
    <row r="10" ht="14.25" customHeight="1" s="60">
      <c r="B10" s="63" t="inlineStr">
        <is>
          <t>1) 온실가스 산정 식: Σ(폐기물 발생량 × 처리방법별 배출계수)</t>
        </is>
      </c>
    </row>
    <row r="11" ht="14.25" customHeight="1" s="60">
      <c r="B11" s="63" t="inlineStr">
        <is>
          <t>- 배출계수는 환경부 환경성적표지(EPD) 등 폐기물 처리 배출계수 활용</t>
        </is>
      </c>
    </row>
    <row r="12" ht="14.25" customHeight="1" s="60">
      <c r="B12" s="63" t="inlineStr">
        <is>
          <t>2) 상세 폐기물명은 실제 처리업체 자료, 올바로시스템 명칭 기준으로 작성</t>
        </is>
      </c>
    </row>
    <row r="13" ht="14.25" customHeight="1" s="60">
      <c r="B13" s="63" t="inlineStr">
        <is>
          <t>3) 동일한 폐기물이라도 처리방법이 다르면 행을 나누어 작성</t>
        </is>
      </c>
    </row>
    <row r="14"/>
    <row r="15" ht="14.25" customHeight="1" s="60">
      <c r="B15" s="64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6" ht="14.25" customHeight="1" s="60">
      <c r="B16" s="64" t="inlineStr">
        <is>
          <t>※ 주황색으로 표시된 필수 입력칸은 반드시 작성해야 합니다.</t>
        </is>
      </c>
    </row>
    <row r="17" ht="15" customHeight="1" s="60">
      <c r="B17" s="65" t="inlineStr">
        <is>
          <t>*국가</t>
        </is>
      </c>
      <c r="C17" s="65" t="inlineStr">
        <is>
          <t>*사업장</t>
        </is>
      </c>
      <c r="D17" s="65" t="inlineStr">
        <is>
          <t>*폐기물 종류</t>
        </is>
      </c>
      <c r="E17" s="66" t="inlineStr">
        <is>
          <t>상세 폐기물명(선택)</t>
        </is>
      </c>
      <c r="F17" s="65" t="inlineStr">
        <is>
          <t>*단위</t>
        </is>
      </c>
      <c r="G17" s="65" t="inlineStr">
        <is>
          <t>*처리방법</t>
        </is>
      </c>
      <c r="H17" s="67" t="inlineStr">
        <is>
          <t>연간 입력</t>
        </is>
      </c>
      <c r="I17" s="67" t="inlineStr">
        <is>
          <t>월별 처리량</t>
        </is>
      </c>
      <c r="J17" s="68" t="n"/>
      <c r="K17" s="68" t="n"/>
      <c r="L17" s="68" t="n"/>
      <c r="M17" s="68" t="n"/>
      <c r="N17" s="68" t="n"/>
      <c r="O17" s="68" t="n"/>
      <c r="P17" s="68" t="n"/>
      <c r="Q17" s="68" t="n"/>
      <c r="R17" s="68" t="n"/>
      <c r="S17" s="68" t="n"/>
      <c r="T17" s="69" t="n"/>
      <c r="U17" s="66" t="inlineStr">
        <is>
          <t>비고(선택)</t>
        </is>
      </c>
      <c r="V17" s="66" t="inlineStr">
        <is>
          <t>배출계수(tCO2e/단위)</t>
        </is>
      </c>
      <c r="W17" s="66" t="inlineStr">
        <is>
          <t>배출량(tCO2e)</t>
        </is>
      </c>
    </row>
    <row r="18" ht="31.5" customHeight="1" s="60">
      <c r="B18" s="70" t="n"/>
      <c r="C18" s="70" t="n"/>
      <c r="D18" s="70" t="n"/>
      <c r="E18" s="70" t="n"/>
      <c r="F18" s="70" t="n"/>
      <c r="G18" s="70" t="n"/>
      <c r="H18" s="66" t="inlineStr">
        <is>
          <t>연간처리량</t>
        </is>
      </c>
      <c r="I18" s="65" t="inlineStr">
        <is>
          <t>1월</t>
        </is>
      </c>
      <c r="J18" s="65" t="inlineStr">
        <is>
          <t>2월</t>
        </is>
      </c>
      <c r="K18" s="65" t="inlineStr">
        <is>
          <t>3월</t>
        </is>
      </c>
      <c r="L18" s="65" t="inlineStr">
        <is>
          <t>4월</t>
        </is>
      </c>
      <c r="M18" s="65" t="inlineStr">
        <is>
          <t>5월</t>
        </is>
      </c>
      <c r="N18" s="65" t="inlineStr">
        <is>
          <t>6월</t>
        </is>
      </c>
      <c r="O18" s="65" t="inlineStr">
        <is>
          <t>7월</t>
        </is>
      </c>
      <c r="P18" s="65" t="inlineStr">
        <is>
          <t>8월</t>
        </is>
      </c>
      <c r="Q18" s="65" t="inlineStr">
        <is>
          <t>9월</t>
        </is>
      </c>
      <c r="R18" s="65" t="inlineStr">
        <is>
          <t>10월</t>
        </is>
      </c>
      <c r="S18" s="65" t="inlineStr">
        <is>
          <t>11월</t>
        </is>
      </c>
      <c r="T18" s="65" t="inlineStr">
        <is>
          <t>12월</t>
        </is>
      </c>
      <c r="U18" s="70" t="n"/>
      <c r="V18" s="70" t="n"/>
      <c r="W18" s="70" t="n"/>
    </row>
    <row r="19" ht="24" customHeight="1" s="60">
      <c r="B19" s="71" t="inlineStr">
        <is>
          <t>대한민국</t>
        </is>
      </c>
      <c r="C19" s="71" t="inlineStr">
        <is>
          <t>본사</t>
        </is>
      </c>
      <c r="D19" s="71" t="inlineStr">
        <is>
          <t>폐지류</t>
        </is>
      </c>
      <c r="E19" s="73" t="inlineStr">
        <is>
          <t>골판지 박스</t>
        </is>
      </c>
      <c r="F19" s="72" t="inlineStr">
        <is>
          <t>kg</t>
        </is>
      </c>
      <c r="G19" s="71" t="inlineStr">
        <is>
          <t>재활용</t>
        </is>
      </c>
      <c r="H19" s="71" t="n">
        <v>120</v>
      </c>
      <c r="I19" s="71" t="n"/>
      <c r="J19" s="71" t="n"/>
      <c r="K19" s="71" t="n"/>
      <c r="L19" s="71" t="n"/>
      <c r="M19" s="71" t="n"/>
      <c r="N19" s="71" t="n"/>
      <c r="O19" s="71" t="n"/>
      <c r="P19" s="71" t="n"/>
      <c r="Q19" s="71" t="n"/>
      <c r="R19" s="71" t="n"/>
      <c r="S19" s="71" t="n"/>
      <c r="T19" s="71" t="n"/>
      <c r="U19" s="73" t="inlineStr">
        <is>
          <t>처리업체 계량표 기준</t>
        </is>
      </c>
      <c r="V19" s="74" t="n">
        <v>7.148618499999999e-05</v>
      </c>
      <c r="W19" s="74" t="n">
        <v>0.0085783422</v>
      </c>
    </row>
    <row r="20" ht="32.25" customHeight="1" s="60">
      <c r="B20" s="75" t="inlineStr">
        <is>
          <t>대한민국</t>
        </is>
      </c>
      <c r="C20" s="75" t="inlineStr">
        <is>
          <t>평택공장</t>
        </is>
      </c>
      <c r="D20" s="75" t="inlineStr">
        <is>
          <t>폐플라스틱류</t>
        </is>
      </c>
      <c r="E20" s="78" t="inlineStr">
        <is>
          <t>PP 포장재 스크랩</t>
        </is>
      </c>
      <c r="F20" s="79" t="inlineStr">
        <is>
          <t>ton</t>
        </is>
      </c>
      <c r="G20" s="75" t="inlineStr">
        <is>
          <t>재활용</t>
        </is>
      </c>
      <c r="H20" s="75" t="n"/>
      <c r="I20" s="75" t="n">
        <v>1.8</v>
      </c>
      <c r="J20" s="75" t="n">
        <v>1.8</v>
      </c>
      <c r="K20" s="75" t="n">
        <v>1.8</v>
      </c>
      <c r="L20" s="75" t="n">
        <v>1.8</v>
      </c>
      <c r="M20" s="75" t="n">
        <v>1.8</v>
      </c>
      <c r="N20" s="75" t="n">
        <v>1.8</v>
      </c>
      <c r="O20" s="75" t="n">
        <v>1.8</v>
      </c>
      <c r="P20" s="75" t="n">
        <v>1.8</v>
      </c>
      <c r="Q20" s="75" t="n">
        <v>1.8</v>
      </c>
      <c r="R20" s="75" t="n">
        <v>1.8</v>
      </c>
      <c r="S20" s="75" t="n">
        <v>1.8</v>
      </c>
      <c r="T20" s="75" t="n">
        <v>1.8</v>
      </c>
      <c r="U20" s="76" t="inlineStr">
        <is>
          <t>생산 공정 부산물 월별 처리량</t>
        </is>
      </c>
      <c r="V20" s="77" t="n">
        <v>1.86e-05</v>
      </c>
      <c r="W20" s="77" t="n">
        <v>0.4017600000000001</v>
      </c>
    </row>
    <row r="21" ht="32.25" customHeight="1" s="60">
      <c r="B21" s="75" t="inlineStr">
        <is>
          <t>대한민국</t>
        </is>
      </c>
      <c r="C21" s="75" t="inlineStr">
        <is>
          <t>물류센터</t>
        </is>
      </c>
      <c r="D21" s="75" t="inlineStr">
        <is>
          <t>일반폐기물</t>
        </is>
      </c>
      <c r="E21" s="76" t="inlineStr">
        <is>
          <t>혼합 생활폐기물</t>
        </is>
      </c>
      <c r="F21" s="79" t="inlineStr">
        <is>
          <t>kg</t>
        </is>
      </c>
      <c r="G21" s="75" t="inlineStr">
        <is>
          <t>소각</t>
        </is>
      </c>
      <c r="H21" s="75" t="n">
        <v>9800</v>
      </c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6" t="inlineStr">
        <is>
          <t>사업장 일반폐기물 처리량</t>
        </is>
      </c>
      <c r="V21" s="77" t="n">
        <v>0.001176142131</v>
      </c>
      <c r="W21" s="77" t="n">
        <v>11.5261928838</v>
      </c>
    </row>
    <row r="22" ht="32.25" customHeight="1" s="60">
      <c r="B22" s="75" t="inlineStr">
        <is>
          <t>베트남</t>
        </is>
      </c>
      <c r="C22" s="75" t="inlineStr">
        <is>
          <t>베트남공장</t>
        </is>
      </c>
      <c r="D22" s="75" t="inlineStr">
        <is>
          <t>폐목재류</t>
        </is>
      </c>
      <c r="E22" s="76" t="inlineStr">
        <is>
          <t>파렛트 파손품</t>
        </is>
      </c>
      <c r="F22" s="79" t="inlineStr">
        <is>
          <t>ton</t>
        </is>
      </c>
      <c r="G22" s="75" t="inlineStr">
        <is>
          <t>매립</t>
        </is>
      </c>
      <c r="H22" s="75" t="n"/>
      <c r="I22" s="75" t="n">
        <v>0.6</v>
      </c>
      <c r="J22" s="75" t="n">
        <v>0.6</v>
      </c>
      <c r="K22" s="75" t="n">
        <v>0.6</v>
      </c>
      <c r="L22" s="75" t="n">
        <v>0.6</v>
      </c>
      <c r="M22" s="75" t="n">
        <v>0.6</v>
      </c>
      <c r="N22" s="75" t="n">
        <v>0.6</v>
      </c>
      <c r="O22" s="75" t="n">
        <v>0.6</v>
      </c>
      <c r="P22" s="75" t="n">
        <v>0.6</v>
      </c>
      <c r="Q22" s="75" t="n">
        <v>0.6</v>
      </c>
      <c r="R22" s="75" t="n">
        <v>0.6</v>
      </c>
      <c r="S22" s="75" t="n">
        <v>0.6</v>
      </c>
      <c r="T22" s="75" t="n">
        <v>0.6</v>
      </c>
      <c r="U22" s="76" t="inlineStr">
        <is>
          <t>현지 처리업체 반출량</t>
        </is>
      </c>
      <c r="V22" s="77" t="n">
        <v>0.002119468997</v>
      </c>
      <c r="W22" s="77" t="n">
        <v>15.26017677839999</v>
      </c>
    </row>
    <row r="23" ht="16.5" customHeight="1" s="60">
      <c r="B23" s="75" t="inlineStr">
        <is>
          <t>대한민국</t>
        </is>
      </c>
      <c r="C23" s="75" t="inlineStr">
        <is>
          <t>대구공장</t>
        </is>
      </c>
      <c r="D23" s="75" t="inlineStr">
        <is>
          <t>폐금속류</t>
        </is>
      </c>
      <c r="E23" s="76" t="inlineStr">
        <is>
          <t>알루미늄 스크랩</t>
        </is>
      </c>
      <c r="F23" s="79" t="inlineStr">
        <is>
          <t>ton</t>
        </is>
      </c>
      <c r="G23" s="75" t="inlineStr">
        <is>
          <t>재활용</t>
        </is>
      </c>
      <c r="H23" s="79" t="n">
        <v>4.2</v>
      </c>
      <c r="I23" s="79" t="n"/>
      <c r="J23" s="79" t="n"/>
      <c r="K23" s="79" t="n"/>
      <c r="L23" s="79" t="n"/>
      <c r="M23" s="79" t="n"/>
      <c r="N23" s="79" t="n"/>
      <c r="O23" s="79" t="n"/>
      <c r="P23" s="79" t="n"/>
      <c r="Q23" s="79" t="n"/>
      <c r="R23" s="79" t="n"/>
      <c r="S23" s="79" t="n"/>
      <c r="T23" s="79" t="n"/>
      <c r="U23" s="76" t="inlineStr">
        <is>
          <t>절삭 가공 부산물</t>
        </is>
      </c>
      <c r="V23" s="77" t="n">
        <v>3.8e-06</v>
      </c>
      <c r="W23" s="77" t="n">
        <v>0.01596</v>
      </c>
    </row>
    <row r="24" ht="16.5" customHeight="1" s="60">
      <c r="B24" s="75" t="inlineStr">
        <is>
          <t>대한민국</t>
        </is>
      </c>
      <c r="C24" s="75" t="inlineStr">
        <is>
          <t>본사</t>
        </is>
      </c>
      <c r="D24" s="75" t="inlineStr">
        <is>
          <t>폐지류</t>
        </is>
      </c>
      <c r="E24" s="76" t="inlineStr">
        <is>
          <t>사무용 폐지</t>
        </is>
      </c>
      <c r="F24" s="79" t="inlineStr">
        <is>
          <t>kg</t>
        </is>
      </c>
      <c r="G24" s="75" t="inlineStr">
        <is>
          <t>재활용</t>
        </is>
      </c>
      <c r="H24" s="79" t="n"/>
      <c r="I24" s="79" t="n">
        <v>85</v>
      </c>
      <c r="J24" s="79" t="n">
        <v>85</v>
      </c>
      <c r="K24" s="79" t="n">
        <v>85</v>
      </c>
      <c r="L24" s="79" t="n">
        <v>85</v>
      </c>
      <c r="M24" s="79" t="n">
        <v>85</v>
      </c>
      <c r="N24" s="79" t="n">
        <v>85</v>
      </c>
      <c r="O24" s="79" t="n">
        <v>85</v>
      </c>
      <c r="P24" s="79" t="n">
        <v>85</v>
      </c>
      <c r="Q24" s="79" t="n">
        <v>85</v>
      </c>
      <c r="R24" s="79" t="n">
        <v>85</v>
      </c>
      <c r="S24" s="79" t="n">
        <v>85</v>
      </c>
      <c r="T24" s="79" t="n">
        <v>85</v>
      </c>
      <c r="U24" s="76" t="inlineStr">
        <is>
          <t>사무실 폐지 배출량</t>
        </is>
      </c>
      <c r="V24" s="77" t="n">
        <v>7.148618499999999e-05</v>
      </c>
      <c r="W24" s="77" t="n">
        <v>0.07291590869999999</v>
      </c>
    </row>
    <row r="25" ht="16.5" customHeight="1" s="60">
      <c r="B25" s="75" t="inlineStr">
        <is>
          <t>중국</t>
        </is>
      </c>
      <c r="C25" s="75" t="inlineStr">
        <is>
          <t>상하이공장</t>
        </is>
      </c>
      <c r="D25" s="75" t="inlineStr">
        <is>
          <t>폐플라스틱류</t>
        </is>
      </c>
      <c r="E25" s="76" t="inlineStr">
        <is>
          <t>사출 스크랩</t>
        </is>
      </c>
      <c r="F25" s="79" t="inlineStr">
        <is>
          <t>ton</t>
        </is>
      </c>
      <c r="G25" s="75" t="inlineStr">
        <is>
          <t>재활용</t>
        </is>
      </c>
      <c r="H25" s="79" t="n"/>
      <c r="I25" s="79" t="n">
        <v>2.4</v>
      </c>
      <c r="J25" s="79" t="n">
        <v>2.4</v>
      </c>
      <c r="K25" s="79" t="n">
        <v>2.4</v>
      </c>
      <c r="L25" s="79" t="n">
        <v>2.4</v>
      </c>
      <c r="M25" s="79" t="n">
        <v>2.4</v>
      </c>
      <c r="N25" s="79" t="n">
        <v>2.4</v>
      </c>
      <c r="O25" s="79" t="n">
        <v>2.4</v>
      </c>
      <c r="P25" s="79" t="n">
        <v>2.4</v>
      </c>
      <c r="Q25" s="79" t="n">
        <v>2.4</v>
      </c>
      <c r="R25" s="79" t="n">
        <v>2.4</v>
      </c>
      <c r="S25" s="79" t="n">
        <v>2.4</v>
      </c>
      <c r="T25" s="79" t="n">
        <v>2.4</v>
      </c>
      <c r="U25" s="76" t="inlineStr">
        <is>
          <t>사출 성형 불량품</t>
        </is>
      </c>
      <c r="V25" s="77" t="n">
        <v>1.86e-05</v>
      </c>
      <c r="W25" s="77" t="n">
        <v>0.5356799999999998</v>
      </c>
    </row>
    <row r="26" ht="16.5" customHeight="1" s="60">
      <c r="B26" s="75" t="inlineStr">
        <is>
          <t>대한민국</t>
        </is>
      </c>
      <c r="C26" s="75" t="inlineStr">
        <is>
          <t>부산지사</t>
        </is>
      </c>
      <c r="D26" s="75" t="inlineStr">
        <is>
          <t>일반폐기물</t>
        </is>
      </c>
      <c r="E26" s="76" t="inlineStr">
        <is>
          <t>혼합 사무폐기물</t>
        </is>
      </c>
      <c r="F26" s="79" t="inlineStr">
        <is>
          <t>kg</t>
        </is>
      </c>
      <c r="G26" s="75" t="inlineStr">
        <is>
          <t>소각</t>
        </is>
      </c>
      <c r="H26" s="79" t="n">
        <v>3200</v>
      </c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6" t="inlineStr">
        <is>
          <t>지사 일반폐기물</t>
        </is>
      </c>
      <c r="V26" s="77" t="n">
        <v>0.001176142131</v>
      </c>
      <c r="W26" s="77" t="n">
        <v>3.7636548192</v>
      </c>
    </row>
    <row r="27" ht="16.5" customHeight="1" s="60">
      <c r="B27" s="75" t="inlineStr">
        <is>
          <t>미국</t>
        </is>
      </c>
      <c r="C27" s="75" t="inlineStr">
        <is>
          <t>미국판매법인</t>
        </is>
      </c>
      <c r="D27" s="75" t="inlineStr">
        <is>
          <t>폐지류</t>
        </is>
      </c>
      <c r="E27" s="76" t="inlineStr">
        <is>
          <t>포장용 박스</t>
        </is>
      </c>
      <c r="F27" s="79" t="inlineStr">
        <is>
          <t>kg</t>
        </is>
      </c>
      <c r="G27" s="75" t="inlineStr">
        <is>
          <t>재활용</t>
        </is>
      </c>
      <c r="H27" s="79" t="n">
        <v>5400</v>
      </c>
      <c r="I27" s="79" t="n"/>
      <c r="J27" s="79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79" t="n"/>
      <c r="T27" s="79" t="n"/>
      <c r="U27" s="76" t="inlineStr">
        <is>
          <t>매장 포장재 폐기</t>
        </is>
      </c>
      <c r="V27" s="77" t="n">
        <v>7.148618499999999e-05</v>
      </c>
      <c r="W27" s="77" t="n">
        <v>0.386025399</v>
      </c>
    </row>
    <row r="28" ht="32.25" customHeight="1" s="60">
      <c r="B28" s="75" t="inlineStr">
        <is>
          <t>베트남</t>
        </is>
      </c>
      <c r="C28" s="75" t="inlineStr">
        <is>
          <t>베트남공장</t>
        </is>
      </c>
      <c r="D28" s="75" t="inlineStr">
        <is>
          <t>폐섬유류</t>
        </is>
      </c>
      <c r="E28" s="76" t="inlineStr">
        <is>
          <t>원단 자투리</t>
        </is>
      </c>
      <c r="F28" s="79" t="inlineStr">
        <is>
          <t>ton</t>
        </is>
      </c>
      <c r="G28" s="75" t="inlineStr">
        <is>
          <t>소각</t>
        </is>
      </c>
      <c r="H28" s="79" t="n"/>
      <c r="I28" s="79" t="n">
        <v>1.1</v>
      </c>
      <c r="J28" s="79" t="n">
        <v>1.1</v>
      </c>
      <c r="K28" s="79" t="n">
        <v>1.1</v>
      </c>
      <c r="L28" s="79" t="n">
        <v>1.1</v>
      </c>
      <c r="M28" s="79" t="n">
        <v>1.1</v>
      </c>
      <c r="N28" s="79" t="n">
        <v>1.1</v>
      </c>
      <c r="O28" s="79" t="n">
        <v>1.1</v>
      </c>
      <c r="P28" s="79" t="n">
        <v>1.1</v>
      </c>
      <c r="Q28" s="79" t="n">
        <v>1.1</v>
      </c>
      <c r="R28" s="79" t="n">
        <v>1.1</v>
      </c>
      <c r="S28" s="79" t="n">
        <v>1.1</v>
      </c>
      <c r="T28" s="79" t="n">
        <v>1.1</v>
      </c>
      <c r="U28" s="76" t="inlineStr">
        <is>
          <t>봉제 공정 자투리 원단</t>
        </is>
      </c>
      <c r="V28" s="77" t="n">
        <v>0.001181687309</v>
      </c>
      <c r="W28" s="77" t="n">
        <v>15.5982724788</v>
      </c>
    </row>
    <row r="29" ht="16.5" customHeight="1" s="60">
      <c r="B29" s="75" t="inlineStr">
        <is>
          <t>대한민국</t>
        </is>
      </c>
      <c r="C29" s="75" t="inlineStr">
        <is>
          <t>물류센터</t>
        </is>
      </c>
      <c r="D29" s="75" t="inlineStr">
        <is>
          <t>폐목재류</t>
        </is>
      </c>
      <c r="E29" s="76" t="inlineStr">
        <is>
          <t>파렛트 파손품</t>
        </is>
      </c>
      <c r="F29" s="79" t="inlineStr">
        <is>
          <t>ton</t>
        </is>
      </c>
      <c r="G29" s="75" t="inlineStr">
        <is>
          <t>매립</t>
        </is>
      </c>
      <c r="H29" s="79" t="n">
        <v>2.8</v>
      </c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6" t="inlineStr">
        <is>
          <t>손상 파렛트 폐기</t>
        </is>
      </c>
      <c r="V29" s="77" t="n">
        <v>0.002119468997</v>
      </c>
      <c r="W29" s="77" t="n">
        <v>5.934513191599999</v>
      </c>
    </row>
    <row r="30" ht="16.5" customHeight="1" s="60">
      <c r="B30" s="75" t="inlineStr">
        <is>
          <t>대한민국</t>
        </is>
      </c>
      <c r="C30" s="75" t="inlineStr">
        <is>
          <t>평택공장</t>
        </is>
      </c>
      <c r="D30" s="75" t="inlineStr">
        <is>
          <t>폐유류</t>
        </is>
      </c>
      <c r="E30" s="76" t="inlineStr">
        <is>
          <t>절삭유 폐액</t>
        </is>
      </c>
      <c r="F30" s="79" t="inlineStr">
        <is>
          <t>L</t>
        </is>
      </c>
      <c r="G30" s="75" t="inlineStr">
        <is>
          <t>소각</t>
        </is>
      </c>
      <c r="H30" s="79" t="n">
        <v>1800</v>
      </c>
      <c r="I30" s="79" t="n"/>
      <c r="J30" s="79" t="n"/>
      <c r="K30" s="79" t="n"/>
      <c r="L30" s="79" t="n"/>
      <c r="M30" s="79" t="n"/>
      <c r="N30" s="79" t="n"/>
      <c r="O30" s="79" t="n"/>
      <c r="P30" s="79" t="n"/>
      <c r="Q30" s="79" t="n"/>
      <c r="R30" s="79" t="n"/>
      <c r="S30" s="79" t="n"/>
      <c r="T30" s="79" t="n"/>
      <c r="U30" s="76" t="inlineStr">
        <is>
          <t>가공설비 폐윤활유</t>
        </is>
      </c>
      <c r="V30" s="77" t="n">
        <v>0.00179936531</v>
      </c>
      <c r="W30" s="77" t="n">
        <v>3.238857558</v>
      </c>
    </row>
    <row r="31" ht="14.25" customHeight="1" s="60">
      <c r="B31" s="75" t="inlineStr">
        <is>
          <t>대한민국</t>
        </is>
      </c>
      <c r="C31" s="75" t="inlineStr">
        <is>
          <t>대구공장</t>
        </is>
      </c>
      <c r="D31" s="75" t="inlineStr">
        <is>
          <t>폐금속류</t>
        </is>
      </c>
      <c r="E31" s="78" t="inlineStr">
        <is>
          <t>SUS 절삭스크랩</t>
        </is>
      </c>
      <c r="F31" s="79" t="inlineStr">
        <is>
          <t>ton</t>
        </is>
      </c>
      <c r="G31" s="75" t="inlineStr">
        <is>
          <t>재활용</t>
        </is>
      </c>
      <c r="H31" s="79" t="n">
        <v>3.8</v>
      </c>
      <c r="I31" s="79" t="n"/>
      <c r="J31" s="79" t="n"/>
      <c r="K31" s="79" t="n"/>
      <c r="L31" s="79" t="n"/>
      <c r="M31" s="79" t="n"/>
      <c r="N31" s="79" t="n"/>
      <c r="O31" s="79" t="n"/>
      <c r="P31" s="79" t="n"/>
      <c r="Q31" s="79" t="n"/>
      <c r="R31" s="79" t="n"/>
      <c r="S31" s="79" t="n"/>
      <c r="T31" s="79" t="n"/>
      <c r="U31" s="76" t="inlineStr">
        <is>
          <t>정확한 kg값 아니고 눈대중 추정치임</t>
        </is>
      </c>
      <c r="V31" s="77" t="n">
        <v>3.8e-06</v>
      </c>
      <c r="W31" s="77" t="n">
        <v>0.01444</v>
      </c>
    </row>
    <row r="32" ht="14.25" customHeight="1" s="60">
      <c r="B32" s="75" t="inlineStr">
        <is>
          <t>대한민국</t>
        </is>
      </c>
      <c r="C32" s="75" t="inlineStr">
        <is>
          <t>본사</t>
        </is>
      </c>
      <c r="D32" s="75" t="inlineStr">
        <is>
          <t>폐지류</t>
        </is>
      </c>
      <c r="E32" s="76" t="inlineStr">
        <is>
          <t>폐지+파쇄문서 혼합</t>
        </is>
      </c>
      <c r="F32" s="79" t="inlineStr">
        <is>
          <t>kg</t>
        </is>
      </c>
      <c r="G32" s="75" t="inlineStr">
        <is>
          <t>재활용</t>
        </is>
      </c>
      <c r="H32" s="79" t="n"/>
      <c r="I32" s="79" t="n">
        <v>62</v>
      </c>
      <c r="J32" s="79" t="n">
        <v>62</v>
      </c>
      <c r="K32" s="79" t="n">
        <v>62</v>
      </c>
      <c r="L32" s="79" t="n">
        <v>62</v>
      </c>
      <c r="M32" s="79" t="n">
        <v>62</v>
      </c>
      <c r="N32" s="79" t="n">
        <v>62</v>
      </c>
      <c r="O32" s="79" t="n">
        <v>62</v>
      </c>
      <c r="P32" s="79" t="n">
        <v>62</v>
      </c>
      <c r="Q32" s="79" t="n">
        <v>62</v>
      </c>
      <c r="R32" s="79" t="n">
        <v>62</v>
      </c>
      <c r="S32" s="79" t="n">
        <v>62</v>
      </c>
      <c r="T32" s="79" t="n">
        <v>62</v>
      </c>
      <c r="U32" s="78" t="n"/>
      <c r="V32" s="77" t="n">
        <v>7.148618499999999e-05</v>
      </c>
      <c r="W32" s="77" t="n">
        <v>0.05318572164</v>
      </c>
    </row>
    <row r="33" ht="14.25" customHeight="1" s="60">
      <c r="B33" s="75" t="inlineStr">
        <is>
          <t>베트남</t>
        </is>
      </c>
      <c r="C33" s="75" t="inlineStr">
        <is>
          <t>베트남공장</t>
        </is>
      </c>
      <c r="D33" s="75" t="inlineStr">
        <is>
          <t>폐섬유류</t>
        </is>
      </c>
      <c r="E33" s="76" t="inlineStr">
        <is>
          <t>원단자투리(폴리에스터)</t>
        </is>
      </c>
      <c r="F33" s="79" t="inlineStr">
        <is>
          <t>ton</t>
        </is>
      </c>
      <c r="G33" s="75" t="inlineStr">
        <is>
          <t>소각</t>
        </is>
      </c>
      <c r="H33" s="79" t="n"/>
      <c r="I33" s="79" t="n">
        <v>0.9</v>
      </c>
      <c r="J33" s="79" t="n">
        <v>0.9</v>
      </c>
      <c r="K33" s="79" t="n">
        <v>0.9</v>
      </c>
      <c r="L33" s="79" t="n">
        <v>0.9</v>
      </c>
      <c r="M33" s="79" t="n">
        <v>0.9</v>
      </c>
      <c r="N33" s="79" t="n">
        <v>0.9</v>
      </c>
      <c r="O33" s="79" t="n">
        <v>0.9</v>
      </c>
      <c r="P33" s="79" t="n">
        <v>0.9</v>
      </c>
      <c r="Q33" s="79" t="n">
        <v>0.9</v>
      </c>
      <c r="R33" s="79" t="n">
        <v>0.9</v>
      </c>
      <c r="S33" s="79" t="n">
        <v>0.9</v>
      </c>
      <c r="T33" s="79" t="n">
        <v>0.9</v>
      </c>
      <c r="U33" s="78" t="inlineStr">
        <is>
          <t>1.1-&gt;0.9로 하향수정(24년대비)</t>
        </is>
      </c>
      <c r="V33" s="77" t="n">
        <v>0.001181687309</v>
      </c>
      <c r="W33" s="77" t="n">
        <v>12.7622229372</v>
      </c>
    </row>
    <row r="34" ht="14.25" customHeight="1" s="60">
      <c r="B34" s="75" t="inlineStr">
        <is>
          <t>중국</t>
        </is>
      </c>
      <c r="C34" s="75" t="inlineStr">
        <is>
          <t>상하이공장</t>
        </is>
      </c>
      <c r="D34" s="75" t="inlineStr">
        <is>
          <t>폐플라스틱류</t>
        </is>
      </c>
      <c r="E34" s="76" t="inlineStr">
        <is>
          <t>사출불량품</t>
        </is>
      </c>
      <c r="F34" s="79" t="inlineStr">
        <is>
          <t>kg</t>
        </is>
      </c>
      <c r="G34" s="75" t="inlineStr">
        <is>
          <t>재활용</t>
        </is>
      </c>
      <c r="H34" s="79" t="n">
        <v>2650</v>
      </c>
      <c r="I34" s="79" t="n"/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9" t="n"/>
      <c r="T34" s="79" t="n"/>
      <c r="U34" s="78" t="inlineStr">
        <is>
          <t>kg단위인데 예전엔 ton으로 입력했었음-주의</t>
        </is>
      </c>
      <c r="V34" s="77" t="n">
        <v>1.86e-05</v>
      </c>
      <c r="W34" s="77" t="n">
        <v>0.04929</v>
      </c>
    </row>
    <row r="35" ht="14.25" customHeight="1" s="60">
      <c r="B35" s="75" t="inlineStr">
        <is>
          <t>대한민국</t>
        </is>
      </c>
      <c r="C35" s="75" t="inlineStr">
        <is>
          <t>물류센터</t>
        </is>
      </c>
      <c r="D35" s="75" t="inlineStr">
        <is>
          <t>폐목재류</t>
        </is>
      </c>
      <c r="E35" s="76" t="inlineStr">
        <is>
          <t>파렛트파손분</t>
        </is>
      </c>
      <c r="F35" s="79" t="inlineStr">
        <is>
          <t>ton</t>
        </is>
      </c>
      <c r="G35" s="75" t="inlineStr">
        <is>
          <t>매립</t>
        </is>
      </c>
      <c r="H35" s="79" t="n">
        <v>3.1</v>
      </c>
      <c r="I35" s="79" t="n"/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9" t="n"/>
      <c r="T35" s="79" t="n"/>
      <c r="U35" s="76" t="inlineStr">
        <is>
          <t>지게차 파렛트 파손분(추가)</t>
        </is>
      </c>
      <c r="V35" s="77" t="n">
        <v>0.002119468997</v>
      </c>
      <c r="W35" s="77" t="n">
        <v>6.570353890699999</v>
      </c>
    </row>
    <row r="36" ht="14.25" customHeight="1" s="60">
      <c r="B36" s="75" t="inlineStr">
        <is>
          <t>대한민국</t>
        </is>
      </c>
      <c r="C36" s="75" t="inlineStr">
        <is>
          <t>부산지사</t>
        </is>
      </c>
      <c r="D36" s="75" t="inlineStr">
        <is>
          <t>일반폐기물</t>
        </is>
      </c>
      <c r="E36" s="76" t="inlineStr">
        <is>
          <t>사무실 종량제쓰레기</t>
        </is>
      </c>
      <c r="F36" s="79" t="inlineStr">
        <is>
          <t>kg</t>
        </is>
      </c>
      <c r="G36" s="75" t="inlineStr">
        <is>
          <t>소각</t>
        </is>
      </c>
      <c r="H36" s="79" t="n"/>
      <c r="I36" s="79" t="n">
        <v>210</v>
      </c>
      <c r="J36" s="79" t="n">
        <v>210</v>
      </c>
      <c r="K36" s="79" t="n">
        <v>210</v>
      </c>
      <c r="L36" s="79" t="n">
        <v>210</v>
      </c>
      <c r="M36" s="79" t="n">
        <v>210</v>
      </c>
      <c r="N36" s="79" t="n">
        <v>210</v>
      </c>
      <c r="O36" s="79" t="n">
        <v>210</v>
      </c>
      <c r="P36" s="79" t="n">
        <v>210</v>
      </c>
      <c r="Q36" s="79" t="n">
        <v>210</v>
      </c>
      <c r="R36" s="79" t="n">
        <v>210</v>
      </c>
      <c r="S36" s="79" t="n">
        <v>210</v>
      </c>
      <c r="T36" s="79" t="n">
        <v>210</v>
      </c>
      <c r="U36" s="76" t="inlineStr">
        <is>
          <t>지사 규모작아서 소량</t>
        </is>
      </c>
      <c r="V36" s="77" t="n">
        <v>0.001176142131</v>
      </c>
      <c r="W36" s="77" t="n">
        <v>2.96387817012</v>
      </c>
    </row>
    <row r="37" ht="14.25" customHeight="1" s="60">
      <c r="B37" s="75" t="inlineStr">
        <is>
          <t>대한민국</t>
        </is>
      </c>
      <c r="C37" s="75" t="inlineStr">
        <is>
          <t>평택공장</t>
        </is>
      </c>
      <c r="D37" s="75" t="inlineStr">
        <is>
          <t>폐유류</t>
        </is>
      </c>
      <c r="E37" s="76" t="inlineStr">
        <is>
          <t>절삭유폐액 드럼</t>
        </is>
      </c>
      <c r="F37" s="79" t="inlineStr">
        <is>
          <t>L</t>
        </is>
      </c>
      <c r="G37" s="75" t="inlineStr">
        <is>
          <t>소각</t>
        </is>
      </c>
      <c r="H37" s="79" t="n">
        <v>1650</v>
      </c>
      <c r="I37" s="79" t="n"/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9" t="n"/>
      <c r="T37" s="79" t="n"/>
      <c r="U37" s="78" t="inlineStr">
        <is>
          <t>200L드럼 x8.25개 환산</t>
        </is>
      </c>
      <c r="V37" s="77" t="n">
        <v>0.00179936531</v>
      </c>
      <c r="W37" s="77" t="n">
        <v>2.9689527615</v>
      </c>
    </row>
    <row r="38" ht="14.25" customHeight="1" s="60">
      <c r="B38" s="79" t="n"/>
      <c r="C38" s="79" t="n"/>
      <c r="D38" s="75" t="n"/>
      <c r="E38" s="78" t="n"/>
      <c r="F38" s="79" t="n"/>
      <c r="G38" s="75" t="n"/>
      <c r="H38" s="79" t="n"/>
      <c r="I38" s="79" t="n"/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9" t="n"/>
      <c r="T38" s="79" t="n"/>
      <c r="U38" s="78" t="n"/>
      <c r="V38" s="77" t="n"/>
      <c r="W38" s="77" t="n"/>
    </row>
    <row r="39" ht="14.25" customHeight="1" s="60">
      <c r="B39" s="79" t="n"/>
      <c r="C39" s="79" t="n"/>
      <c r="D39" s="75" t="n"/>
      <c r="E39" s="78" t="n"/>
      <c r="F39" s="79" t="n"/>
      <c r="G39" s="75" t="n"/>
      <c r="H39" s="79" t="n"/>
      <c r="I39" s="79" t="n"/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9" t="n"/>
      <c r="U39" s="78" t="n"/>
      <c r="V39" s="77" t="n"/>
      <c r="W39" s="77" t="n"/>
    </row>
    <row r="40" ht="14.25" customHeight="1" s="60">
      <c r="B40" s="79" t="n"/>
      <c r="C40" s="79" t="n"/>
      <c r="D40" s="75" t="n"/>
      <c r="E40" s="78" t="n"/>
      <c r="F40" s="79" t="n"/>
      <c r="G40" s="75" t="n"/>
      <c r="H40" s="79" t="n"/>
      <c r="I40" s="79" t="n"/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9" t="n"/>
      <c r="T40" s="79" t="n"/>
      <c r="U40" s="78" t="n"/>
      <c r="V40" s="77" t="n"/>
      <c r="W40" s="77" t="n"/>
    </row>
    <row r="41" ht="14.25" customHeight="1" s="60">
      <c r="B41" s="79" t="n"/>
      <c r="C41" s="79" t="n"/>
      <c r="D41" s="75" t="n"/>
      <c r="E41" s="78" t="n"/>
      <c r="F41" s="79" t="n"/>
      <c r="G41" s="75" t="n"/>
      <c r="H41" s="79" t="n"/>
      <c r="I41" s="79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9" t="n"/>
      <c r="T41" s="79" t="n"/>
      <c r="U41" s="78" t="n"/>
      <c r="V41" s="77" t="n"/>
      <c r="W41" s="77" t="n"/>
    </row>
    <row r="42" ht="14.25" customHeight="1" s="60">
      <c r="B42" s="79" t="n"/>
      <c r="C42" s="79" t="n"/>
      <c r="D42" s="75" t="n"/>
      <c r="E42" s="78" t="n"/>
      <c r="F42" s="79" t="n"/>
      <c r="G42" s="75" t="n"/>
      <c r="H42" s="79" t="n"/>
      <c r="I42" s="79" t="n"/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9" t="n"/>
      <c r="T42" s="79" t="n"/>
      <c r="U42" s="78" t="n"/>
      <c r="V42" s="77" t="n"/>
      <c r="W42" s="77" t="n"/>
    </row>
    <row r="43" ht="14.25" customHeight="1" s="60">
      <c r="B43" s="79" t="n"/>
      <c r="C43" s="79" t="n"/>
      <c r="D43" s="75" t="n"/>
      <c r="E43" s="78" t="n"/>
      <c r="F43" s="79" t="n"/>
      <c r="G43" s="75" t="n"/>
      <c r="H43" s="79" t="n"/>
      <c r="I43" s="7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9" t="n"/>
      <c r="T43" s="79" t="n"/>
      <c r="U43" s="78" t="n"/>
      <c r="V43" s="77" t="n"/>
      <c r="W43" s="77" t="n"/>
    </row>
    <row r="44" ht="14.25" customHeight="1" s="60">
      <c r="B44" s="79" t="n"/>
      <c r="C44" s="79" t="n"/>
      <c r="D44" s="75" t="n"/>
      <c r="E44" s="78" t="n"/>
      <c r="F44" s="79" t="n"/>
      <c r="G44" s="75" t="n"/>
      <c r="H44" s="79" t="n"/>
      <c r="I44" s="79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9" t="n"/>
      <c r="T44" s="79" t="n"/>
      <c r="U44" s="78" t="n"/>
      <c r="V44" s="77" t="n"/>
      <c r="W44" s="77" t="n"/>
    </row>
    <row r="45" ht="14.25" customHeight="1" s="60">
      <c r="B45" s="79" t="n"/>
      <c r="C45" s="79" t="n"/>
      <c r="D45" s="75" t="n"/>
      <c r="E45" s="78" t="n"/>
      <c r="F45" s="79" t="n"/>
      <c r="G45" s="75" t="n"/>
      <c r="H45" s="79" t="n"/>
      <c r="I45" s="79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9" t="n"/>
      <c r="T45" s="79" t="n"/>
      <c r="U45" s="78" t="n"/>
      <c r="V45" s="77" t="n"/>
      <c r="W45" s="77" t="n"/>
    </row>
    <row r="46" ht="14.25" customHeight="1" s="60">
      <c r="B46" s="79" t="n"/>
      <c r="C46" s="79" t="n"/>
      <c r="D46" s="75" t="n"/>
      <c r="E46" s="78" t="n"/>
      <c r="F46" s="79" t="n"/>
      <c r="G46" s="75" t="n"/>
      <c r="H46" s="79" t="n"/>
      <c r="I46" s="79" t="n"/>
      <c r="J46" s="79" t="n"/>
      <c r="K46" s="79" t="n"/>
      <c r="L46" s="79" t="n"/>
      <c r="M46" s="79" t="n"/>
      <c r="N46" s="79" t="n"/>
      <c r="O46" s="79" t="n"/>
      <c r="P46" s="79" t="n"/>
      <c r="Q46" s="79" t="n"/>
      <c r="R46" s="79" t="n"/>
      <c r="S46" s="79" t="n"/>
      <c r="T46" s="79" t="n"/>
      <c r="U46" s="78" t="n"/>
      <c r="V46" s="77" t="n"/>
      <c r="W46" s="77" t="n"/>
    </row>
    <row r="47" ht="14.25" customHeight="1" s="60">
      <c r="B47" s="79" t="n"/>
      <c r="C47" s="79" t="n"/>
      <c r="D47" s="75" t="n"/>
      <c r="E47" s="78" t="n"/>
      <c r="F47" s="79" t="n"/>
      <c r="G47" s="75" t="n"/>
      <c r="H47" s="79" t="n"/>
      <c r="I47" s="79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9" t="n"/>
      <c r="T47" s="79" t="n"/>
      <c r="U47" s="78" t="n"/>
      <c r="V47" s="77" t="n"/>
      <c r="W47" s="77" t="n"/>
    </row>
    <row r="48" ht="14.25" customHeight="1" s="60">
      <c r="B48" s="79" t="n"/>
      <c r="C48" s="79" t="n"/>
      <c r="D48" s="75" t="n"/>
      <c r="E48" s="78" t="n"/>
      <c r="F48" s="79" t="n"/>
      <c r="G48" s="75" t="n"/>
      <c r="H48" s="79" t="n"/>
      <c r="I48" s="79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9" t="n"/>
      <c r="T48" s="79" t="n"/>
      <c r="U48" s="78" t="n"/>
      <c r="V48" s="77" t="n"/>
      <c r="W48" s="77" t="n"/>
    </row>
    <row r="49" ht="14.25" customHeight="1" s="60">
      <c r="B49" s="79" t="n"/>
      <c r="C49" s="79" t="n"/>
      <c r="D49" s="75" t="n"/>
      <c r="E49" s="78" t="n"/>
      <c r="F49" s="79" t="n"/>
      <c r="G49" s="75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78" t="n"/>
      <c r="V49" s="77" t="n"/>
      <c r="W49" s="77" t="n"/>
    </row>
    <row r="50" ht="14.25" customHeight="1" s="60">
      <c r="B50" s="79" t="n"/>
      <c r="C50" s="79" t="n"/>
      <c r="D50" s="75" t="n"/>
      <c r="E50" s="78" t="n"/>
      <c r="F50" s="79" t="n"/>
      <c r="G50" s="75" t="n"/>
      <c r="H50" s="79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9" t="n"/>
      <c r="T50" s="79" t="n"/>
      <c r="U50" s="78" t="n"/>
      <c r="V50" s="77" t="n"/>
      <c r="W50" s="77" t="n"/>
    </row>
    <row r="51" ht="14.25" customHeight="1" s="60">
      <c r="B51" s="79" t="n"/>
      <c r="C51" s="79" t="n"/>
      <c r="D51" s="75" t="n"/>
      <c r="E51" s="78" t="n"/>
      <c r="F51" s="79" t="n"/>
      <c r="G51" s="75" t="n"/>
      <c r="H51" s="79" t="n"/>
      <c r="I51" s="79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9" t="n"/>
      <c r="T51" s="79" t="n"/>
      <c r="U51" s="78" t="n"/>
      <c r="V51" s="77" t="n"/>
      <c r="W51" s="77" t="n"/>
    </row>
    <row r="52" ht="14.25" customHeight="1" s="60">
      <c r="B52" s="79" t="n"/>
      <c r="C52" s="79" t="n"/>
      <c r="D52" s="75" t="n"/>
      <c r="E52" s="78" t="n"/>
      <c r="F52" s="79" t="n"/>
      <c r="G52" s="75" t="n"/>
      <c r="H52" s="79" t="n"/>
      <c r="I52" s="79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9" t="n"/>
      <c r="T52" s="79" t="n"/>
      <c r="U52" s="78" t="n"/>
      <c r="V52" s="77" t="n"/>
      <c r="W52" s="77" t="n"/>
    </row>
    <row r="53" ht="14.25" customHeight="1" s="60">
      <c r="B53" s="79" t="n"/>
      <c r="C53" s="79" t="n"/>
      <c r="D53" s="75" t="n"/>
      <c r="E53" s="78" t="n"/>
      <c r="F53" s="79" t="n"/>
      <c r="G53" s="75" t="n"/>
      <c r="H53" s="79" t="n"/>
      <c r="I53" s="79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8" t="n"/>
      <c r="V53" s="77" t="n"/>
      <c r="W53" s="77" t="n"/>
    </row>
    <row r="54" ht="14.25" customHeight="1" s="60">
      <c r="B54" s="79" t="n"/>
      <c r="C54" s="79" t="n"/>
      <c r="D54" s="75" t="n"/>
      <c r="E54" s="78" t="n"/>
      <c r="F54" s="79" t="n"/>
      <c r="G54" s="75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78" t="n"/>
      <c r="V54" s="77" t="n"/>
      <c r="W54" s="77" t="n"/>
    </row>
  </sheetData>
  <mergeCells count="10">
    <mergeCell ref="E17:E18"/>
    <mergeCell ref="G17:G18"/>
    <mergeCell ref="C17:C18"/>
    <mergeCell ref="F17:F18"/>
    <mergeCell ref="B17:B18"/>
    <mergeCell ref="V17:V18"/>
    <mergeCell ref="D17:D18"/>
    <mergeCell ref="U17:U18"/>
    <mergeCell ref="W17:W18"/>
    <mergeCell ref="I17:T17"/>
  </mergeCells>
  <dataValidations count="3">
    <dataValidation sqref="D20:D219" showDropDown="0" showInputMessage="0" showErrorMessage="0" allowBlank="0" type="list" errorStyle="stop" operator="between">
      <formula1>"음식물류 폐기물,폐지류,폐플라스틱류,폐목재류,폐섬유류,폐유리류,폐금속류,폐고무/피혁류,폐유류,오니류,폐전기전자제품,폐배터리,폐페인트/폐래커,폐유기용제,의료폐기물,유해폐기물,혼합폐기물,기타"</formula1>
      <formula2>0</formula2>
    </dataValidation>
    <dataValidation sqref="F20:F219" showDropDown="0" showInputMessage="0" showErrorMessage="0" allowBlank="0" type="list" errorStyle="stop" operator="between">
      <formula1>"kg,ton"</formula1>
      <formula2>0</formula2>
    </dataValidation>
    <dataValidation sqref="G20:G219" showDropDown="0" showInputMessage="0" showErrorMessage="0" allowBlank="0" type="list" errorStyle="stop" operator="between">
      <formula1>"매립,재활용,소각,기타"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X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59" min="2" max="2"/>
    <col width="16" customWidth="1" style="59" min="3" max="3"/>
    <col width="18" customWidth="1" style="59" min="4" max="4"/>
    <col width="10" customWidth="1" style="59" min="5" max="5"/>
    <col width="22" customWidth="1" style="59" min="6" max="7"/>
    <col width="18" customWidth="1" style="59" min="8" max="8"/>
    <col width="16" customWidth="1" style="59" min="9" max="9"/>
    <col width="8" customWidth="1" style="59" min="10" max="21"/>
    <col width="18" customWidth="1" style="59" min="22" max="23"/>
    <col width="16" customWidth="1" style="59" min="24" max="24"/>
  </cols>
  <sheetData>
    <row r="1"/>
    <row r="2" ht="20.25" customHeight="1" s="60">
      <c r="B2" s="61" t="inlineStr">
        <is>
          <t>C6. 임직원 출장 1안. 이동거리 기반</t>
        </is>
      </c>
    </row>
    <row r="3"/>
    <row r="4" ht="14.25" customHeight="1" s="60">
      <c r="B4" s="62" t="inlineStr">
        <is>
          <t>카테고리 정의</t>
        </is>
      </c>
    </row>
    <row r="5" ht="14.25" customHeight="1" s="60">
      <c r="B5" s="63" t="inlineStr">
        <is>
          <t>- 보고년도에 임직원 업무 출장 시 항공, 철도, 차량 등 교통수단 이용으로 발생한 온실가스 배출량</t>
        </is>
      </c>
    </row>
    <row r="6" ht="14.25" customHeight="1" s="60">
      <c r="B6" s="63" t="inlineStr">
        <is>
          <t>- 출발지와 도착지 또는 이동거리를 알고 있는 출장에 적용</t>
        </is>
      </c>
    </row>
    <row r="7"/>
    <row r="8"/>
    <row r="9" ht="14.25" customHeight="1" s="60">
      <c r="B9" s="62" t="inlineStr">
        <is>
          <t>작성 기준</t>
        </is>
      </c>
    </row>
    <row r="10" ht="14.25" customHeight="1" s="60">
      <c r="B10" s="63" t="inlineStr">
        <is>
          <t>1) 온실가스 산정 식: Σ(왕복 이동거리 × 교통수단별 배출계수 × 인원수 × 이동횟수)</t>
        </is>
      </c>
    </row>
    <row r="11" ht="14.25" customHeight="1" s="60">
      <c r="B11" s="63" t="inlineStr">
        <is>
          <t xml:space="preserve"> - 온실가스 배출계수는 UK defra 평가계수를 활용 (*UK Government GHG Conversion Factor )</t>
        </is>
      </c>
    </row>
    <row r="12" ht="14.25" customHeight="1" s="60">
      <c r="B12" s="63" t="inlineStr">
        <is>
          <t>2) 편도거리나 출도착지 둘 중 하나는 반드시 작성(노란 박스)</t>
        </is>
      </c>
    </row>
    <row r="13" ht="14.25" customHeight="1" s="60">
      <c r="B13" s="63" t="inlineStr">
        <is>
          <t>3) 숙박비와 교통비 지출금액만 아는 경우 C6-2 시트에 작성</t>
        </is>
      </c>
    </row>
    <row r="14"/>
    <row r="15"/>
    <row r="16" ht="14.25" customHeight="1" s="60">
      <c r="B16" s="64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0">
      <c r="B17" s="64" t="inlineStr">
        <is>
          <t>※ 주황색으로 표시된 필수 입력칸은 반드시 작성해야 합니다.</t>
        </is>
      </c>
    </row>
    <row r="18" ht="15" customHeight="1" s="60">
      <c r="B18" s="65" t="inlineStr">
        <is>
          <t>*국가</t>
        </is>
      </c>
      <c r="C18" s="65" t="inlineStr">
        <is>
          <t>*출장주체</t>
        </is>
      </c>
      <c r="D18" s="65" t="inlineStr">
        <is>
          <t>*교통수단</t>
        </is>
      </c>
      <c r="E18" s="65" t="inlineStr">
        <is>
          <t>*인원수</t>
        </is>
      </c>
      <c r="F18" s="67" t="inlineStr">
        <is>
          <t>출도착지</t>
        </is>
      </c>
      <c r="G18" s="69" t="n"/>
      <c r="H18" s="89" t="n"/>
      <c r="I18" s="67" t="inlineStr">
        <is>
          <t>연간 입력</t>
        </is>
      </c>
      <c r="J18" s="67" t="inlineStr">
        <is>
          <t>월별 이동횟수</t>
        </is>
      </c>
      <c r="K18" s="68" t="n"/>
      <c r="L18" s="68" t="n"/>
      <c r="M18" s="68" t="n"/>
      <c r="N18" s="68" t="n"/>
      <c r="O18" s="68" t="n"/>
      <c r="P18" s="68" t="n"/>
      <c r="Q18" s="68" t="n"/>
      <c r="R18" s="68" t="n"/>
      <c r="S18" s="68" t="n"/>
      <c r="T18" s="68" t="n"/>
      <c r="U18" s="69" t="n"/>
      <c r="V18" s="66" t="inlineStr">
        <is>
          <t>비고(선택)</t>
        </is>
      </c>
      <c r="W18" s="66" t="inlineStr">
        <is>
          <t>배출계수(tCO2e/km)</t>
        </is>
      </c>
      <c r="X18" s="66" t="inlineStr">
        <is>
          <t>배출량(tCO2e)</t>
        </is>
      </c>
    </row>
    <row r="19" ht="15.75" customHeight="1" s="60">
      <c r="B19" s="70" t="n"/>
      <c r="C19" s="70" t="n"/>
      <c r="D19" s="70" t="n"/>
      <c r="E19" s="70" t="n"/>
      <c r="F19" s="66" t="inlineStr">
        <is>
          <t>출발지</t>
        </is>
      </c>
      <c r="G19" s="66" t="inlineStr">
        <is>
          <t>도착지</t>
        </is>
      </c>
      <c r="H19" s="66" t="inlineStr">
        <is>
          <t>편도거리(km)(선택)</t>
        </is>
      </c>
      <c r="I19" s="66" t="inlineStr">
        <is>
          <t>연간이동횟수</t>
        </is>
      </c>
      <c r="J19" s="65" t="inlineStr">
        <is>
          <t>1월</t>
        </is>
      </c>
      <c r="K19" s="65" t="inlineStr">
        <is>
          <t>2월</t>
        </is>
      </c>
      <c r="L19" s="65" t="inlineStr">
        <is>
          <t>3월</t>
        </is>
      </c>
      <c r="M19" s="65" t="inlineStr">
        <is>
          <t>4월</t>
        </is>
      </c>
      <c r="N19" s="65" t="inlineStr">
        <is>
          <t>5월</t>
        </is>
      </c>
      <c r="O19" s="65" t="inlineStr">
        <is>
          <t>6월</t>
        </is>
      </c>
      <c r="P19" s="65" t="inlineStr">
        <is>
          <t>7월</t>
        </is>
      </c>
      <c r="Q19" s="65" t="inlineStr">
        <is>
          <t>8월</t>
        </is>
      </c>
      <c r="R19" s="65" t="inlineStr">
        <is>
          <t>9월</t>
        </is>
      </c>
      <c r="S19" s="65" t="inlineStr">
        <is>
          <t>10월</t>
        </is>
      </c>
      <c r="T19" s="65" t="inlineStr">
        <is>
          <t>11월</t>
        </is>
      </c>
      <c r="U19" s="65" t="inlineStr">
        <is>
          <t>12월</t>
        </is>
      </c>
      <c r="V19" s="70" t="n"/>
      <c r="W19" s="70" t="n"/>
      <c r="X19" s="70" t="n"/>
    </row>
    <row r="20" ht="32.25" customHeight="1" s="60">
      <c r="B20" s="71" t="inlineStr">
        <is>
          <t>대한민국</t>
        </is>
      </c>
      <c r="C20" s="71" t="inlineStr">
        <is>
          <t>본사</t>
        </is>
      </c>
      <c r="D20" s="71" t="inlineStr">
        <is>
          <t>철도(KTX/SRT)</t>
        </is>
      </c>
      <c r="E20" s="71" t="n">
        <v>2</v>
      </c>
      <c r="F20" s="90" t="inlineStr">
        <is>
          <t>서울역</t>
        </is>
      </c>
      <c r="G20" s="90" t="inlineStr">
        <is>
          <t>부산역</t>
        </is>
      </c>
      <c r="H20" s="90" t="n">
        <v>325</v>
      </c>
      <c r="I20" s="71" t="n">
        <v>4</v>
      </c>
      <c r="J20" s="71" t="n"/>
      <c r="K20" s="71" t="n"/>
      <c r="L20" s="71" t="n"/>
      <c r="M20" s="71" t="n"/>
      <c r="N20" s="71" t="n"/>
      <c r="O20" s="71" t="n"/>
      <c r="P20" s="71" t="n"/>
      <c r="Q20" s="71" t="n"/>
      <c r="R20" s="71" t="n"/>
      <c r="S20" s="71" t="n"/>
      <c r="T20" s="71" t="n"/>
      <c r="U20" s="71" t="n"/>
      <c r="V20" s="73" t="inlineStr">
        <is>
          <t>국내 고객사 방문 왕복 기준</t>
        </is>
      </c>
      <c r="W20" s="74" t="n">
        <v>3.546e-05</v>
      </c>
      <c r="X20" s="74" t="n">
        <v>0.092196</v>
      </c>
    </row>
    <row r="21" ht="32.25" customHeight="1" s="60">
      <c r="B21" s="75" t="inlineStr">
        <is>
          <t>대한민국</t>
        </is>
      </c>
      <c r="C21" s="75" t="inlineStr">
        <is>
          <t>평택공장</t>
        </is>
      </c>
      <c r="D21" s="75" t="inlineStr">
        <is>
          <t>승용차</t>
        </is>
      </c>
      <c r="E21" s="75" t="n">
        <v>3</v>
      </c>
      <c r="F21" s="91" t="inlineStr">
        <is>
          <t>평택공장</t>
        </is>
      </c>
      <c r="G21" s="91" t="inlineStr">
        <is>
          <t>대전 협력사</t>
        </is>
      </c>
      <c r="H21" s="91" t="n">
        <v>140</v>
      </c>
      <c r="I21" s="75" t="n"/>
      <c r="J21" s="75" t="n">
        <v>0</v>
      </c>
      <c r="K21" s="75" t="n">
        <v>1</v>
      </c>
      <c r="L21" s="75" t="n">
        <v>0</v>
      </c>
      <c r="M21" s="75" t="n">
        <v>1</v>
      </c>
      <c r="N21" s="75" t="n">
        <v>0</v>
      </c>
      <c r="O21" s="75" t="n">
        <v>1</v>
      </c>
      <c r="P21" s="75" t="n">
        <v>0</v>
      </c>
      <c r="Q21" s="75" t="n">
        <v>1</v>
      </c>
      <c r="R21" s="75" t="n">
        <v>0</v>
      </c>
      <c r="S21" s="75" t="n">
        <v>0</v>
      </c>
      <c r="T21" s="75" t="n">
        <v>0</v>
      </c>
      <c r="U21" s="75" t="n">
        <v>0</v>
      </c>
      <c r="V21" s="76" t="inlineStr">
        <is>
          <t>협력사 품질 점검 출장</t>
        </is>
      </c>
      <c r="W21" s="77" t="n">
        <v>0.00017304</v>
      </c>
      <c r="X21" s="77" t="n">
        <v>0.5814144</v>
      </c>
    </row>
    <row r="22" ht="16.5" customHeight="1" s="60">
      <c r="B22" s="75" t="inlineStr">
        <is>
          <t>대한민국</t>
        </is>
      </c>
      <c r="C22" s="75" t="inlineStr">
        <is>
          <t>강남지사</t>
        </is>
      </c>
      <c r="D22" s="75" t="inlineStr">
        <is>
          <t>항공</t>
        </is>
      </c>
      <c r="E22" s="75" t="n">
        <v>1</v>
      </c>
      <c r="F22" s="91" t="inlineStr">
        <is>
          <t>김포공항</t>
        </is>
      </c>
      <c r="G22" s="91" t="inlineStr">
        <is>
          <t>제주공항</t>
        </is>
      </c>
      <c r="H22" s="91" t="n"/>
      <c r="I22" s="75" t="n">
        <v>6</v>
      </c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6" t="inlineStr">
        <is>
          <t>제주지점 업무 출장</t>
        </is>
      </c>
      <c r="W22" s="77" t="n">
        <v>0.00014253</v>
      </c>
      <c r="X22" s="77" t="n">
        <v>0.8230398645260421</v>
      </c>
    </row>
    <row r="23" ht="16.5" customHeight="1" s="60">
      <c r="B23" s="75" t="inlineStr">
        <is>
          <t>독일</t>
        </is>
      </c>
      <c r="C23" s="75" t="inlineStr">
        <is>
          <t>본사</t>
        </is>
      </c>
      <c r="D23" s="75" t="inlineStr">
        <is>
          <t>항공</t>
        </is>
      </c>
      <c r="E23" s="75" t="n">
        <v>2</v>
      </c>
      <c r="F23" s="91" t="inlineStr">
        <is>
          <t>인천공항</t>
        </is>
      </c>
      <c r="G23" s="91" t="inlineStr">
        <is>
          <t>프랑크푸르트공항</t>
        </is>
      </c>
      <c r="H23" s="91" t="n">
        <v>8560</v>
      </c>
      <c r="I23" s="75" t="n">
        <v>1</v>
      </c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6" t="inlineStr">
        <is>
          <t>해외 전시회 참가</t>
        </is>
      </c>
      <c r="W23" s="77" t="n">
        <v>0.00014253</v>
      </c>
      <c r="X23" s="77" t="n">
        <v>4.880227199999999</v>
      </c>
    </row>
    <row r="24" ht="16.5" customHeight="1" s="60">
      <c r="B24" s="75" t="inlineStr">
        <is>
          <t>대한민국</t>
        </is>
      </c>
      <c r="C24" s="75" t="inlineStr">
        <is>
          <t>대구공장</t>
        </is>
      </c>
      <c r="D24" s="75" t="inlineStr">
        <is>
          <t>승용차</t>
        </is>
      </c>
      <c r="E24" s="79" t="n">
        <v>2</v>
      </c>
      <c r="F24" s="91" t="inlineStr">
        <is>
          <t>대구공장</t>
        </is>
      </c>
      <c r="G24" s="91" t="inlineStr">
        <is>
          <t>본사</t>
        </is>
      </c>
      <c r="H24" s="91" t="n">
        <v>300</v>
      </c>
      <c r="I24" s="79" t="n">
        <v>8</v>
      </c>
      <c r="J24" s="79" t="n"/>
      <c r="K24" s="79" t="n"/>
      <c r="L24" s="79" t="n"/>
      <c r="M24" s="79" t="n"/>
      <c r="N24" s="79" t="n"/>
      <c r="O24" s="79" t="n"/>
      <c r="P24" s="79" t="n"/>
      <c r="Q24" s="79" t="n"/>
      <c r="R24" s="79" t="n"/>
      <c r="S24" s="79" t="n"/>
      <c r="T24" s="79" t="n"/>
      <c r="U24" s="79" t="n"/>
      <c r="V24" s="76" t="inlineStr">
        <is>
          <t>본사 회의 출장</t>
        </is>
      </c>
      <c r="W24" s="77" t="n">
        <v>0.00017304</v>
      </c>
      <c r="X24" s="77" t="n">
        <v>1.661184</v>
      </c>
    </row>
    <row r="25" ht="16.5" customHeight="1" s="60">
      <c r="B25" s="75" t="inlineStr">
        <is>
          <t>일본</t>
        </is>
      </c>
      <c r="C25" s="75" t="inlineStr">
        <is>
          <t>도쿄지점</t>
        </is>
      </c>
      <c r="D25" s="75" t="inlineStr">
        <is>
          <t>지하철</t>
        </is>
      </c>
      <c r="E25" s="79" t="n">
        <v>1</v>
      </c>
      <c r="F25" s="91" t="inlineStr">
        <is>
          <t>도쿄지점</t>
        </is>
      </c>
      <c r="G25" s="91" t="inlineStr">
        <is>
          <t>오사카 거래처</t>
        </is>
      </c>
      <c r="H25" s="91" t="n">
        <v>515</v>
      </c>
      <c r="I25" s="79" t="n">
        <v>3</v>
      </c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6" t="inlineStr">
        <is>
          <t>일본 내 거래처 방문</t>
        </is>
      </c>
      <c r="W25" s="77" t="n">
        <v>2.78e-05</v>
      </c>
      <c r="X25" s="77" t="n">
        <v>0.08590200000000001</v>
      </c>
    </row>
    <row r="26" ht="16.5" customHeight="1" s="60">
      <c r="B26" s="75" t="inlineStr">
        <is>
          <t>대한민국</t>
        </is>
      </c>
      <c r="C26" s="75" t="inlineStr">
        <is>
          <t>본사</t>
        </is>
      </c>
      <c r="D26" s="75" t="inlineStr">
        <is>
          <t>항공</t>
        </is>
      </c>
      <c r="E26" s="79" t="n">
        <v>4</v>
      </c>
      <c r="F26" s="91" t="inlineStr">
        <is>
          <t>김포공항</t>
        </is>
      </c>
      <c r="G26" s="91" t="inlineStr">
        <is>
          <t>광주공항</t>
        </is>
      </c>
      <c r="H26" s="91" t="n">
        <v>260</v>
      </c>
      <c r="I26" s="79" t="n">
        <v>2</v>
      </c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6" t="inlineStr">
        <is>
          <t>광주 협력사 워크숍</t>
        </is>
      </c>
      <c r="W26" s="77" t="n">
        <v>0.00014253</v>
      </c>
      <c r="X26" s="77" t="n">
        <v>0.5929248</v>
      </c>
    </row>
    <row r="27" ht="16.5" customHeight="1" s="60">
      <c r="B27" s="75" t="inlineStr">
        <is>
          <t>중국</t>
        </is>
      </c>
      <c r="C27" s="75" t="inlineStr">
        <is>
          <t>상하이공장</t>
        </is>
      </c>
      <c r="D27" s="75" t="inlineStr">
        <is>
          <t>철도</t>
        </is>
      </c>
      <c r="E27" s="79" t="n">
        <v>2</v>
      </c>
      <c r="F27" s="91" t="inlineStr">
        <is>
          <t>상하이역</t>
        </is>
      </c>
      <c r="G27" s="91" t="inlineStr">
        <is>
          <t>베이징역</t>
        </is>
      </c>
      <c r="H27" s="91" t="n">
        <v>1200</v>
      </c>
      <c r="I27" s="79" t="n"/>
      <c r="J27" s="79" t="n">
        <v>1</v>
      </c>
      <c r="K27" s="79" t="n">
        <v>1</v>
      </c>
      <c r="L27" s="79" t="n">
        <v>1</v>
      </c>
      <c r="M27" s="79" t="n">
        <v>1</v>
      </c>
      <c r="N27" s="79" t="n">
        <v>1</v>
      </c>
      <c r="O27" s="79" t="n">
        <v>1</v>
      </c>
      <c r="P27" s="79" t="n">
        <v>1</v>
      </c>
      <c r="Q27" s="79" t="n">
        <v>1</v>
      </c>
      <c r="R27" s="79" t="n">
        <v>1</v>
      </c>
      <c r="S27" s="79" t="n">
        <v>1</v>
      </c>
      <c r="T27" s="79" t="n">
        <v>1</v>
      </c>
      <c r="U27" s="79" t="n">
        <v>1</v>
      </c>
      <c r="V27" s="76" t="inlineStr">
        <is>
          <t>본사 임원 정기 보고</t>
        </is>
      </c>
      <c r="W27" s="77" t="n">
        <v>3.546e-05</v>
      </c>
      <c r="X27" s="77" t="n">
        <v>2.042496</v>
      </c>
    </row>
    <row r="28" ht="16.5" customHeight="1" s="60">
      <c r="B28" s="75" t="inlineStr">
        <is>
          <t>대한민국</t>
        </is>
      </c>
      <c r="C28" s="75" t="inlineStr">
        <is>
          <t>부산지사</t>
        </is>
      </c>
      <c r="D28" s="75" t="inlineStr">
        <is>
          <t>버스</t>
        </is>
      </c>
      <c r="E28" s="79" t="n">
        <v>3</v>
      </c>
      <c r="F28" s="91" t="inlineStr">
        <is>
          <t>부산지사</t>
        </is>
      </c>
      <c r="G28" s="91" t="inlineStr">
        <is>
          <t>울산 협력사</t>
        </is>
      </c>
      <c r="H28" s="91" t="n"/>
      <c r="I28" s="79" t="n">
        <v>12</v>
      </c>
      <c r="J28" s="79" t="n"/>
      <c r="K28" s="79" t="n"/>
      <c r="L28" s="79" t="n"/>
      <c r="M28" s="79" t="n"/>
      <c r="N28" s="79" t="n"/>
      <c r="O28" s="79" t="n"/>
      <c r="P28" s="79" t="n"/>
      <c r="Q28" s="79" t="n"/>
      <c r="R28" s="79" t="n"/>
      <c r="S28" s="79" t="n"/>
      <c r="T28" s="79" t="n"/>
      <c r="U28" s="79" t="n"/>
      <c r="V28" s="76" t="inlineStr">
        <is>
          <t>인근 협력사 방문</t>
        </is>
      </c>
      <c r="W28" s="77" t="n">
        <v>0.00010385</v>
      </c>
      <c r="X28" s="77" t="n">
        <v>0.4402221395491765</v>
      </c>
    </row>
    <row r="29" ht="16.5" customHeight="1" s="60">
      <c r="B29" s="75" t="inlineStr">
        <is>
          <t>미국</t>
        </is>
      </c>
      <c r="C29" s="75" t="inlineStr">
        <is>
          <t>미국판매법인</t>
        </is>
      </c>
      <c r="D29" s="75" t="inlineStr">
        <is>
          <t>항공</t>
        </is>
      </c>
      <c r="E29" s="79" t="n">
        <v>2</v>
      </c>
      <c r="F29" s="92" t="inlineStr">
        <is>
          <t>LA공항</t>
        </is>
      </c>
      <c r="G29" s="91" t="inlineStr">
        <is>
          <t>뉴욕공항</t>
        </is>
      </c>
      <c r="H29" s="92" t="n">
        <v>3980</v>
      </c>
      <c r="I29" s="79" t="n">
        <v>4</v>
      </c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6" t="inlineStr">
        <is>
          <t>동부 지역 영업 출장</t>
        </is>
      </c>
      <c r="W29" s="77" t="n">
        <v>0.00014253</v>
      </c>
      <c r="X29" s="77" t="n">
        <v>9.076310399999999</v>
      </c>
    </row>
    <row r="30" ht="16.5" customHeight="1" s="60">
      <c r="B30" s="75" t="inlineStr">
        <is>
          <t>대한민국</t>
        </is>
      </c>
      <c r="C30" s="75" t="inlineStr">
        <is>
          <t>물류센터</t>
        </is>
      </c>
      <c r="D30" s="75" t="inlineStr">
        <is>
          <t>승용차</t>
        </is>
      </c>
      <c r="E30" s="79" t="n">
        <v>1</v>
      </c>
      <c r="F30" s="91" t="inlineStr">
        <is>
          <t>물류센터</t>
        </is>
      </c>
      <c r="G30" s="91" t="inlineStr">
        <is>
          <t>인천항</t>
        </is>
      </c>
      <c r="H30" s="92" t="n">
        <v>45</v>
      </c>
      <c r="I30" s="79" t="n">
        <v>20</v>
      </c>
      <c r="J30" s="79" t="n"/>
      <c r="K30" s="79" t="n"/>
      <c r="L30" s="79" t="n"/>
      <c r="M30" s="79" t="n"/>
      <c r="N30" s="79" t="n"/>
      <c r="O30" s="79" t="n"/>
      <c r="P30" s="79" t="n"/>
      <c r="Q30" s="79" t="n"/>
      <c r="R30" s="79" t="n"/>
      <c r="S30" s="79" t="n"/>
      <c r="T30" s="79" t="n"/>
      <c r="U30" s="79" t="n"/>
      <c r="V30" s="76" t="inlineStr">
        <is>
          <t>통관 업무 출장</t>
        </is>
      </c>
      <c r="W30" s="77" t="n">
        <v>0.00017304</v>
      </c>
      <c r="X30" s="77" t="n">
        <v>0.311472</v>
      </c>
    </row>
    <row r="31" ht="16.5" customHeight="1" s="60">
      <c r="B31" s="75" t="inlineStr">
        <is>
          <t>베트남</t>
        </is>
      </c>
      <c r="C31" s="75" t="inlineStr">
        <is>
          <t>베트남공장</t>
        </is>
      </c>
      <c r="D31" s="75" t="inlineStr">
        <is>
          <t>항공</t>
        </is>
      </c>
      <c r="E31" s="79" t="n">
        <v>3</v>
      </c>
      <c r="F31" s="91" t="inlineStr">
        <is>
          <t>호치민공항</t>
        </is>
      </c>
      <c r="G31" s="91" t="inlineStr">
        <is>
          <t>인천공항</t>
        </is>
      </c>
      <c r="H31" s="92" t="n">
        <v>3540</v>
      </c>
      <c r="I31" s="79" t="n">
        <v>5</v>
      </c>
      <c r="J31" s="79" t="n"/>
      <c r="K31" s="79" t="n"/>
      <c r="L31" s="79" t="n"/>
      <c r="M31" s="79" t="n"/>
      <c r="N31" s="79" t="n"/>
      <c r="O31" s="79" t="n"/>
      <c r="P31" s="79" t="n"/>
      <c r="Q31" s="79" t="n"/>
      <c r="R31" s="79" t="n"/>
      <c r="S31" s="79" t="n"/>
      <c r="T31" s="79" t="n"/>
      <c r="U31" s="79" t="n"/>
      <c r="V31" s="76" t="inlineStr">
        <is>
          <t>본사 정기 보고 출장</t>
        </is>
      </c>
      <c r="W31" s="77" t="n">
        <v>0.00014253</v>
      </c>
      <c r="X31" s="77" t="n">
        <v>15.136686</v>
      </c>
    </row>
    <row r="32" ht="14.25" customHeight="1" s="60">
      <c r="B32" s="75" t="inlineStr">
        <is>
          <t>대한민국</t>
        </is>
      </c>
      <c r="C32" s="75" t="inlineStr">
        <is>
          <t>대구공장</t>
        </is>
      </c>
      <c r="D32" s="75" t="inlineStr">
        <is>
          <t>승용차</t>
        </is>
      </c>
      <c r="E32" s="79" t="n">
        <v>2</v>
      </c>
      <c r="F32" s="91" t="inlineStr">
        <is>
          <t>대구</t>
        </is>
      </c>
      <c r="G32" s="91" t="inlineStr">
        <is>
          <t>본사</t>
        </is>
      </c>
      <c r="H32" s="92" t="n">
        <v>295</v>
      </c>
      <c r="I32" s="79" t="n">
        <v>6</v>
      </c>
      <c r="J32" s="79" t="n"/>
      <c r="K32" s="79" t="n"/>
      <c r="L32" s="79" t="n"/>
      <c r="M32" s="79" t="n"/>
      <c r="N32" s="79" t="n"/>
      <c r="O32" s="79" t="n"/>
      <c r="P32" s="79" t="n"/>
      <c r="Q32" s="79" t="n"/>
      <c r="R32" s="79" t="n"/>
      <c r="S32" s="79" t="n"/>
      <c r="T32" s="79" t="n"/>
      <c r="U32" s="79" t="n"/>
      <c r="V32" s="76" t="inlineStr">
        <is>
          <t>월례회의 참석(격월)</t>
        </is>
      </c>
      <c r="W32" s="77" t="n">
        <v>0.00017304</v>
      </c>
      <c r="X32" s="77" t="n">
        <v>1.2251232</v>
      </c>
    </row>
    <row r="33" ht="14.25" customHeight="1" s="60">
      <c r="B33" s="75" t="inlineStr">
        <is>
          <t>일본</t>
        </is>
      </c>
      <c r="C33" s="75" t="inlineStr">
        <is>
          <t>도쿄지점</t>
        </is>
      </c>
      <c r="D33" s="75" t="inlineStr">
        <is>
          <t>지하철</t>
        </is>
      </c>
      <c r="E33" s="79" t="n">
        <v>1</v>
      </c>
      <c r="F33" s="91" t="inlineStr">
        <is>
          <t>도쿄</t>
        </is>
      </c>
      <c r="G33" s="91" t="inlineStr">
        <is>
          <t>오사카</t>
        </is>
      </c>
      <c r="H33" s="92" t="n">
        <v>510</v>
      </c>
      <c r="I33" s="79" t="n">
        <v>4</v>
      </c>
      <c r="J33" s="79" t="n"/>
      <c r="K33" s="79" t="n"/>
      <c r="L33" s="79" t="n"/>
      <c r="M33" s="79" t="n"/>
      <c r="N33" s="79" t="n"/>
      <c r="O33" s="79" t="n"/>
      <c r="P33" s="79" t="n"/>
      <c r="Q33" s="79" t="n"/>
      <c r="R33" s="79" t="n"/>
      <c r="S33" s="79" t="n"/>
      <c r="T33" s="79" t="n"/>
      <c r="U33" s="79" t="n"/>
      <c r="V33" s="78" t="n"/>
      <c r="W33" s="77" t="n">
        <v>2.78e-05</v>
      </c>
      <c r="X33" s="77" t="n">
        <v>0.113424</v>
      </c>
    </row>
    <row r="34" ht="14.25" customHeight="1" s="60">
      <c r="B34" s="75" t="inlineStr">
        <is>
          <t>대한민국</t>
        </is>
      </c>
      <c r="C34" s="75" t="inlineStr">
        <is>
          <t>본사</t>
        </is>
      </c>
      <c r="D34" s="75" t="inlineStr">
        <is>
          <t>KTX</t>
        </is>
      </c>
      <c r="E34" s="79" t="n">
        <v>3</v>
      </c>
      <c r="F34" s="91" t="inlineStr">
        <is>
          <t>서울</t>
        </is>
      </c>
      <c r="G34" s="91" t="inlineStr">
        <is>
          <t>부산</t>
        </is>
      </c>
      <c r="H34" s="92" t="n">
        <v>325</v>
      </c>
      <c r="I34" s="79" t="n">
        <v>5</v>
      </c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9" t="n"/>
      <c r="T34" s="79" t="n"/>
      <c r="U34" s="79" t="n"/>
      <c r="V34" s="76" t="inlineStr">
        <is>
          <t>교통수단명 KTX로 직접입력(승용차/철도 아님)</t>
        </is>
      </c>
      <c r="W34" s="77" t="n">
        <v>3.546e-05</v>
      </c>
      <c r="X34" s="77" t="n">
        <v>0.345735</v>
      </c>
    </row>
    <row r="35" ht="14.25" customHeight="1" s="60">
      <c r="B35" s="75" t="inlineStr">
        <is>
          <t>중국</t>
        </is>
      </c>
      <c r="C35" s="75" t="inlineStr">
        <is>
          <t>상하이공장</t>
        </is>
      </c>
      <c r="D35" s="75" t="inlineStr">
        <is>
          <t>항공</t>
        </is>
      </c>
      <c r="E35" s="79" t="n">
        <v>2</v>
      </c>
      <c r="F35" s="91" t="inlineStr">
        <is>
          <t>상하이</t>
        </is>
      </c>
      <c r="G35" s="91" t="inlineStr">
        <is>
          <t>서울(인천)</t>
        </is>
      </c>
      <c r="H35" s="92" t="n"/>
      <c r="I35" s="79" t="n">
        <v>3</v>
      </c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9" t="n"/>
      <c r="T35" s="79" t="n"/>
      <c r="U35" s="79" t="n"/>
      <c r="V35" s="76" t="inlineStr">
        <is>
          <t>왕복인지 편도인지 명시안됨-편도로가정</t>
        </is>
      </c>
      <c r="W35" s="77" t="n">
        <v>0.00014253</v>
      </c>
      <c r="X35" s="77" t="n">
        <v>0.769662</v>
      </c>
    </row>
    <row r="36" ht="14.25" customHeight="1" s="60">
      <c r="B36" s="75" t="inlineStr">
        <is>
          <t>대한민국</t>
        </is>
      </c>
      <c r="C36" s="75" t="inlineStr">
        <is>
          <t>부산지사</t>
        </is>
      </c>
      <c r="D36" s="75" t="inlineStr">
        <is>
          <t>버스</t>
        </is>
      </c>
      <c r="E36" s="79" t="n">
        <v>4</v>
      </c>
      <c r="F36" s="91" t="inlineStr">
        <is>
          <t>부산</t>
        </is>
      </c>
      <c r="G36" s="91" t="inlineStr">
        <is>
          <t>울산</t>
        </is>
      </c>
      <c r="H36" s="92" t="n">
        <v>52</v>
      </c>
      <c r="I36" s="79" t="n">
        <v>8</v>
      </c>
      <c r="J36" s="79" t="n"/>
      <c r="K36" s="79" t="n"/>
      <c r="L36" s="79" t="n"/>
      <c r="M36" s="79" t="n"/>
      <c r="N36" s="79" t="n"/>
      <c r="O36" s="79" t="n"/>
      <c r="P36" s="79" t="n"/>
      <c r="Q36" s="79" t="n"/>
      <c r="R36" s="79" t="n"/>
      <c r="S36" s="79" t="n"/>
      <c r="T36" s="79" t="n"/>
      <c r="U36" s="79" t="n"/>
      <c r="V36" s="76" t="inlineStr">
        <is>
          <t>베트남공장 본사보고 출장(추가)</t>
        </is>
      </c>
      <c r="W36" s="77" t="n">
        <v>0.00010385</v>
      </c>
      <c r="X36" s="77" t="n">
        <v>0.3456128</v>
      </c>
    </row>
    <row r="37" ht="14.25" customHeight="1" s="60">
      <c r="B37" s="75" t="inlineStr">
        <is>
          <t>미국</t>
        </is>
      </c>
      <c r="C37" s="75" t="inlineStr">
        <is>
          <t>미국판매법인</t>
        </is>
      </c>
      <c r="D37" s="75" t="inlineStr">
        <is>
          <t>항공</t>
        </is>
      </c>
      <c r="E37" s="79" t="n">
        <v>1</v>
      </c>
      <c r="F37" s="91" t="inlineStr">
        <is>
          <t>로스앤젤레스</t>
        </is>
      </c>
      <c r="G37" s="91" t="inlineStr">
        <is>
          <t>뉴욕</t>
        </is>
      </c>
      <c r="H37" s="92" t="n">
        <v>3980</v>
      </c>
      <c r="I37" s="79" t="n">
        <v>6</v>
      </c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9" t="n"/>
      <c r="T37" s="79" t="n"/>
      <c r="U37" s="79" t="n"/>
      <c r="V37" s="76" t="inlineStr">
        <is>
          <t>영문/한글 혼용 지명</t>
        </is>
      </c>
      <c r="W37" s="77" t="n">
        <v>0.00014253</v>
      </c>
      <c r="X37" s="77" t="n">
        <v>6.8072328</v>
      </c>
    </row>
    <row r="38" ht="14.25" customHeight="1" s="60">
      <c r="B38" s="79" t="n"/>
      <c r="C38" s="79" t="n"/>
      <c r="D38" s="75" t="n"/>
      <c r="E38" s="79" t="n"/>
      <c r="F38" s="92" t="n"/>
      <c r="G38" s="92" t="n"/>
      <c r="H38" s="92" t="n"/>
      <c r="I38" s="79" t="n"/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9" t="n"/>
      <c r="T38" s="79" t="n"/>
      <c r="U38" s="79" t="n"/>
      <c r="V38" s="78" t="n"/>
      <c r="W38" s="77" t="n"/>
      <c r="X38" s="77" t="n"/>
    </row>
    <row r="39" ht="14.25" customHeight="1" s="60">
      <c r="B39" s="79" t="n"/>
      <c r="C39" s="79" t="n"/>
      <c r="D39" s="75" t="n"/>
      <c r="E39" s="79" t="n"/>
      <c r="F39" s="92" t="n"/>
      <c r="G39" s="92" t="n"/>
      <c r="H39" s="92" t="n"/>
      <c r="I39" s="79" t="n"/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9" t="n"/>
      <c r="U39" s="79" t="n"/>
      <c r="V39" s="78" t="n"/>
      <c r="W39" s="77" t="n"/>
      <c r="X39" s="77" t="n"/>
    </row>
    <row r="40" ht="14.25" customHeight="1" s="60">
      <c r="B40" s="79" t="n"/>
      <c r="C40" s="79" t="n"/>
      <c r="D40" s="75" t="n"/>
      <c r="E40" s="79" t="n"/>
      <c r="F40" s="92" t="n"/>
      <c r="G40" s="92" t="n"/>
      <c r="H40" s="92" t="n"/>
      <c r="I40" s="79" t="n"/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9" t="n"/>
      <c r="T40" s="79" t="n"/>
      <c r="U40" s="79" t="n"/>
      <c r="V40" s="78" t="n"/>
      <c r="W40" s="77" t="n"/>
      <c r="X40" s="77" t="n"/>
    </row>
    <row r="41" ht="14.25" customHeight="1" s="60">
      <c r="B41" s="79" t="n"/>
      <c r="C41" s="79" t="n"/>
      <c r="D41" s="75" t="n"/>
      <c r="E41" s="79" t="n"/>
      <c r="F41" s="92" t="n"/>
      <c r="G41" s="92" t="n"/>
      <c r="H41" s="92" t="n"/>
      <c r="I41" s="79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9" t="n"/>
      <c r="T41" s="79" t="n"/>
      <c r="U41" s="79" t="n"/>
      <c r="V41" s="78" t="n"/>
      <c r="W41" s="77" t="n"/>
      <c r="X41" s="77" t="n"/>
    </row>
    <row r="42" ht="14.25" customHeight="1" s="60">
      <c r="B42" s="79" t="n"/>
      <c r="C42" s="79" t="n"/>
      <c r="D42" s="75" t="n"/>
      <c r="E42" s="79" t="n"/>
      <c r="F42" s="92" t="n"/>
      <c r="G42" s="92" t="n"/>
      <c r="H42" s="92" t="n"/>
      <c r="I42" s="79" t="n"/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9" t="n"/>
      <c r="T42" s="79" t="n"/>
      <c r="U42" s="79" t="n"/>
      <c r="V42" s="78" t="n"/>
      <c r="W42" s="77" t="n"/>
      <c r="X42" s="77" t="n"/>
    </row>
    <row r="43" ht="14.25" customHeight="1" s="60">
      <c r="B43" s="79" t="n"/>
      <c r="C43" s="79" t="n"/>
      <c r="D43" s="75" t="n"/>
      <c r="E43" s="79" t="n"/>
      <c r="F43" s="92" t="n"/>
      <c r="G43" s="92" t="n"/>
      <c r="H43" s="92" t="n"/>
      <c r="I43" s="7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9" t="n"/>
      <c r="T43" s="79" t="n"/>
      <c r="U43" s="79" t="n"/>
      <c r="V43" s="78" t="n"/>
      <c r="W43" s="77" t="n"/>
      <c r="X43" s="77" t="n"/>
    </row>
    <row r="44" ht="14.25" customHeight="1" s="60">
      <c r="B44" s="79" t="n"/>
      <c r="C44" s="79" t="n"/>
      <c r="D44" s="75" t="n"/>
      <c r="E44" s="79" t="n"/>
      <c r="F44" s="92" t="n"/>
      <c r="G44" s="92" t="n"/>
      <c r="H44" s="92" t="n"/>
      <c r="I44" s="79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9" t="n"/>
      <c r="T44" s="79" t="n"/>
      <c r="U44" s="79" t="n"/>
      <c r="V44" s="78" t="n"/>
      <c r="W44" s="77" t="n"/>
      <c r="X44" s="77" t="n"/>
    </row>
    <row r="45" ht="14.25" customHeight="1" s="60">
      <c r="B45" s="79" t="n"/>
      <c r="C45" s="79" t="n"/>
      <c r="D45" s="75" t="n"/>
      <c r="E45" s="79" t="n"/>
      <c r="F45" s="92" t="n"/>
      <c r="G45" s="92" t="n"/>
      <c r="H45" s="92" t="n"/>
      <c r="I45" s="79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9" t="n"/>
      <c r="T45" s="79" t="n"/>
      <c r="U45" s="79" t="n"/>
      <c r="V45" s="78" t="n"/>
      <c r="W45" s="77" t="n"/>
      <c r="X45" s="77" t="n"/>
    </row>
    <row r="46" ht="14.25" customHeight="1" s="60">
      <c r="B46" s="79" t="n"/>
      <c r="C46" s="79" t="n"/>
      <c r="D46" s="75" t="n"/>
      <c r="E46" s="79" t="n"/>
      <c r="F46" s="92" t="n"/>
      <c r="G46" s="92" t="n"/>
      <c r="H46" s="92" t="n"/>
      <c r="I46" s="79" t="n"/>
      <c r="J46" s="79" t="n"/>
      <c r="K46" s="79" t="n"/>
      <c r="L46" s="79" t="n"/>
      <c r="M46" s="79" t="n"/>
      <c r="N46" s="79" t="n"/>
      <c r="O46" s="79" t="n"/>
      <c r="P46" s="79" t="n"/>
      <c r="Q46" s="79" t="n"/>
      <c r="R46" s="79" t="n"/>
      <c r="S46" s="79" t="n"/>
      <c r="T46" s="79" t="n"/>
      <c r="U46" s="79" t="n"/>
      <c r="V46" s="78" t="n"/>
      <c r="W46" s="77" t="n"/>
      <c r="X46" s="77" t="n"/>
    </row>
    <row r="47" ht="14.25" customHeight="1" s="60">
      <c r="B47" s="79" t="n"/>
      <c r="C47" s="79" t="n"/>
      <c r="D47" s="75" t="n"/>
      <c r="E47" s="79" t="n"/>
      <c r="F47" s="92" t="n"/>
      <c r="G47" s="92" t="n"/>
      <c r="H47" s="92" t="n"/>
      <c r="I47" s="79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9" t="n"/>
      <c r="T47" s="79" t="n"/>
      <c r="U47" s="79" t="n"/>
      <c r="V47" s="78" t="n"/>
      <c r="W47" s="77" t="n"/>
      <c r="X47" s="77" t="n"/>
    </row>
    <row r="48" ht="14.25" customHeight="1" s="60">
      <c r="B48" s="79" t="n"/>
      <c r="C48" s="79" t="n"/>
      <c r="D48" s="75" t="n"/>
      <c r="E48" s="79" t="n"/>
      <c r="F48" s="92" t="n"/>
      <c r="G48" s="92" t="n"/>
      <c r="H48" s="92" t="n"/>
      <c r="I48" s="79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9" t="n"/>
      <c r="T48" s="79" t="n"/>
      <c r="U48" s="79" t="n"/>
      <c r="V48" s="78" t="n"/>
      <c r="W48" s="77" t="n"/>
      <c r="X48" s="77" t="n"/>
    </row>
    <row r="49" ht="14.25" customHeight="1" s="60">
      <c r="B49" s="79" t="n"/>
      <c r="C49" s="79" t="n"/>
      <c r="D49" s="75" t="n"/>
      <c r="E49" s="79" t="n"/>
      <c r="F49" s="92" t="n"/>
      <c r="G49" s="92" t="n"/>
      <c r="H49" s="92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79" t="n"/>
      <c r="V49" s="78" t="n"/>
      <c r="W49" s="77" t="n"/>
      <c r="X49" s="77" t="n"/>
    </row>
    <row r="50" ht="14.25" customHeight="1" s="60">
      <c r="B50" s="79" t="n"/>
      <c r="C50" s="79" t="n"/>
      <c r="D50" s="75" t="n"/>
      <c r="E50" s="79" t="n"/>
      <c r="F50" s="92" t="n"/>
      <c r="G50" s="92" t="n"/>
      <c r="H50" s="92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9" t="n"/>
      <c r="T50" s="79" t="n"/>
      <c r="U50" s="79" t="n"/>
      <c r="V50" s="78" t="n"/>
      <c r="W50" s="77" t="n"/>
      <c r="X50" s="77" t="n"/>
    </row>
    <row r="51" ht="14.25" customHeight="1" s="60">
      <c r="B51" s="79" t="n"/>
      <c r="C51" s="79" t="n"/>
      <c r="D51" s="75" t="n"/>
      <c r="E51" s="79" t="n"/>
      <c r="F51" s="92" t="n"/>
      <c r="G51" s="92" t="n"/>
      <c r="H51" s="92" t="n"/>
      <c r="I51" s="79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9" t="n"/>
      <c r="T51" s="79" t="n"/>
      <c r="U51" s="79" t="n"/>
      <c r="V51" s="78" t="n"/>
      <c r="W51" s="77" t="n"/>
      <c r="X51" s="77" t="n"/>
    </row>
    <row r="52" ht="14.25" customHeight="1" s="60">
      <c r="B52" s="79" t="n"/>
      <c r="C52" s="79" t="n"/>
      <c r="D52" s="75" t="n"/>
      <c r="E52" s="79" t="n"/>
      <c r="F52" s="92" t="n"/>
      <c r="G52" s="92" t="n"/>
      <c r="H52" s="92" t="n"/>
      <c r="I52" s="79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9" t="n"/>
      <c r="T52" s="79" t="n"/>
      <c r="U52" s="79" t="n"/>
      <c r="V52" s="78" t="n"/>
      <c r="W52" s="77" t="n"/>
      <c r="X52" s="77" t="n"/>
    </row>
    <row r="53" ht="14.25" customHeight="1" s="60">
      <c r="B53" s="79" t="n"/>
      <c r="C53" s="79" t="n"/>
      <c r="D53" s="75" t="n"/>
      <c r="E53" s="79" t="n"/>
      <c r="F53" s="92" t="n"/>
      <c r="G53" s="92" t="n"/>
      <c r="H53" s="92" t="n"/>
      <c r="I53" s="79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9" t="n"/>
      <c r="V53" s="78" t="n"/>
      <c r="W53" s="77" t="n"/>
      <c r="X53" s="77" t="n"/>
    </row>
    <row r="54" ht="14.25" customHeight="1" s="60">
      <c r="B54" s="79" t="n"/>
      <c r="C54" s="79" t="n"/>
      <c r="D54" s="75" t="n"/>
      <c r="E54" s="79" t="n"/>
      <c r="F54" s="92" t="n"/>
      <c r="G54" s="92" t="n"/>
      <c r="H54" s="92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79" t="n"/>
      <c r="V54" s="78" t="n"/>
      <c r="W54" s="77" t="n"/>
      <c r="X54" s="77" t="n"/>
    </row>
    <row r="55" ht="14.25" customHeight="1" s="60">
      <c r="B55" s="79" t="n"/>
      <c r="C55" s="79" t="n"/>
      <c r="D55" s="75" t="n"/>
      <c r="E55" s="79" t="n"/>
      <c r="F55" s="92" t="n"/>
      <c r="G55" s="92" t="n"/>
      <c r="H55" s="92" t="n"/>
      <c r="I55" s="79" t="n"/>
      <c r="J55" s="79" t="n"/>
      <c r="K55" s="79" t="n"/>
      <c r="L55" s="79" t="n"/>
      <c r="M55" s="79" t="n"/>
      <c r="N55" s="79" t="n"/>
      <c r="O55" s="79" t="n"/>
      <c r="P55" s="79" t="n"/>
      <c r="Q55" s="79" t="n"/>
      <c r="R55" s="79" t="n"/>
      <c r="S55" s="79" t="n"/>
      <c r="T55" s="79" t="n"/>
      <c r="U55" s="79" t="n"/>
      <c r="V55" s="78" t="n"/>
      <c r="W55" s="77" t="n"/>
      <c r="X55" s="77" t="n"/>
    </row>
  </sheetData>
  <mergeCells count="9">
    <mergeCell ref="W18:W19"/>
    <mergeCell ref="D18:D19"/>
    <mergeCell ref="B18:B19"/>
    <mergeCell ref="E18:E19"/>
    <mergeCell ref="F18:G18"/>
    <mergeCell ref="J18:U18"/>
    <mergeCell ref="C18:C19"/>
    <mergeCell ref="X18:X19"/>
    <mergeCell ref="V18:V19"/>
  </mergeCells>
  <dataValidations count="1">
    <dataValidation sqref="D21:D220" showDropDown="0" showInputMessage="0" showErrorMessage="0" allowBlank="0" type="list" errorStyle="stop" operator="between">
      <formula1>"자동차(내연기관),전기차,버스,지하철,통근버스,철도(KTX/SRT),철도(기타),국내선 항공,국제선 단거리,국제선 장거리,택시,렌터카,기타"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U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59" min="2" max="2"/>
    <col width="16" customWidth="1" style="59" min="3" max="3"/>
    <col width="14" customWidth="1" style="59" min="4" max="4"/>
    <col width="10" customWidth="1" style="59" min="5" max="5"/>
    <col width="16" customWidth="1" style="59" min="6" max="6"/>
    <col width="8" customWidth="1" style="59" min="7" max="18"/>
    <col width="18" customWidth="1" style="59" min="19" max="19"/>
    <col width="20.75" customWidth="1" style="59" min="20" max="20"/>
    <col width="16" customWidth="1" style="59" min="21" max="21"/>
  </cols>
  <sheetData>
    <row r="1"/>
    <row r="2" ht="20.25" customHeight="1" s="60">
      <c r="B2" s="61" t="inlineStr">
        <is>
          <t>C6. 임직원 출장 2안. 출장비 기반</t>
        </is>
      </c>
    </row>
    <row r="3"/>
    <row r="4" ht="14.25" customHeight="1" s="60">
      <c r="B4" s="62" t="inlineStr">
        <is>
          <t>카테고리 정의</t>
        </is>
      </c>
    </row>
    <row r="5" ht="14.25" customHeight="1" s="60">
      <c r="B5" s="63" t="inlineStr">
        <is>
          <t>- 보고년도에 임직원 업무 출장 시 지출한 금액을 경제적 배출계수로 적용하여 산정하는 온실가스 배출량</t>
        </is>
      </c>
    </row>
    <row r="6" ht="14.25" customHeight="1" s="60">
      <c r="B6" s="63" t="inlineStr">
        <is>
          <t>- 출발지, 도착지, 이동거리 정보를 알 수 없고 출장비만 확인 가능한 경우 작성</t>
        </is>
      </c>
    </row>
    <row r="7"/>
    <row r="8"/>
    <row r="9" ht="14.25" customHeight="1" s="60">
      <c r="B9" s="62" t="inlineStr">
        <is>
          <t>작성 기준</t>
        </is>
      </c>
    </row>
    <row r="10" ht="14.25" customHeight="1" s="60">
      <c r="B10" s="63" t="inlineStr">
        <is>
          <t>1) 온실가스 산정 식: Σ(출장지출금액 × 지출기반 배출계수)</t>
        </is>
      </c>
    </row>
    <row r="11" ht="14.25" customHeight="1" s="60">
      <c r="B11" s="63" t="inlineStr">
        <is>
          <t xml:space="preserve"> - 온실가스 배출계수는 US EPA Emission Factor 활용 (*US EPA Supply Chain Greenhouse Gas Emission Factors v1.3 by NAICS-6)</t>
        </is>
      </c>
    </row>
    <row r="12" ht="14.25" customHeight="1" s="60">
      <c r="B12" s="63" t="inlineStr">
        <is>
          <t>2) 출장항목은 항공, 철도, 택시, 렌터카, 숙박 등으로 작성</t>
        </is>
      </c>
    </row>
    <row r="13" ht="14.25" customHeight="1" s="60">
      <c r="B13" s="63" t="inlineStr">
        <is>
          <t>3) 거리 기반 정보가 있는 경우 C6-1 시트에 작성</t>
        </is>
      </c>
    </row>
    <row r="14"/>
    <row r="15"/>
    <row r="16" ht="14.25" customHeight="1" s="60">
      <c r="B16" s="64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0">
      <c r="B17" s="64" t="inlineStr">
        <is>
          <t>※ 주황색으로 표시된 필수 입력칸은 반드시 작성해야 합니다.</t>
        </is>
      </c>
    </row>
    <row r="18" ht="15" customHeight="1" s="60">
      <c r="B18" s="65" t="inlineStr">
        <is>
          <t>*국가</t>
        </is>
      </c>
      <c r="C18" s="65" t="inlineStr">
        <is>
          <t>*출장주체</t>
        </is>
      </c>
      <c r="D18" s="89" t="n"/>
      <c r="E18" s="89" t="n"/>
      <c r="F18" s="67" t="inlineStr">
        <is>
          <t>연간 입력</t>
        </is>
      </c>
      <c r="G18" s="67" t="inlineStr">
        <is>
          <t>월별 지출금액</t>
        </is>
      </c>
      <c r="H18" s="68" t="n"/>
      <c r="I18" s="68" t="n"/>
      <c r="J18" s="68" t="n"/>
      <c r="K18" s="68" t="n"/>
      <c r="L18" s="68" t="n"/>
      <c r="M18" s="68" t="n"/>
      <c r="N18" s="68" t="n"/>
      <c r="O18" s="68" t="n"/>
      <c r="P18" s="68" t="n"/>
      <c r="Q18" s="68" t="n"/>
      <c r="R18" s="69" t="n"/>
      <c r="S18" s="66" t="inlineStr">
        <is>
          <t>비고(선택)</t>
        </is>
      </c>
      <c r="T18" s="66" t="inlineStr">
        <is>
          <t>배출계수(kgCO2e/원)</t>
        </is>
      </c>
      <c r="U18" s="66" t="inlineStr">
        <is>
          <t>배출량(tCO2e)</t>
        </is>
      </c>
    </row>
    <row r="19" ht="13.5" customHeight="1" s="60">
      <c r="B19" s="70" t="n"/>
      <c r="C19" s="70" t="n"/>
      <c r="D19" s="65" t="inlineStr">
        <is>
          <t>*출장항목</t>
        </is>
      </c>
      <c r="E19" s="65" t="inlineStr">
        <is>
          <t>*인원수</t>
        </is>
      </c>
      <c r="F19" s="66" t="inlineStr">
        <is>
          <t>연간지출금액(원)</t>
        </is>
      </c>
      <c r="G19" s="65" t="inlineStr">
        <is>
          <t>1월</t>
        </is>
      </c>
      <c r="H19" s="65" t="inlineStr">
        <is>
          <t>2월</t>
        </is>
      </c>
      <c r="I19" s="65" t="inlineStr">
        <is>
          <t>3월</t>
        </is>
      </c>
      <c r="J19" s="65" t="inlineStr">
        <is>
          <t>4월</t>
        </is>
      </c>
      <c r="K19" s="65" t="inlineStr">
        <is>
          <t>5월</t>
        </is>
      </c>
      <c r="L19" s="65" t="inlineStr">
        <is>
          <t>6월</t>
        </is>
      </c>
      <c r="M19" s="65" t="inlineStr">
        <is>
          <t>7월</t>
        </is>
      </c>
      <c r="N19" s="65" t="inlineStr">
        <is>
          <t>8월</t>
        </is>
      </c>
      <c r="O19" s="65" t="inlineStr">
        <is>
          <t>9월</t>
        </is>
      </c>
      <c r="P19" s="65" t="inlineStr">
        <is>
          <t>10월</t>
        </is>
      </c>
      <c r="Q19" s="65" t="inlineStr">
        <is>
          <t>11월</t>
        </is>
      </c>
      <c r="R19" s="65" t="inlineStr">
        <is>
          <t>12월</t>
        </is>
      </c>
      <c r="S19" s="70" t="n"/>
      <c r="T19" s="70" t="n"/>
      <c r="U19" s="70" t="n"/>
    </row>
    <row r="20" ht="16.5" customHeight="1" s="60">
      <c r="B20" s="71" t="inlineStr">
        <is>
          <t>영국</t>
        </is>
      </c>
      <c r="C20" s="71" t="inlineStr">
        <is>
          <t>강남지사</t>
        </is>
      </c>
      <c r="D20" s="71" t="inlineStr">
        <is>
          <t>항공</t>
        </is>
      </c>
      <c r="E20" s="71" t="n">
        <v>3</v>
      </c>
      <c r="F20" s="71" t="n">
        <v>4320000</v>
      </c>
      <c r="G20" s="71" t="n"/>
      <c r="H20" s="71" t="n"/>
      <c r="I20" s="71" t="n"/>
      <c r="J20" s="71" t="n"/>
      <c r="K20" s="71" t="n"/>
      <c r="L20" s="71" t="n"/>
      <c r="M20" s="71" t="n"/>
      <c r="N20" s="71" t="n"/>
      <c r="O20" s="71" t="n"/>
      <c r="P20" s="71" t="n"/>
      <c r="Q20" s="71" t="n"/>
      <c r="R20" s="71" t="n"/>
      <c r="S20" s="73" t="inlineStr">
        <is>
          <t>해외 출장 항공권</t>
        </is>
      </c>
      <c r="T20" s="74" t="n">
        <v>0.0015031271716469</v>
      </c>
      <c r="U20" s="74" t="n">
        <v>6.493509381514608</v>
      </c>
    </row>
    <row r="21" ht="32.25" customHeight="1" s="60">
      <c r="B21" s="75" t="inlineStr">
        <is>
          <t>대한민국</t>
        </is>
      </c>
      <c r="C21" s="75" t="inlineStr">
        <is>
          <t>본사</t>
        </is>
      </c>
      <c r="D21" s="75" t="inlineStr">
        <is>
          <t>숙박</t>
        </is>
      </c>
      <c r="E21" s="75" t="n">
        <v>5</v>
      </c>
      <c r="F21" s="75" t="n"/>
      <c r="G21" s="75" t="n">
        <v>0</v>
      </c>
      <c r="H21" s="75" t="n">
        <v>0</v>
      </c>
      <c r="I21" s="75" t="n">
        <v>0</v>
      </c>
      <c r="J21" s="75" t="n">
        <v>0</v>
      </c>
      <c r="K21" s="75" t="n">
        <v>1200000</v>
      </c>
      <c r="L21" s="75" t="n">
        <v>0</v>
      </c>
      <c r="M21" s="75" t="n">
        <v>0</v>
      </c>
      <c r="N21" s="75" t="n">
        <v>900000</v>
      </c>
      <c r="O21" s="75" t="n">
        <v>0</v>
      </c>
      <c r="P21" s="75" t="n">
        <v>0</v>
      </c>
      <c r="Q21" s="75" t="n">
        <v>0</v>
      </c>
      <c r="R21" s="75" t="n">
        <v>0</v>
      </c>
      <c r="S21" s="76" t="inlineStr">
        <is>
          <t>국내 프로젝트 출장 숙박비</t>
        </is>
      </c>
      <c r="T21" s="77" t="n">
        <v>0.0004384989576094</v>
      </c>
      <c r="U21" s="77" t="n">
        <v>0.92084781097974</v>
      </c>
    </row>
    <row r="22" ht="32.25" customHeight="1" s="60">
      <c r="B22" s="75" t="inlineStr">
        <is>
          <t>미국</t>
        </is>
      </c>
      <c r="C22" s="75" t="inlineStr">
        <is>
          <t>본사</t>
        </is>
      </c>
      <c r="D22" s="75" t="inlineStr">
        <is>
          <t>렌터카</t>
        </is>
      </c>
      <c r="E22" s="75" t="n">
        <v>2</v>
      </c>
      <c r="F22" s="75" t="n">
        <v>1850000</v>
      </c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6" t="inlineStr">
        <is>
          <t>현지 이동 렌터카 비용</t>
        </is>
      </c>
      <c r="T22" s="77" t="n">
        <v>0.0006803335649756</v>
      </c>
      <c r="U22" s="77" t="n">
        <v>1.25861709520486</v>
      </c>
    </row>
    <row r="23" ht="16.5" customHeight="1" s="60">
      <c r="B23" s="75" t="inlineStr">
        <is>
          <t>대한민국</t>
        </is>
      </c>
      <c r="C23" s="75" t="inlineStr">
        <is>
          <t>부산지사</t>
        </is>
      </c>
      <c r="D23" s="75" t="inlineStr">
        <is>
          <t>철도</t>
        </is>
      </c>
      <c r="E23" s="75" t="n">
        <v>4</v>
      </c>
      <c r="F23" s="75" t="n"/>
      <c r="G23" s="75" t="n">
        <v>220000</v>
      </c>
      <c r="H23" s="75" t="n">
        <v>220000</v>
      </c>
      <c r="I23" s="75" t="n">
        <v>220000</v>
      </c>
      <c r="J23" s="75" t="n">
        <v>220000</v>
      </c>
      <c r="K23" s="75" t="n">
        <v>220000</v>
      </c>
      <c r="L23" s="75" t="n">
        <v>220000</v>
      </c>
      <c r="M23" s="75" t="n">
        <v>220000</v>
      </c>
      <c r="N23" s="75" t="n">
        <v>220000</v>
      </c>
      <c r="O23" s="75" t="n">
        <v>220000</v>
      </c>
      <c r="P23" s="75" t="n">
        <v>220000</v>
      </c>
      <c r="Q23" s="75" t="n">
        <v>220000</v>
      </c>
      <c r="R23" s="75" t="n">
        <v>220000</v>
      </c>
      <c r="S23" s="76" t="inlineStr">
        <is>
          <t>월별 출장 교통비</t>
        </is>
      </c>
      <c r="T23" s="77" t="n">
        <v>0.0002536483669214</v>
      </c>
      <c r="U23" s="77" t="n">
        <v>0.669631688672496</v>
      </c>
    </row>
    <row r="24" ht="16.5" customHeight="1" s="60">
      <c r="B24" s="75" t="inlineStr">
        <is>
          <t>대한민국</t>
        </is>
      </c>
      <c r="C24" s="75" t="inlineStr">
        <is>
          <t>대구공장</t>
        </is>
      </c>
      <c r="D24" s="75" t="inlineStr">
        <is>
          <t>숙박</t>
        </is>
      </c>
      <c r="E24" s="79" t="n">
        <v>2</v>
      </c>
      <c r="F24" s="79" t="n">
        <v>1800000</v>
      </c>
      <c r="G24" s="79" t="n"/>
      <c r="H24" s="79" t="n"/>
      <c r="I24" s="79" t="n"/>
      <c r="J24" s="79" t="n"/>
      <c r="K24" s="79" t="n"/>
      <c r="L24" s="79" t="n"/>
      <c r="M24" s="79" t="n"/>
      <c r="N24" s="79" t="n"/>
      <c r="O24" s="79" t="n"/>
      <c r="P24" s="79" t="n"/>
      <c r="Q24" s="79" t="n"/>
      <c r="R24" s="79" t="n"/>
      <c r="S24" s="76" t="inlineStr">
        <is>
          <t>본사 출장 숙박비</t>
        </is>
      </c>
      <c r="T24" s="77" t="n">
        <v>0.0004384989576094</v>
      </c>
      <c r="U24" s="77" t="n">
        <v>0.78929812369692</v>
      </c>
    </row>
    <row r="25" ht="16.5" customHeight="1" s="60">
      <c r="B25" s="75" t="inlineStr">
        <is>
          <t>일본</t>
        </is>
      </c>
      <c r="C25" s="75" t="inlineStr">
        <is>
          <t>도쿄지점</t>
        </is>
      </c>
      <c r="D25" s="75" t="inlineStr">
        <is>
          <t>택시</t>
        </is>
      </c>
      <c r="E25" s="79" t="n">
        <v>4</v>
      </c>
      <c r="F25" s="79" t="n"/>
      <c r="G25" s="79" t="n">
        <v>180000</v>
      </c>
      <c r="H25" s="79" t="n">
        <v>180000</v>
      </c>
      <c r="I25" s="79" t="n">
        <v>180000</v>
      </c>
      <c r="J25" s="79" t="n">
        <v>180000</v>
      </c>
      <c r="K25" s="79" t="n">
        <v>180000</v>
      </c>
      <c r="L25" s="79" t="n">
        <v>180000</v>
      </c>
      <c r="M25" s="79" t="n">
        <v>180000</v>
      </c>
      <c r="N25" s="79" t="n">
        <v>180000</v>
      </c>
      <c r="O25" s="79" t="n">
        <v>180000</v>
      </c>
      <c r="P25" s="79" t="n">
        <v>180000</v>
      </c>
      <c r="Q25" s="79" t="n">
        <v>180000</v>
      </c>
      <c r="R25" s="79" t="n">
        <v>180000</v>
      </c>
      <c r="S25" s="76" t="inlineStr">
        <is>
          <t>현지 이동 택시비</t>
        </is>
      </c>
      <c r="T25" s="77" t="n">
        <v>0.0008943710910354</v>
      </c>
      <c r="U25" s="77" t="n">
        <v>1.931841556636464</v>
      </c>
    </row>
    <row r="26" ht="32.25" customHeight="1" s="60">
      <c r="B26" s="75" t="inlineStr">
        <is>
          <t>중국</t>
        </is>
      </c>
      <c r="C26" s="75" t="inlineStr">
        <is>
          <t>상하이공장</t>
        </is>
      </c>
      <c r="D26" s="75" t="inlineStr">
        <is>
          <t>항공</t>
        </is>
      </c>
      <c r="E26" s="79" t="n">
        <v>2</v>
      </c>
      <c r="F26" s="79" t="n">
        <v>3600000</v>
      </c>
      <c r="G26" s="79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6" t="inlineStr">
        <is>
          <t>본사 보고 출장 항공권</t>
        </is>
      </c>
      <c r="T26" s="77" t="n">
        <v>0.0015031271716469</v>
      </c>
      <c r="U26" s="77" t="n">
        <v>5.41125781792884</v>
      </c>
    </row>
    <row r="27" ht="16.5" customHeight="1" s="60">
      <c r="B27" s="75" t="inlineStr">
        <is>
          <t>대한민국</t>
        </is>
      </c>
      <c r="C27" s="75" t="inlineStr">
        <is>
          <t>부산지사</t>
        </is>
      </c>
      <c r="D27" s="75" t="inlineStr">
        <is>
          <t>렌터카</t>
        </is>
      </c>
      <c r="E27" s="79" t="n">
        <v>1</v>
      </c>
      <c r="F27" s="79" t="n">
        <v>950000</v>
      </c>
      <c r="G27" s="79" t="n"/>
      <c r="H27" s="79" t="n"/>
      <c r="I27" s="79" t="n"/>
      <c r="J27" s="79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76" t="inlineStr">
        <is>
          <t>협력사 방문 렌터카</t>
        </is>
      </c>
      <c r="T27" s="77" t="n">
        <v>0.0006803335649756</v>
      </c>
      <c r="U27" s="77" t="n">
        <v>0.6463168867268201</v>
      </c>
    </row>
    <row r="28" ht="16.5" customHeight="1" s="60">
      <c r="B28" s="75" t="inlineStr">
        <is>
          <t>미국</t>
        </is>
      </c>
      <c r="C28" s="75" t="inlineStr">
        <is>
          <t>미국판매법인</t>
        </is>
      </c>
      <c r="D28" s="75" t="inlineStr">
        <is>
          <t>숙박</t>
        </is>
      </c>
      <c r="E28" s="79" t="n">
        <v>3</v>
      </c>
      <c r="F28" s="79" t="n">
        <v>5200000</v>
      </c>
      <c r="G28" s="79" t="n"/>
      <c r="H28" s="79" t="n"/>
      <c r="I28" s="79" t="n"/>
      <c r="J28" s="79" t="n"/>
      <c r="K28" s="79" t="n"/>
      <c r="L28" s="79" t="n"/>
      <c r="M28" s="79" t="n"/>
      <c r="N28" s="79" t="n"/>
      <c r="O28" s="79" t="n"/>
      <c r="P28" s="79" t="n"/>
      <c r="Q28" s="79" t="n"/>
      <c r="R28" s="79" t="n"/>
      <c r="S28" s="76" t="inlineStr">
        <is>
          <t>동부 출장 숙박비</t>
        </is>
      </c>
      <c r="T28" s="77" t="n">
        <v>0.0004384989576094</v>
      </c>
      <c r="U28" s="77" t="n">
        <v>2.28019457956888</v>
      </c>
    </row>
    <row r="29" ht="16.5" customHeight="1" s="60">
      <c r="B29" s="75" t="inlineStr">
        <is>
          <t>대한민국</t>
        </is>
      </c>
      <c r="C29" s="75" t="inlineStr">
        <is>
          <t>물류센터</t>
        </is>
      </c>
      <c r="D29" s="75" t="inlineStr">
        <is>
          <t>철도</t>
        </is>
      </c>
      <c r="E29" s="79" t="n">
        <v>2</v>
      </c>
      <c r="F29" s="79" t="n"/>
      <c r="G29" s="79" t="n">
        <v>140000</v>
      </c>
      <c r="H29" s="79" t="n">
        <v>140000</v>
      </c>
      <c r="I29" s="79" t="n">
        <v>140000</v>
      </c>
      <c r="J29" s="79" t="n">
        <v>140000</v>
      </c>
      <c r="K29" s="79" t="n">
        <v>140000</v>
      </c>
      <c r="L29" s="79" t="n">
        <v>140000</v>
      </c>
      <c r="M29" s="79" t="n">
        <v>140000</v>
      </c>
      <c r="N29" s="79" t="n">
        <v>140000</v>
      </c>
      <c r="O29" s="79" t="n">
        <v>140000</v>
      </c>
      <c r="P29" s="79" t="n">
        <v>140000</v>
      </c>
      <c r="Q29" s="79" t="n">
        <v>140000</v>
      </c>
      <c r="R29" s="79" t="n">
        <v>140000</v>
      </c>
      <c r="S29" s="76" t="inlineStr">
        <is>
          <t>통관업무 정기 출장</t>
        </is>
      </c>
      <c r="T29" s="77" t="n">
        <v>0.0002536483669214</v>
      </c>
      <c r="U29" s="77" t="n">
        <v>0.426129256427952</v>
      </c>
    </row>
    <row r="30" ht="32.25" customHeight="1" s="60">
      <c r="B30" s="75" t="inlineStr">
        <is>
          <t>베트남</t>
        </is>
      </c>
      <c r="C30" s="75" t="inlineStr">
        <is>
          <t>베트남공장</t>
        </is>
      </c>
      <c r="D30" s="75" t="inlineStr">
        <is>
          <t>항공</t>
        </is>
      </c>
      <c r="E30" s="79" t="n">
        <v>3</v>
      </c>
      <c r="F30" s="79" t="n">
        <v>6800000</v>
      </c>
      <c r="G30" s="79" t="n"/>
      <c r="H30" s="79" t="n"/>
      <c r="I30" s="79" t="n"/>
      <c r="J30" s="79" t="n"/>
      <c r="K30" s="79" t="n"/>
      <c r="L30" s="79" t="n"/>
      <c r="M30" s="79" t="n"/>
      <c r="N30" s="79" t="n"/>
      <c r="O30" s="79" t="n"/>
      <c r="P30" s="79" t="n"/>
      <c r="Q30" s="79" t="n"/>
      <c r="R30" s="79" t="n"/>
      <c r="S30" s="76" t="inlineStr">
        <is>
          <t>본사 정기보고 항공권</t>
        </is>
      </c>
      <c r="T30" s="77" t="n">
        <v>0.0015031271716469</v>
      </c>
      <c r="U30" s="77" t="n">
        <v>10.22126476719892</v>
      </c>
    </row>
    <row r="31" ht="16.5" customHeight="1" s="60">
      <c r="B31" s="75" t="inlineStr">
        <is>
          <t>대한민국</t>
        </is>
      </c>
      <c r="C31" s="75" t="inlineStr">
        <is>
          <t>본사</t>
        </is>
      </c>
      <c r="D31" s="75" t="inlineStr">
        <is>
          <t>택시</t>
        </is>
      </c>
      <c r="E31" s="79" t="n">
        <v>6</v>
      </c>
      <c r="F31" s="79" t="n"/>
      <c r="G31" s="79" t="n">
        <v>210000</v>
      </c>
      <c r="H31" s="79" t="n">
        <v>210000</v>
      </c>
      <c r="I31" s="79" t="n">
        <v>210000</v>
      </c>
      <c r="J31" s="79" t="n">
        <v>210000</v>
      </c>
      <c r="K31" s="79" t="n">
        <v>210000</v>
      </c>
      <c r="L31" s="79" t="n">
        <v>210000</v>
      </c>
      <c r="M31" s="79" t="n">
        <v>210000</v>
      </c>
      <c r="N31" s="79" t="n">
        <v>210000</v>
      </c>
      <c r="O31" s="79" t="n">
        <v>210000</v>
      </c>
      <c r="P31" s="79" t="n">
        <v>210000</v>
      </c>
      <c r="Q31" s="79" t="n">
        <v>210000</v>
      </c>
      <c r="R31" s="79" t="n">
        <v>210000</v>
      </c>
      <c r="S31" s="76" t="inlineStr">
        <is>
          <t>서울 시내 업무 이동</t>
        </is>
      </c>
      <c r="T31" s="77" t="n">
        <v>0.0008943710910354</v>
      </c>
      <c r="U31" s="77" t="n">
        <v>2.253815149409208</v>
      </c>
    </row>
    <row r="32" ht="14.25" customHeight="1" s="60">
      <c r="B32" s="75" t="inlineStr">
        <is>
          <t>대한민국</t>
        </is>
      </c>
      <c r="C32" s="75" t="inlineStr">
        <is>
          <t>대구공장</t>
        </is>
      </c>
      <c r="D32" s="75" t="inlineStr">
        <is>
          <t>숙박</t>
        </is>
      </c>
      <c r="E32" s="79" t="n">
        <v>2</v>
      </c>
      <c r="F32" s="79" t="n">
        <v>1240000</v>
      </c>
      <c r="G32" s="79" t="n"/>
      <c r="H32" s="79" t="n"/>
      <c r="I32" s="79" t="n"/>
      <c r="J32" s="79" t="n"/>
      <c r="K32" s="79" t="n"/>
      <c r="L32" s="79" t="n"/>
      <c r="M32" s="79" t="n"/>
      <c r="N32" s="79" t="n"/>
      <c r="O32" s="79" t="n"/>
      <c r="P32" s="79" t="n"/>
      <c r="Q32" s="79" t="n"/>
      <c r="R32" s="79" t="n"/>
      <c r="S32" s="76" t="inlineStr">
        <is>
          <t>게스트하우스 이용, 세금계산서없음</t>
        </is>
      </c>
      <c r="T32" s="77" t="n">
        <v>0.0004384989576094</v>
      </c>
      <c r="U32" s="77" t="n">
        <v>0.543738707435656</v>
      </c>
    </row>
    <row r="33" ht="14.25" customHeight="1" s="60">
      <c r="B33" s="75" t="inlineStr">
        <is>
          <t>일본</t>
        </is>
      </c>
      <c r="C33" s="75" t="inlineStr">
        <is>
          <t>도쿄지점</t>
        </is>
      </c>
      <c r="D33" s="75" t="inlineStr">
        <is>
          <t>택시</t>
        </is>
      </c>
      <c r="E33" s="79" t="n">
        <v>3</v>
      </c>
      <c r="F33" s="79" t="n"/>
      <c r="G33" s="79" t="n">
        <v>142000</v>
      </c>
      <c r="H33" s="79" t="n">
        <v>142000</v>
      </c>
      <c r="I33" s="79" t="n">
        <v>142000</v>
      </c>
      <c r="J33" s="79" t="n">
        <v>142000</v>
      </c>
      <c r="K33" s="79" t="n">
        <v>142000</v>
      </c>
      <c r="L33" s="79" t="n">
        <v>142000</v>
      </c>
      <c r="M33" s="79" t="n">
        <v>142000</v>
      </c>
      <c r="N33" s="79" t="n">
        <v>142000</v>
      </c>
      <c r="O33" s="79" t="n">
        <v>142000</v>
      </c>
      <c r="P33" s="79" t="n">
        <v>142000</v>
      </c>
      <c r="Q33" s="79" t="n">
        <v>142000</v>
      </c>
      <c r="R33" s="79" t="n">
        <v>142000</v>
      </c>
      <c r="S33" s="78" t="n"/>
      <c r="T33" s="77" t="n">
        <v>0.0008943710910354</v>
      </c>
      <c r="U33" s="77" t="n">
        <v>1.524008339124322</v>
      </c>
    </row>
    <row r="34" ht="14.25" customHeight="1" s="60">
      <c r="B34" s="75" t="inlineStr">
        <is>
          <t>중국</t>
        </is>
      </c>
      <c r="C34" s="75" t="inlineStr">
        <is>
          <t>상하이공장</t>
        </is>
      </c>
      <c r="D34" s="75" t="inlineStr">
        <is>
          <t>항공</t>
        </is>
      </c>
      <c r="E34" s="79" t="n">
        <v>2</v>
      </c>
      <c r="F34" s="79" t="n">
        <v>2980000</v>
      </c>
      <c r="G34" s="79" t="n"/>
      <c r="H34" s="79" t="n"/>
      <c r="I34" s="79" t="n"/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6" t="inlineStr">
        <is>
          <t>왕복항공권 2인, 이코노미</t>
        </is>
      </c>
      <c r="T34" s="77" t="n">
        <v>0.0015031271716469</v>
      </c>
      <c r="U34" s="77" t="n">
        <v>4.479318971507761</v>
      </c>
    </row>
    <row r="35" ht="14.25" customHeight="1" s="60">
      <c r="B35" s="75" t="inlineStr">
        <is>
          <t>대한민국</t>
        </is>
      </c>
      <c r="C35" s="75" t="inlineStr">
        <is>
          <t>부산지사</t>
        </is>
      </c>
      <c r="D35" s="75" t="inlineStr">
        <is>
          <t>KTX</t>
        </is>
      </c>
      <c r="E35" s="79" t="n">
        <v>1</v>
      </c>
      <c r="F35" s="79" t="n">
        <v>380000</v>
      </c>
      <c r="G35" s="79" t="n"/>
      <c r="H35" s="79" t="n"/>
      <c r="I35" s="79" t="n"/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6" t="inlineStr">
        <is>
          <t>출장비 항목명도 KTX로 입력(교통수단명과 혼동)</t>
        </is>
      </c>
      <c r="T35" s="77" t="n">
        <v>0.0002536483669214</v>
      </c>
      <c r="U35" s="77" t="n">
        <v>0.09638637943013199</v>
      </c>
    </row>
    <row r="36" ht="14.25" customHeight="1" s="60">
      <c r="B36" s="75" t="inlineStr">
        <is>
          <t>미국</t>
        </is>
      </c>
      <c r="C36" s="75" t="inlineStr">
        <is>
          <t>미국판매법인</t>
        </is>
      </c>
      <c r="D36" s="75" t="inlineStr">
        <is>
          <t>렌터카</t>
        </is>
      </c>
      <c r="E36" s="79" t="n">
        <v>1</v>
      </c>
      <c r="F36" s="79" t="n">
        <v>1850000</v>
      </c>
      <c r="G36" s="79" t="n"/>
      <c r="H36" s="79" t="n"/>
      <c r="I36" s="79" t="n"/>
      <c r="J36" s="79" t="n"/>
      <c r="K36" s="79" t="n"/>
      <c r="L36" s="79" t="n"/>
      <c r="M36" s="79" t="n"/>
      <c r="N36" s="79" t="n"/>
      <c r="O36" s="79" t="n"/>
      <c r="P36" s="79" t="n"/>
      <c r="Q36" s="79" t="n"/>
      <c r="R36" s="79" t="n"/>
      <c r="S36" s="78" t="inlineStr">
        <is>
          <t>3주 장기렌트, USD결제분 원화환산</t>
        </is>
      </c>
      <c r="T36" s="77" t="n">
        <v>0.0006803335649756</v>
      </c>
      <c r="U36" s="77" t="n">
        <v>1.25861709520486</v>
      </c>
    </row>
    <row r="37" ht="14.25" customHeight="1" s="60">
      <c r="B37" s="75" t="inlineStr">
        <is>
          <t>대한민국</t>
        </is>
      </c>
      <c r="C37" s="75" t="inlineStr">
        <is>
          <t>물류센터</t>
        </is>
      </c>
      <c r="D37" s="75" t="inlineStr">
        <is>
          <t>식비</t>
        </is>
      </c>
      <c r="E37" s="79" t="n">
        <v>2</v>
      </c>
      <c r="F37" s="79" t="n"/>
      <c r="G37" s="79" t="n">
        <v>68000</v>
      </c>
      <c r="H37" s="79" t="n">
        <v>68000</v>
      </c>
      <c r="I37" s="79" t="n">
        <v>68000</v>
      </c>
      <c r="J37" s="79" t="n">
        <v>68000</v>
      </c>
      <c r="K37" s="79" t="n">
        <v>68000</v>
      </c>
      <c r="L37" s="79" t="n">
        <v>68000</v>
      </c>
      <c r="M37" s="79" t="n">
        <v>68000</v>
      </c>
      <c r="N37" s="79" t="n">
        <v>68000</v>
      </c>
      <c r="O37" s="79" t="n">
        <v>68000</v>
      </c>
      <c r="P37" s="79" t="n">
        <v>68000</v>
      </c>
      <c r="Q37" s="79" t="n">
        <v>68000</v>
      </c>
      <c r="R37" s="79" t="n">
        <v>68000</v>
      </c>
      <c r="S37" s="76" t="inlineStr">
        <is>
          <t>이게 출장비항목 맞는지 확인필요</t>
        </is>
      </c>
      <c r="T37" s="77" t="inlineStr">
        <is>
          <t>AI 추천</t>
        </is>
      </c>
      <c r="U37" s="77" t="inlineStr">
        <is>
          <t>AI 자동산정</t>
        </is>
      </c>
    </row>
    <row r="38" ht="14.25" customHeight="1" s="60">
      <c r="B38" s="79" t="n"/>
      <c r="C38" s="79" t="n"/>
      <c r="D38" s="75" t="n"/>
      <c r="E38" s="79" t="n"/>
      <c r="F38" s="79" t="n"/>
      <c r="G38" s="79" t="n"/>
      <c r="H38" s="79" t="n"/>
      <c r="I38" s="79" t="n"/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8" t="n"/>
      <c r="T38" s="77" t="n"/>
      <c r="U38" s="77" t="n"/>
    </row>
    <row r="39" ht="14.25" customHeight="1" s="60">
      <c r="B39" s="79" t="n"/>
      <c r="C39" s="79" t="n"/>
      <c r="D39" s="75" t="n"/>
      <c r="E39" s="79" t="n"/>
      <c r="F39" s="79" t="n"/>
      <c r="G39" s="79" t="n"/>
      <c r="H39" s="79" t="n"/>
      <c r="I39" s="79" t="n"/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8" t="n"/>
      <c r="T39" s="77" t="n"/>
      <c r="U39" s="77" t="n"/>
    </row>
    <row r="40" ht="14.25" customHeight="1" s="60">
      <c r="B40" s="79" t="n"/>
      <c r="C40" s="79" t="n"/>
      <c r="D40" s="75" t="n"/>
      <c r="E40" s="79" t="n"/>
      <c r="F40" s="79" t="n"/>
      <c r="G40" s="79" t="n"/>
      <c r="H40" s="79" t="n"/>
      <c r="I40" s="79" t="n"/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8" t="n"/>
      <c r="T40" s="77" t="n"/>
      <c r="U40" s="77" t="n"/>
    </row>
    <row r="41" ht="14.25" customHeight="1" s="60">
      <c r="B41" s="79" t="n"/>
      <c r="C41" s="79" t="n"/>
      <c r="D41" s="75" t="n"/>
      <c r="E41" s="79" t="n"/>
      <c r="F41" s="79" t="n"/>
      <c r="G41" s="79" t="n"/>
      <c r="H41" s="79" t="n"/>
      <c r="I41" s="79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8" t="n"/>
      <c r="T41" s="77" t="n"/>
      <c r="U41" s="77" t="n"/>
    </row>
    <row r="42" ht="14.25" customHeight="1" s="60">
      <c r="B42" s="79" t="n"/>
      <c r="C42" s="79" t="n"/>
      <c r="D42" s="75" t="n"/>
      <c r="E42" s="79" t="n"/>
      <c r="F42" s="79" t="n"/>
      <c r="G42" s="79" t="n"/>
      <c r="H42" s="79" t="n"/>
      <c r="I42" s="79" t="n"/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8" t="n"/>
      <c r="T42" s="77" t="n"/>
      <c r="U42" s="77" t="n"/>
    </row>
    <row r="43" ht="14.25" customHeight="1" s="60">
      <c r="B43" s="79" t="n"/>
      <c r="C43" s="79" t="n"/>
      <c r="D43" s="75" t="n"/>
      <c r="E43" s="79" t="n"/>
      <c r="F43" s="79" t="n"/>
      <c r="G43" s="79" t="n"/>
      <c r="H43" s="79" t="n"/>
      <c r="I43" s="7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8" t="n"/>
      <c r="T43" s="77" t="n"/>
      <c r="U43" s="77" t="n"/>
    </row>
    <row r="44" ht="14.25" customHeight="1" s="60">
      <c r="B44" s="79" t="n"/>
      <c r="C44" s="79" t="n"/>
      <c r="D44" s="75" t="n"/>
      <c r="E44" s="79" t="n"/>
      <c r="F44" s="79" t="n"/>
      <c r="G44" s="79" t="n"/>
      <c r="H44" s="79" t="n"/>
      <c r="I44" s="79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8" t="n"/>
      <c r="T44" s="77" t="n"/>
      <c r="U44" s="77" t="n"/>
    </row>
    <row r="45" ht="14.25" customHeight="1" s="60">
      <c r="B45" s="79" t="n"/>
      <c r="C45" s="79" t="n"/>
      <c r="D45" s="75" t="n"/>
      <c r="E45" s="79" t="n"/>
      <c r="F45" s="79" t="n"/>
      <c r="G45" s="79" t="n"/>
      <c r="H45" s="79" t="n"/>
      <c r="I45" s="79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8" t="n"/>
      <c r="T45" s="77" t="n"/>
      <c r="U45" s="77" t="n"/>
    </row>
    <row r="46" ht="14.25" customHeight="1" s="60">
      <c r="B46" s="79" t="n"/>
      <c r="C46" s="79" t="n"/>
      <c r="D46" s="75" t="n"/>
      <c r="E46" s="79" t="n"/>
      <c r="F46" s="79" t="n"/>
      <c r="G46" s="79" t="n"/>
      <c r="H46" s="79" t="n"/>
      <c r="I46" s="79" t="n"/>
      <c r="J46" s="79" t="n"/>
      <c r="K46" s="79" t="n"/>
      <c r="L46" s="79" t="n"/>
      <c r="M46" s="79" t="n"/>
      <c r="N46" s="79" t="n"/>
      <c r="O46" s="79" t="n"/>
      <c r="P46" s="79" t="n"/>
      <c r="Q46" s="79" t="n"/>
      <c r="R46" s="79" t="n"/>
      <c r="S46" s="78" t="n"/>
      <c r="T46" s="77" t="n"/>
      <c r="U46" s="77" t="n"/>
    </row>
    <row r="47" ht="14.25" customHeight="1" s="60">
      <c r="B47" s="79" t="n"/>
      <c r="C47" s="79" t="n"/>
      <c r="D47" s="75" t="n"/>
      <c r="E47" s="79" t="n"/>
      <c r="F47" s="79" t="n"/>
      <c r="G47" s="79" t="n"/>
      <c r="H47" s="79" t="n"/>
      <c r="I47" s="79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8" t="n"/>
      <c r="T47" s="77" t="n"/>
      <c r="U47" s="77" t="n"/>
    </row>
    <row r="48" ht="14.25" customHeight="1" s="60">
      <c r="B48" s="79" t="n"/>
      <c r="C48" s="79" t="n"/>
      <c r="D48" s="75" t="n"/>
      <c r="E48" s="79" t="n"/>
      <c r="F48" s="79" t="n"/>
      <c r="G48" s="79" t="n"/>
      <c r="H48" s="79" t="n"/>
      <c r="I48" s="79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8" t="n"/>
      <c r="T48" s="77" t="n"/>
      <c r="U48" s="77" t="n"/>
    </row>
    <row r="49" ht="14.25" customHeight="1" s="60">
      <c r="B49" s="79" t="n"/>
      <c r="C49" s="79" t="n"/>
      <c r="D49" s="75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8" t="n"/>
      <c r="T49" s="77" t="n"/>
      <c r="U49" s="77" t="n"/>
    </row>
    <row r="50" ht="14.25" customHeight="1" s="60">
      <c r="B50" s="79" t="n"/>
      <c r="C50" s="79" t="n"/>
      <c r="D50" s="75" t="n"/>
      <c r="E50" s="79" t="n"/>
      <c r="F50" s="79" t="n"/>
      <c r="G50" s="79" t="n"/>
      <c r="H50" s="79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8" t="n"/>
      <c r="T50" s="77" t="n"/>
      <c r="U50" s="77" t="n"/>
    </row>
    <row r="51" ht="14.25" customHeight="1" s="60">
      <c r="B51" s="79" t="n"/>
      <c r="C51" s="79" t="n"/>
      <c r="D51" s="75" t="n"/>
      <c r="E51" s="79" t="n"/>
      <c r="F51" s="79" t="n"/>
      <c r="G51" s="79" t="n"/>
      <c r="H51" s="79" t="n"/>
      <c r="I51" s="79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8" t="n"/>
      <c r="T51" s="77" t="n"/>
      <c r="U51" s="77" t="n"/>
    </row>
    <row r="52" ht="14.25" customHeight="1" s="60">
      <c r="B52" s="79" t="n"/>
      <c r="C52" s="79" t="n"/>
      <c r="D52" s="75" t="n"/>
      <c r="E52" s="79" t="n"/>
      <c r="F52" s="79" t="n"/>
      <c r="G52" s="79" t="n"/>
      <c r="H52" s="79" t="n"/>
      <c r="I52" s="79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8" t="n"/>
      <c r="T52" s="77" t="n"/>
      <c r="U52" s="77" t="n"/>
    </row>
    <row r="53" ht="14.25" customHeight="1" s="60">
      <c r="B53" s="79" t="n"/>
      <c r="C53" s="79" t="n"/>
      <c r="D53" s="75" t="n"/>
      <c r="E53" s="79" t="n"/>
      <c r="F53" s="79" t="n"/>
      <c r="G53" s="79" t="n"/>
      <c r="H53" s="79" t="n"/>
      <c r="I53" s="79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8" t="n"/>
      <c r="T53" s="77" t="n"/>
      <c r="U53" s="77" t="n"/>
    </row>
    <row r="54" ht="14.25" customHeight="1" s="60">
      <c r="B54" s="79" t="n"/>
      <c r="C54" s="79" t="n"/>
      <c r="D54" s="75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8" t="n"/>
      <c r="T54" s="77" t="n"/>
      <c r="U54" s="77" t="n"/>
    </row>
    <row r="55" ht="14.25" customHeight="1" s="60">
      <c r="B55" s="79" t="n"/>
      <c r="C55" s="79" t="n"/>
      <c r="D55" s="75" t="n"/>
      <c r="E55" s="79" t="n"/>
      <c r="F55" s="79" t="n"/>
      <c r="G55" s="79" t="n"/>
      <c r="H55" s="79" t="n"/>
      <c r="I55" s="79" t="n"/>
      <c r="J55" s="79" t="n"/>
      <c r="K55" s="79" t="n"/>
      <c r="L55" s="79" t="n"/>
      <c r="M55" s="79" t="n"/>
      <c r="N55" s="79" t="n"/>
      <c r="O55" s="79" t="n"/>
      <c r="P55" s="79" t="n"/>
      <c r="Q55" s="79" t="n"/>
      <c r="R55" s="79" t="n"/>
      <c r="S55" s="78" t="n"/>
      <c r="T55" s="77" t="n"/>
      <c r="U55" s="77" t="n"/>
    </row>
  </sheetData>
  <mergeCells count="6">
    <mergeCell ref="U18:U19"/>
    <mergeCell ref="S18:S19"/>
    <mergeCell ref="B18:B19"/>
    <mergeCell ref="C18:C19"/>
    <mergeCell ref="G18:R18"/>
    <mergeCell ref="T18:T19"/>
  </mergeCells>
  <dataValidations count="1">
    <dataValidation sqref="D21:D220" showDropDown="0" showInputMessage="0" showErrorMessage="0" allowBlank="0" type="list" errorStyle="stop" operator="between">
      <formula1>"항공,철도,택시,렌터카,숙박,기타"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X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59" min="2" max="2"/>
    <col width="16" customWidth="1" style="59" min="3" max="3"/>
    <col width="18" customWidth="1" style="59" min="4" max="4"/>
    <col width="10" customWidth="1" style="59" min="5" max="5"/>
    <col width="22" customWidth="1" style="59" min="6" max="7"/>
    <col width="18" customWidth="1" style="59" min="8" max="8"/>
    <col width="16" customWidth="1" style="59" min="9" max="9"/>
    <col width="8" customWidth="1" style="59" min="10" max="21"/>
    <col width="18" customWidth="1" style="59" min="22" max="23"/>
    <col width="16" customWidth="1" style="59" min="24" max="24"/>
  </cols>
  <sheetData>
    <row r="1"/>
    <row r="2" ht="20.25" customHeight="1" s="60">
      <c r="B2" s="61" t="inlineStr">
        <is>
          <t>C7. 임직원 통근</t>
        </is>
      </c>
    </row>
    <row r="3"/>
    <row r="4" ht="14.25" customHeight="1" s="60">
      <c r="B4" s="62" t="inlineStr">
        <is>
          <t>카테고리 정의</t>
        </is>
      </c>
    </row>
    <row r="5" ht="14.25" customHeight="1" s="60">
      <c r="B5" s="63" t="inlineStr">
        <is>
          <t>- 보고년도에 직원이 출퇴근 과정에서 발생하는 온실가스 배출량</t>
        </is>
      </c>
    </row>
    <row r="6" ht="14.25" customHeight="1" s="60">
      <c r="B6" s="63" t="inlineStr">
        <is>
          <t>- 보유하지 않거나 운영하지 않는 교통수단을 이용한 내역만 해당</t>
        </is>
      </c>
    </row>
    <row r="7"/>
    <row r="8"/>
    <row r="9" ht="14.25" customHeight="1" s="60">
      <c r="B9" s="62" t="inlineStr">
        <is>
          <t>작성 기준</t>
        </is>
      </c>
    </row>
    <row r="10" ht="14.25" customHeight="1" s="60">
      <c r="B10" s="63" t="inlineStr">
        <is>
          <t>1) 온실가스 산정 식: Σ(왕복 이동거리 × 연간 근무일수 × 교통수단별 배출계수 × 인원수)</t>
        </is>
      </c>
    </row>
    <row r="11" ht="14.25" customHeight="1" s="60">
      <c r="B11" s="63" t="inlineStr">
        <is>
          <t xml:space="preserve"> - 온실가스 배출계수는 UK defra 평가계수를 활용 (*UK Government GHG Conversion Factor )</t>
        </is>
      </c>
    </row>
    <row r="12" ht="14.25" customHeight="1" s="60">
      <c r="B12" s="63" t="inlineStr">
        <is>
          <t>2) 편도거리나 출도착지 둘 중 하나는 반드시 작성(노란 박스)</t>
        </is>
      </c>
    </row>
    <row r="13" ht="14.25" customHeight="1" s="60">
      <c r="B13" s="63" t="inlineStr">
        <is>
          <t xml:space="preserve"> - 출발지는 거주지 또는 주요 출발지, 도착지는 회사 주소로 작성 </t>
        </is>
      </c>
    </row>
    <row r="14" ht="14.25" customHeight="1" s="60">
      <c r="B14" s="63" t="inlineStr">
        <is>
          <t>3) 근무일수는 연도별 실제 근무일수(365일 - 공제일 수)로 집계 : 공제일 (토/일요일, 공휴일, 대체공휴일, 회사지정휴일 등) 평균적으로 245일 활용</t>
        </is>
      </c>
    </row>
    <row r="15"/>
    <row r="16"/>
    <row r="17" ht="14.25" customHeight="1" s="60">
      <c r="B17" s="64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8" ht="14.25" customHeight="1" s="60">
      <c r="B18" s="64" t="inlineStr">
        <is>
          <t xml:space="preserve">※ 주황색으로 표시된 필수 입력칸은 반드시 작성해야 합니다. </t>
        </is>
      </c>
    </row>
    <row r="19" ht="15" customHeight="1" s="60">
      <c r="B19" s="65" t="inlineStr">
        <is>
          <t>*국가</t>
        </is>
      </c>
      <c r="C19" s="65" t="inlineStr">
        <is>
          <t>*사업장</t>
        </is>
      </c>
      <c r="D19" s="65" t="inlineStr">
        <is>
          <t>*교통수단</t>
        </is>
      </c>
      <c r="E19" s="65" t="inlineStr">
        <is>
          <t>*인원수</t>
        </is>
      </c>
      <c r="F19" s="67" t="inlineStr">
        <is>
          <t>출도착지</t>
        </is>
      </c>
      <c r="G19" s="69" t="n"/>
      <c r="H19" s="66" t="inlineStr">
        <is>
          <t>편도거리(km)(선택)</t>
        </is>
      </c>
      <c r="I19" s="67" t="inlineStr">
        <is>
          <t>연간 입력</t>
        </is>
      </c>
      <c r="J19" s="67" t="inlineStr">
        <is>
          <t>월별 근무일수</t>
        </is>
      </c>
      <c r="K19" s="68" t="n"/>
      <c r="L19" s="68" t="n"/>
      <c r="M19" s="68" t="n"/>
      <c r="N19" s="68" t="n"/>
      <c r="O19" s="68" t="n"/>
      <c r="P19" s="68" t="n"/>
      <c r="Q19" s="68" t="n"/>
      <c r="R19" s="68" t="n"/>
      <c r="S19" s="68" t="n"/>
      <c r="T19" s="68" t="n"/>
      <c r="U19" s="69" t="n"/>
      <c r="V19" s="66" t="inlineStr">
        <is>
          <t>비고(선택)</t>
        </is>
      </c>
      <c r="W19" s="66" t="inlineStr">
        <is>
          <t>배출계수(tCO2e/km)</t>
        </is>
      </c>
      <c r="X19" s="66" t="inlineStr">
        <is>
          <t>배출량(tCO2e)</t>
        </is>
      </c>
    </row>
    <row r="20" ht="16.5" customHeight="1" s="60">
      <c r="B20" s="70" t="n"/>
      <c r="C20" s="70" t="n"/>
      <c r="D20" s="70" t="n"/>
      <c r="E20" s="70" t="n"/>
      <c r="F20" s="66" t="inlineStr">
        <is>
          <t>출발지</t>
        </is>
      </c>
      <c r="G20" s="66" t="inlineStr">
        <is>
          <t>도착지</t>
        </is>
      </c>
      <c r="H20" s="70" t="n"/>
      <c r="I20" s="66" t="inlineStr">
        <is>
          <t>연간근무일수</t>
        </is>
      </c>
      <c r="J20" s="65" t="inlineStr">
        <is>
          <t>1월</t>
        </is>
      </c>
      <c r="K20" s="65" t="inlineStr">
        <is>
          <t>2월</t>
        </is>
      </c>
      <c r="L20" s="65" t="inlineStr">
        <is>
          <t>3월</t>
        </is>
      </c>
      <c r="M20" s="65" t="inlineStr">
        <is>
          <t>4월</t>
        </is>
      </c>
      <c r="N20" s="65" t="inlineStr">
        <is>
          <t>5월</t>
        </is>
      </c>
      <c r="O20" s="65" t="inlineStr">
        <is>
          <t>6월</t>
        </is>
      </c>
      <c r="P20" s="65" t="inlineStr">
        <is>
          <t>7월</t>
        </is>
      </c>
      <c r="Q20" s="65" t="inlineStr">
        <is>
          <t>8월</t>
        </is>
      </c>
      <c r="R20" s="65" t="inlineStr">
        <is>
          <t>9월</t>
        </is>
      </c>
      <c r="S20" s="65" t="inlineStr">
        <is>
          <t>10월</t>
        </is>
      </c>
      <c r="T20" s="65" t="inlineStr">
        <is>
          <t>11월</t>
        </is>
      </c>
      <c r="U20" s="65" t="inlineStr">
        <is>
          <t>12월</t>
        </is>
      </c>
      <c r="V20" s="70" t="n"/>
      <c r="W20" s="70" t="n"/>
      <c r="X20" s="70" t="n"/>
    </row>
    <row r="21" ht="32.25" customHeight="1" s="60">
      <c r="B21" s="71" t="inlineStr">
        <is>
          <t>대한민국</t>
        </is>
      </c>
      <c r="C21" s="71" t="inlineStr">
        <is>
          <t>본사</t>
        </is>
      </c>
      <c r="D21" s="71" t="inlineStr">
        <is>
          <t>지하철</t>
        </is>
      </c>
      <c r="E21" s="71" t="n">
        <v>35</v>
      </c>
      <c r="F21" s="90" t="inlineStr">
        <is>
          <t>서울 강남구</t>
        </is>
      </c>
      <c r="G21" s="90" t="inlineStr">
        <is>
          <t>서울 본사</t>
        </is>
      </c>
      <c r="H21" s="90" t="n">
        <v>12</v>
      </c>
      <c r="I21" s="71" t="n">
        <v>245</v>
      </c>
      <c r="J21" s="71" t="n"/>
      <c r="K21" s="71" t="n"/>
      <c r="L21" s="71" t="n"/>
      <c r="M21" s="71" t="n"/>
      <c r="N21" s="71" t="n"/>
      <c r="O21" s="71" t="n"/>
      <c r="P21" s="71" t="n"/>
      <c r="Q21" s="71" t="n"/>
      <c r="R21" s="71" t="n"/>
      <c r="S21" s="71" t="n"/>
      <c r="T21" s="71" t="n"/>
      <c r="U21" s="71" t="n"/>
      <c r="V21" s="73" t="inlineStr">
        <is>
          <t>수도권 임직원 평균 통근</t>
        </is>
      </c>
      <c r="W21" s="74" t="n">
        <v>2.78e-05</v>
      </c>
      <c r="X21" s="74" t="n">
        <v>5.72124</v>
      </c>
    </row>
    <row r="22" ht="32.25" customHeight="1" s="60">
      <c r="B22" s="75" t="inlineStr">
        <is>
          <t>대한민국</t>
        </is>
      </c>
      <c r="C22" s="75" t="inlineStr">
        <is>
          <t>평택공장</t>
        </is>
      </c>
      <c r="D22" s="75" t="inlineStr">
        <is>
          <t>자가용(휘발유)</t>
        </is>
      </c>
      <c r="E22" s="75" t="n">
        <v>48</v>
      </c>
      <c r="F22" s="91" t="inlineStr">
        <is>
          <t>수원시</t>
        </is>
      </c>
      <c r="G22" s="91" t="inlineStr">
        <is>
          <t>평택공장</t>
        </is>
      </c>
      <c r="H22" s="91" t="n">
        <v>42</v>
      </c>
      <c r="I22" s="75" t="n"/>
      <c r="J22" s="75" t="n">
        <v>20</v>
      </c>
      <c r="K22" s="75" t="n">
        <v>20</v>
      </c>
      <c r="L22" s="75" t="n">
        <v>21</v>
      </c>
      <c r="M22" s="75" t="n">
        <v>22</v>
      </c>
      <c r="N22" s="75" t="n">
        <v>20</v>
      </c>
      <c r="O22" s="75" t="n">
        <v>20</v>
      </c>
      <c r="P22" s="75" t="n">
        <v>23</v>
      </c>
      <c r="Q22" s="75" t="n">
        <v>21</v>
      </c>
      <c r="R22" s="75" t="n">
        <v>20</v>
      </c>
      <c r="S22" s="75" t="n">
        <v>22</v>
      </c>
      <c r="T22" s="75" t="n">
        <v>21</v>
      </c>
      <c r="U22" s="75" t="n">
        <v>20</v>
      </c>
      <c r="V22" s="76" t="inlineStr">
        <is>
          <t>자가용 통근 직원 설문 기준</t>
        </is>
      </c>
      <c r="W22" s="77" t="n">
        <v>0.00017304</v>
      </c>
      <c r="X22" s="77" t="n">
        <v>174.42432</v>
      </c>
    </row>
    <row r="23" ht="16.5" customHeight="1" s="60">
      <c r="B23" s="75" t="inlineStr">
        <is>
          <t>대한민국</t>
        </is>
      </c>
      <c r="C23" s="75" t="inlineStr">
        <is>
          <t>부산지사</t>
        </is>
      </c>
      <c r="D23" s="75" t="inlineStr">
        <is>
          <t>버스</t>
        </is>
      </c>
      <c r="E23" s="75" t="n">
        <v>18</v>
      </c>
      <c r="F23" s="91" t="inlineStr">
        <is>
          <t>해운대구</t>
        </is>
      </c>
      <c r="G23" s="91" t="inlineStr">
        <is>
          <t>부산지사</t>
        </is>
      </c>
      <c r="H23" s="91" t="n"/>
      <c r="I23" s="75" t="n">
        <v>245</v>
      </c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6" t="inlineStr">
        <is>
          <t>대중교통 통근</t>
        </is>
      </c>
      <c r="W23" s="77" t="n">
        <v>0.00010385</v>
      </c>
      <c r="X23" s="77" t="n">
        <v>9.867406228451044</v>
      </c>
    </row>
    <row r="24" ht="16.5" customHeight="1" s="60">
      <c r="B24" s="75" t="inlineStr">
        <is>
          <t>베트남</t>
        </is>
      </c>
      <c r="C24" s="75" t="inlineStr">
        <is>
          <t>베트남공장</t>
        </is>
      </c>
      <c r="D24" s="75" t="inlineStr">
        <is>
          <t>통근버스</t>
        </is>
      </c>
      <c r="E24" s="75" t="n">
        <v>120</v>
      </c>
      <c r="F24" s="91" t="inlineStr">
        <is>
          <t>근로자 기숙사</t>
        </is>
      </c>
      <c r="G24" s="91" t="inlineStr">
        <is>
          <t>베트남공장</t>
        </is>
      </c>
      <c r="H24" s="91" t="n">
        <v>18</v>
      </c>
      <c r="I24" s="75" t="n"/>
      <c r="J24" s="75" t="n">
        <v>22</v>
      </c>
      <c r="K24" s="75" t="n">
        <v>22</v>
      </c>
      <c r="L24" s="75" t="n">
        <v>22</v>
      </c>
      <c r="M24" s="75" t="n">
        <v>22</v>
      </c>
      <c r="N24" s="75" t="n">
        <v>22</v>
      </c>
      <c r="O24" s="75" t="n">
        <v>22</v>
      </c>
      <c r="P24" s="75" t="n">
        <v>22</v>
      </c>
      <c r="Q24" s="75" t="n">
        <v>22</v>
      </c>
      <c r="R24" s="75" t="n">
        <v>22</v>
      </c>
      <c r="S24" s="75" t="n">
        <v>22</v>
      </c>
      <c r="T24" s="75" t="n">
        <v>22</v>
      </c>
      <c r="U24" s="75" t="n">
        <v>22</v>
      </c>
      <c r="V24" s="76" t="inlineStr">
        <is>
          <t>현지 통근버스 운영</t>
        </is>
      </c>
      <c r="W24" s="77" t="n">
        <v>0.00010385</v>
      </c>
      <c r="X24" s="77" t="n">
        <v>118.438848</v>
      </c>
    </row>
    <row r="25" ht="16.5" customHeight="1" s="60">
      <c r="B25" s="75" t="inlineStr">
        <is>
          <t>대한민국</t>
        </is>
      </c>
      <c r="C25" s="75" t="inlineStr">
        <is>
          <t>대구공장</t>
        </is>
      </c>
      <c r="D25" s="75" t="inlineStr">
        <is>
          <t>자가용(경유)</t>
        </is>
      </c>
      <c r="E25" s="79" t="n">
        <v>30</v>
      </c>
      <c r="F25" s="91" t="inlineStr">
        <is>
          <t>대구시 달서구</t>
        </is>
      </c>
      <c r="G25" s="91" t="inlineStr">
        <is>
          <t>대구공장</t>
        </is>
      </c>
      <c r="H25" s="92" t="n">
        <v>15</v>
      </c>
      <c r="I25" s="79" t="n">
        <v>245</v>
      </c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6" t="inlineStr">
        <is>
          <t>자가용 통근 직원</t>
        </is>
      </c>
      <c r="W25" s="77" t="n">
        <v>0.00017304</v>
      </c>
      <c r="X25" s="77" t="n">
        <v>38.15532</v>
      </c>
    </row>
    <row r="26" ht="16.5" customHeight="1" s="60">
      <c r="B26" s="75" t="inlineStr">
        <is>
          <t>대한민국</t>
        </is>
      </c>
      <c r="C26" s="75" t="inlineStr">
        <is>
          <t>본사</t>
        </is>
      </c>
      <c r="D26" s="75" t="inlineStr">
        <is>
          <t>버스</t>
        </is>
      </c>
      <c r="E26" s="79" t="n">
        <v>60</v>
      </c>
      <c r="F26" s="91" t="inlineStr">
        <is>
          <t>서울 마포구</t>
        </is>
      </c>
      <c r="G26" s="91" t="inlineStr">
        <is>
          <t>서울 본사</t>
        </is>
      </c>
      <c r="H26" s="92" t="n">
        <v>8</v>
      </c>
      <c r="I26" s="79" t="n">
        <v>245</v>
      </c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6" t="inlineStr">
        <is>
          <t>본사 대중교통 통근(버스)</t>
        </is>
      </c>
      <c r="W26" s="77" t="n">
        <v>0.00010385</v>
      </c>
      <c r="X26" s="77" t="n">
        <v>24.42552</v>
      </c>
    </row>
    <row r="27" ht="16.5" customHeight="1" s="60">
      <c r="B27" s="75" t="inlineStr">
        <is>
          <t>중국</t>
        </is>
      </c>
      <c r="C27" s="75" t="inlineStr">
        <is>
          <t>상하이공장</t>
        </is>
      </c>
      <c r="D27" s="75" t="inlineStr">
        <is>
          <t>통근버스</t>
        </is>
      </c>
      <c r="E27" s="79" t="n">
        <v>150</v>
      </c>
      <c r="F27" s="91" t="inlineStr">
        <is>
          <t>근로자 기숙사</t>
        </is>
      </c>
      <c r="G27" s="91" t="inlineStr">
        <is>
          <t>상하이공장</t>
        </is>
      </c>
      <c r="H27" s="92" t="n">
        <v>12</v>
      </c>
      <c r="I27" s="79" t="n"/>
      <c r="J27" s="79" t="n">
        <v>22</v>
      </c>
      <c r="K27" s="79" t="n">
        <v>22</v>
      </c>
      <c r="L27" s="79" t="n">
        <v>22</v>
      </c>
      <c r="M27" s="79" t="n">
        <v>22</v>
      </c>
      <c r="N27" s="79" t="n">
        <v>22</v>
      </c>
      <c r="O27" s="79" t="n">
        <v>22</v>
      </c>
      <c r="P27" s="79" t="n">
        <v>22</v>
      </c>
      <c r="Q27" s="79" t="n">
        <v>22</v>
      </c>
      <c r="R27" s="79" t="n">
        <v>22</v>
      </c>
      <c r="S27" s="79" t="n">
        <v>22</v>
      </c>
      <c r="T27" s="79" t="n">
        <v>22</v>
      </c>
      <c r="U27" s="79" t="n">
        <v>22</v>
      </c>
      <c r="V27" s="76" t="inlineStr">
        <is>
          <t>현지 통근버스</t>
        </is>
      </c>
      <c r="W27" s="77" t="n">
        <v>0.00010385</v>
      </c>
      <c r="X27" s="77" t="n">
        <v>98.69904</v>
      </c>
    </row>
    <row r="28" ht="16.5" customHeight="1" s="60">
      <c r="B28" s="75" t="inlineStr">
        <is>
          <t>대한민국</t>
        </is>
      </c>
      <c r="C28" s="75" t="inlineStr">
        <is>
          <t>부산지사</t>
        </is>
      </c>
      <c r="D28" s="75" t="inlineStr">
        <is>
          <t>자전거</t>
        </is>
      </c>
      <c r="E28" s="79" t="n">
        <v>8</v>
      </c>
      <c r="F28" s="91" t="inlineStr">
        <is>
          <t>해운대구</t>
        </is>
      </c>
      <c r="G28" s="91" t="inlineStr">
        <is>
          <t>부산지사</t>
        </is>
      </c>
      <c r="H28" s="92" t="n">
        <v>4</v>
      </c>
      <c r="I28" s="79" t="n">
        <v>200</v>
      </c>
      <c r="J28" s="79" t="n"/>
      <c r="K28" s="79" t="n"/>
      <c r="L28" s="79" t="n"/>
      <c r="M28" s="79" t="n"/>
      <c r="N28" s="79" t="n"/>
      <c r="O28" s="79" t="n"/>
      <c r="P28" s="79" t="n"/>
      <c r="Q28" s="79" t="n"/>
      <c r="R28" s="79" t="n"/>
      <c r="S28" s="79" t="n"/>
      <c r="T28" s="79" t="n"/>
      <c r="U28" s="79" t="n"/>
      <c r="V28" s="76" t="inlineStr">
        <is>
          <t>친환경 통근 직원</t>
        </is>
      </c>
      <c r="W28" s="77" t="n">
        <v>0</v>
      </c>
      <c r="X28" s="77" t="n">
        <v>0</v>
      </c>
    </row>
    <row r="29" ht="16.5" customHeight="1" s="60">
      <c r="B29" s="75" t="inlineStr">
        <is>
          <t>미국</t>
        </is>
      </c>
      <c r="C29" s="75" t="inlineStr">
        <is>
          <t>미국판매법인</t>
        </is>
      </c>
      <c r="D29" s="75" t="inlineStr">
        <is>
          <t>자가용(휘발유)</t>
        </is>
      </c>
      <c r="E29" s="79" t="n">
        <v>22</v>
      </c>
      <c r="F29" s="91" t="inlineStr">
        <is>
          <t>산타모니카</t>
        </is>
      </c>
      <c r="G29" s="92" t="inlineStr">
        <is>
          <t>LA 매장</t>
        </is>
      </c>
      <c r="H29" s="92" t="n">
        <v>25</v>
      </c>
      <c r="I29" s="79" t="n">
        <v>240</v>
      </c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6" t="inlineStr">
        <is>
          <t>자가용 통근</t>
        </is>
      </c>
      <c r="W29" s="77" t="n">
        <v>0.00017304</v>
      </c>
      <c r="X29" s="77" t="n">
        <v>45.68256</v>
      </c>
    </row>
    <row r="30" ht="16.5" customHeight="1" s="60">
      <c r="B30" s="75" t="inlineStr">
        <is>
          <t>대한민국</t>
        </is>
      </c>
      <c r="C30" s="75" t="inlineStr">
        <is>
          <t>물류센터</t>
        </is>
      </c>
      <c r="D30" s="75" t="inlineStr">
        <is>
          <t>지하철</t>
        </is>
      </c>
      <c r="E30" s="79" t="n">
        <v>40</v>
      </c>
      <c r="F30" s="91" t="inlineStr">
        <is>
          <t>인천 서구</t>
        </is>
      </c>
      <c r="G30" s="91" t="inlineStr">
        <is>
          <t>물류센터</t>
        </is>
      </c>
      <c r="H30" s="92" t="n"/>
      <c r="I30" s="79" t="n">
        <v>245</v>
      </c>
      <c r="J30" s="79" t="n"/>
      <c r="K30" s="79" t="n"/>
      <c r="L30" s="79" t="n"/>
      <c r="M30" s="79" t="n"/>
      <c r="N30" s="79" t="n"/>
      <c r="O30" s="79" t="n"/>
      <c r="P30" s="79" t="n"/>
      <c r="Q30" s="79" t="n"/>
      <c r="R30" s="79" t="n"/>
      <c r="S30" s="79" t="n"/>
      <c r="T30" s="79" t="n"/>
      <c r="U30" s="79" t="n"/>
      <c r="V30" s="76" t="inlineStr">
        <is>
          <t>지하철 통근</t>
        </is>
      </c>
      <c r="W30" s="77" t="n">
        <v>2.78e-05</v>
      </c>
      <c r="X30" s="77" t="n">
        <v>24.76017239220542</v>
      </c>
    </row>
    <row r="31" ht="16.5" customHeight="1" s="60">
      <c r="B31" s="75" t="inlineStr">
        <is>
          <t>베트남</t>
        </is>
      </c>
      <c r="C31" s="75" t="inlineStr">
        <is>
          <t>베트남공장</t>
        </is>
      </c>
      <c r="D31" s="75" t="inlineStr">
        <is>
          <t>오토바이</t>
        </is>
      </c>
      <c r="E31" s="79" t="n">
        <v>200</v>
      </c>
      <c r="F31" s="91" t="inlineStr">
        <is>
          <t>인근 마을</t>
        </is>
      </c>
      <c r="G31" s="91" t="inlineStr">
        <is>
          <t>베트남공장</t>
        </is>
      </c>
      <c r="H31" s="92" t="n">
        <v>6</v>
      </c>
      <c r="I31" s="79" t="n">
        <v>300</v>
      </c>
      <c r="J31" s="79" t="n"/>
      <c r="K31" s="79" t="n"/>
      <c r="L31" s="79" t="n"/>
      <c r="M31" s="79" t="n"/>
      <c r="N31" s="79" t="n"/>
      <c r="O31" s="79" t="n"/>
      <c r="P31" s="79" t="n"/>
      <c r="Q31" s="79" t="n"/>
      <c r="R31" s="79" t="n"/>
      <c r="S31" s="79" t="n"/>
      <c r="T31" s="79" t="n"/>
      <c r="U31" s="79" t="n"/>
      <c r="V31" s="76" t="inlineStr">
        <is>
          <t>현지 오토바이 통근</t>
        </is>
      </c>
      <c r="W31" s="77" t="n">
        <v>0.00011367</v>
      </c>
      <c r="X31" s="77" t="n">
        <v>81.8424</v>
      </c>
    </row>
    <row r="32" ht="16.5" customHeight="1" s="60">
      <c r="B32" s="75" t="inlineStr">
        <is>
          <t>대한민국</t>
        </is>
      </c>
      <c r="C32" s="75" t="inlineStr">
        <is>
          <t>평택공장</t>
        </is>
      </c>
      <c r="D32" s="75" t="inlineStr">
        <is>
          <t>자가용(휘발유)</t>
        </is>
      </c>
      <c r="E32" s="79" t="n">
        <v>55</v>
      </c>
      <c r="F32" s="91" t="inlineStr">
        <is>
          <t>평택시</t>
        </is>
      </c>
      <c r="G32" s="91" t="inlineStr">
        <is>
          <t>평택공장</t>
        </is>
      </c>
      <c r="H32" s="92" t="n">
        <v>20</v>
      </c>
      <c r="I32" s="79" t="n"/>
      <c r="J32" s="79" t="n">
        <v>20</v>
      </c>
      <c r="K32" s="79" t="n">
        <v>20</v>
      </c>
      <c r="L32" s="79" t="n">
        <v>20</v>
      </c>
      <c r="M32" s="79" t="n">
        <v>20</v>
      </c>
      <c r="N32" s="79" t="n">
        <v>20</v>
      </c>
      <c r="O32" s="79" t="n">
        <v>20</v>
      </c>
      <c r="P32" s="79" t="n">
        <v>20</v>
      </c>
      <c r="Q32" s="79" t="n">
        <v>20</v>
      </c>
      <c r="R32" s="79" t="n">
        <v>20</v>
      </c>
      <c r="S32" s="79" t="n">
        <v>20</v>
      </c>
      <c r="T32" s="79" t="n">
        <v>20</v>
      </c>
      <c r="U32" s="79" t="n">
        <v>20</v>
      </c>
      <c r="V32" s="76" t="inlineStr">
        <is>
          <t>물류센터 자가용 통근 직원</t>
        </is>
      </c>
      <c r="W32" s="77" t="n">
        <v>0.00017304</v>
      </c>
      <c r="X32" s="77" t="n">
        <v>91.36511999999999</v>
      </c>
    </row>
    <row r="33" ht="14.25" customHeight="1" s="60">
      <c r="B33" s="75" t="inlineStr">
        <is>
          <t>대한민국</t>
        </is>
      </c>
      <c r="C33" s="75" t="inlineStr">
        <is>
          <t>대구공장</t>
        </is>
      </c>
      <c r="D33" s="75" t="inlineStr">
        <is>
          <t>자가용(경유)</t>
        </is>
      </c>
      <c r="E33" s="79" t="n">
        <v>28</v>
      </c>
      <c r="F33" s="91" t="inlineStr">
        <is>
          <t>대구 달서구 일대</t>
        </is>
      </c>
      <c r="G33" s="91" t="inlineStr">
        <is>
          <t>대구공장</t>
        </is>
      </c>
      <c r="H33" s="92" t="n">
        <v>14</v>
      </c>
      <c r="I33" s="79" t="n">
        <v>243</v>
      </c>
      <c r="J33" s="79" t="n"/>
      <c r="K33" s="79" t="n"/>
      <c r="L33" s="79" t="n"/>
      <c r="M33" s="79" t="n"/>
      <c r="N33" s="79" t="n"/>
      <c r="O33" s="79" t="n"/>
      <c r="P33" s="79" t="n"/>
      <c r="Q33" s="79" t="n"/>
      <c r="R33" s="79" t="n"/>
      <c r="S33" s="79" t="n"/>
      <c r="T33" s="79" t="n"/>
      <c r="U33" s="79" t="n"/>
      <c r="V33" s="76" t="inlineStr">
        <is>
          <t>정확한 인원 파악안돼서 대략치</t>
        </is>
      </c>
      <c r="W33" s="77" t="n">
        <v>0.00017304</v>
      </c>
      <c r="X33" s="77" t="n">
        <v>32.96619648</v>
      </c>
    </row>
    <row r="34" ht="14.25" customHeight="1" s="60">
      <c r="B34" s="75" t="inlineStr">
        <is>
          <t>대한민국</t>
        </is>
      </c>
      <c r="C34" s="75" t="inlineStr">
        <is>
          <t>본사</t>
        </is>
      </c>
      <c r="D34" s="75" t="inlineStr">
        <is>
          <t>버스</t>
        </is>
      </c>
      <c r="E34" s="79" t="n">
        <v>55</v>
      </c>
      <c r="F34" s="91" t="inlineStr">
        <is>
          <t>마포/서대문 일대</t>
        </is>
      </c>
      <c r="G34" s="91" t="inlineStr">
        <is>
          <t>본사</t>
        </is>
      </c>
      <c r="H34" s="92" t="n">
        <v>9</v>
      </c>
      <c r="I34" s="79" t="n">
        <v>245</v>
      </c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9" t="n"/>
      <c r="T34" s="79" t="n"/>
      <c r="U34" s="79" t="n"/>
      <c r="V34" s="78" t="n"/>
      <c r="W34" s="77" t="n">
        <v>0.00010385</v>
      </c>
      <c r="X34" s="77" t="n">
        <v>25.1888175</v>
      </c>
    </row>
    <row r="35" ht="14.25" customHeight="1" s="60">
      <c r="B35" s="75" t="inlineStr">
        <is>
          <t>중국</t>
        </is>
      </c>
      <c r="C35" s="75" t="inlineStr">
        <is>
          <t>상하이공장</t>
        </is>
      </c>
      <c r="D35" s="75" t="inlineStr">
        <is>
          <t>통근버스</t>
        </is>
      </c>
      <c r="E35" s="79" t="n">
        <v>142</v>
      </c>
      <c r="F35" s="91" t="inlineStr">
        <is>
          <t>기숙사</t>
        </is>
      </c>
      <c r="G35" s="91" t="inlineStr">
        <is>
          <t>상하이공장</t>
        </is>
      </c>
      <c r="H35" s="92" t="n">
        <v>11</v>
      </c>
      <c r="I35" s="79" t="n"/>
      <c r="J35" s="79" t="n">
        <v>21</v>
      </c>
      <c r="K35" s="79" t="n">
        <v>21</v>
      </c>
      <c r="L35" s="79" t="n">
        <v>21</v>
      </c>
      <c r="M35" s="79" t="n">
        <v>21</v>
      </c>
      <c r="N35" s="79" t="n">
        <v>21</v>
      </c>
      <c r="O35" s="79" t="n">
        <v>21</v>
      </c>
      <c r="P35" s="79" t="n">
        <v>21</v>
      </c>
      <c r="Q35" s="79" t="n">
        <v>21</v>
      </c>
      <c r="R35" s="79" t="n">
        <v>21</v>
      </c>
      <c r="S35" s="79" t="n">
        <v>21</v>
      </c>
      <c r="T35" s="79" t="n">
        <v>21</v>
      </c>
      <c r="U35" s="79" t="n">
        <v>21</v>
      </c>
      <c r="V35" s="76" t="inlineStr">
        <is>
          <t>결근/휴가 미반영 단순연환산</t>
        </is>
      </c>
      <c r="W35" s="77" t="n">
        <v>0.00010385</v>
      </c>
      <c r="X35" s="77" t="n">
        <v>81.75570479999999</v>
      </c>
    </row>
    <row r="36" ht="14.25" customHeight="1" s="60">
      <c r="B36" s="75" t="inlineStr">
        <is>
          <t>대한민국</t>
        </is>
      </c>
      <c r="C36" s="75" t="inlineStr">
        <is>
          <t>부산지사</t>
        </is>
      </c>
      <c r="D36" s="75" t="inlineStr">
        <is>
          <t>지하철</t>
        </is>
      </c>
      <c r="E36" s="79" t="n">
        <v>12</v>
      </c>
      <c r="F36" s="91" t="inlineStr">
        <is>
          <t>부산 시내</t>
        </is>
      </c>
      <c r="G36" s="91" t="inlineStr">
        <is>
          <t>부산지사</t>
        </is>
      </c>
      <c r="H36" s="92" t="n">
        <v>6</v>
      </c>
      <c r="I36" s="79" t="n">
        <v>240</v>
      </c>
      <c r="J36" s="79" t="n"/>
      <c r="K36" s="79" t="n"/>
      <c r="L36" s="79" t="n"/>
      <c r="M36" s="79" t="n"/>
      <c r="N36" s="79" t="n"/>
      <c r="O36" s="79" t="n"/>
      <c r="P36" s="79" t="n"/>
      <c r="Q36" s="79" t="n"/>
      <c r="R36" s="79" t="n"/>
      <c r="S36" s="79" t="n"/>
      <c r="T36" s="79" t="n"/>
      <c r="U36" s="79" t="n"/>
      <c r="V36" s="76" t="inlineStr">
        <is>
          <t>평택공장 자가용 통근(월별집계)</t>
        </is>
      </c>
      <c r="W36" s="77" t="n">
        <v>2.78e-05</v>
      </c>
      <c r="X36" s="77" t="n">
        <v>0.960768</v>
      </c>
    </row>
    <row r="37" ht="14.25" customHeight="1" s="60">
      <c r="B37" s="75" t="inlineStr">
        <is>
          <t>미국</t>
        </is>
      </c>
      <c r="C37" s="75" t="inlineStr">
        <is>
          <t>미국판매법인</t>
        </is>
      </c>
      <c r="D37" s="75" t="inlineStr">
        <is>
          <t>자가용(휘발유)</t>
        </is>
      </c>
      <c r="E37" s="79" t="n">
        <v>19</v>
      </c>
      <c r="F37" s="91" t="inlineStr">
        <is>
          <t>인근지역</t>
        </is>
      </c>
      <c r="G37" s="91" t="inlineStr">
        <is>
          <t>매장</t>
        </is>
      </c>
      <c r="H37" s="92" t="n"/>
      <c r="I37" s="79" t="n">
        <v>238</v>
      </c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9" t="n"/>
      <c r="T37" s="79" t="n"/>
      <c r="U37" s="79" t="n"/>
      <c r="V37" s="76" t="inlineStr">
        <is>
          <t>미국은 대중교통 인프라부족해서 대부분 자가용</t>
        </is>
      </c>
      <c r="W37" s="77" t="n">
        <v>0.00017304</v>
      </c>
      <c r="X37" s="77" t="n">
        <v>23.4746064</v>
      </c>
    </row>
    <row r="38" ht="14.25" customHeight="1" s="60">
      <c r="B38" s="75" t="inlineStr">
        <is>
          <t>대한민국</t>
        </is>
      </c>
      <c r="C38" s="75" t="inlineStr">
        <is>
          <t>평택공장</t>
        </is>
      </c>
      <c r="D38" s="75" t="inlineStr">
        <is>
          <t>자전거+도보</t>
        </is>
      </c>
      <c r="E38" s="79" t="n">
        <v>5</v>
      </c>
      <c r="F38" s="91" t="inlineStr">
        <is>
          <t>평택시내</t>
        </is>
      </c>
      <c r="G38" s="91" t="inlineStr">
        <is>
          <t>평택공장</t>
        </is>
      </c>
      <c r="H38" s="92" t="n">
        <v>3</v>
      </c>
      <c r="I38" s="79" t="n">
        <v>200</v>
      </c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9" t="n"/>
      <c r="T38" s="79" t="n"/>
      <c r="U38" s="79" t="n"/>
      <c r="V38" s="76" t="inlineStr">
        <is>
          <t>친환경통근, 도보+자전거 혼합이라 애매함</t>
        </is>
      </c>
      <c r="W38" s="77" t="n">
        <v>0</v>
      </c>
      <c r="X38" s="77" t="n">
        <v>0</v>
      </c>
    </row>
    <row r="39" ht="14.25" customHeight="1" s="60">
      <c r="B39" s="79" t="n"/>
      <c r="C39" s="79" t="n"/>
      <c r="D39" s="75" t="n"/>
      <c r="E39" s="79" t="n"/>
      <c r="F39" s="92" t="n"/>
      <c r="G39" s="92" t="n"/>
      <c r="H39" s="92" t="n"/>
      <c r="I39" s="79" t="n"/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9" t="n"/>
      <c r="U39" s="79" t="n"/>
      <c r="V39" s="78" t="n"/>
      <c r="W39" s="77" t="n"/>
      <c r="X39" s="77" t="n"/>
    </row>
    <row r="40" ht="14.25" customHeight="1" s="60">
      <c r="B40" s="79" t="n"/>
      <c r="C40" s="79" t="n"/>
      <c r="D40" s="75" t="n"/>
      <c r="E40" s="79" t="n"/>
      <c r="F40" s="92" t="n"/>
      <c r="G40" s="92" t="n"/>
      <c r="H40" s="92" t="n"/>
      <c r="I40" s="79" t="n"/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9" t="n"/>
      <c r="T40" s="79" t="n"/>
      <c r="U40" s="79" t="n"/>
      <c r="V40" s="78" t="n"/>
      <c r="W40" s="77" t="n"/>
      <c r="X40" s="77" t="n"/>
    </row>
    <row r="41" ht="14.25" customHeight="1" s="60">
      <c r="B41" s="79" t="n"/>
      <c r="C41" s="79" t="n"/>
      <c r="D41" s="75" t="n"/>
      <c r="E41" s="79" t="n"/>
      <c r="F41" s="92" t="n"/>
      <c r="G41" s="92" t="n"/>
      <c r="H41" s="92" t="n"/>
      <c r="I41" s="79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9" t="n"/>
      <c r="T41" s="79" t="n"/>
      <c r="U41" s="79" t="n"/>
      <c r="V41" s="78" t="n"/>
      <c r="W41" s="77" t="n"/>
      <c r="X41" s="77" t="n"/>
    </row>
    <row r="42" ht="14.25" customHeight="1" s="60">
      <c r="B42" s="79" t="n"/>
      <c r="C42" s="79" t="n"/>
      <c r="D42" s="75" t="n"/>
      <c r="E42" s="79" t="n"/>
      <c r="F42" s="92" t="n"/>
      <c r="G42" s="92" t="n"/>
      <c r="H42" s="92" t="n"/>
      <c r="I42" s="79" t="n"/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9" t="n"/>
      <c r="T42" s="79" t="n"/>
      <c r="U42" s="79" t="n"/>
      <c r="V42" s="78" t="n"/>
      <c r="W42" s="77" t="n"/>
      <c r="X42" s="77" t="n"/>
    </row>
    <row r="43" ht="14.25" customHeight="1" s="60">
      <c r="B43" s="79" t="n"/>
      <c r="C43" s="79" t="n"/>
      <c r="D43" s="75" t="n"/>
      <c r="E43" s="79" t="n"/>
      <c r="F43" s="92" t="n"/>
      <c r="G43" s="92" t="n"/>
      <c r="H43" s="92" t="n"/>
      <c r="I43" s="7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9" t="n"/>
      <c r="T43" s="79" t="n"/>
      <c r="U43" s="79" t="n"/>
      <c r="V43" s="78" t="n"/>
      <c r="W43" s="77" t="n"/>
      <c r="X43" s="77" t="n"/>
    </row>
    <row r="44" ht="14.25" customHeight="1" s="60">
      <c r="B44" s="79" t="n"/>
      <c r="C44" s="79" t="n"/>
      <c r="D44" s="75" t="n"/>
      <c r="E44" s="79" t="n"/>
      <c r="F44" s="92" t="n"/>
      <c r="G44" s="92" t="n"/>
      <c r="H44" s="92" t="n"/>
      <c r="I44" s="79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9" t="n"/>
      <c r="T44" s="79" t="n"/>
      <c r="U44" s="79" t="n"/>
      <c r="V44" s="78" t="n"/>
      <c r="W44" s="77" t="n"/>
      <c r="X44" s="77" t="n"/>
    </row>
    <row r="45" ht="14.25" customHeight="1" s="60">
      <c r="B45" s="79" t="n"/>
      <c r="C45" s="79" t="n"/>
      <c r="D45" s="75" t="n"/>
      <c r="E45" s="79" t="n"/>
      <c r="F45" s="92" t="n"/>
      <c r="G45" s="92" t="n"/>
      <c r="H45" s="92" t="n"/>
      <c r="I45" s="79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9" t="n"/>
      <c r="T45" s="79" t="n"/>
      <c r="U45" s="79" t="n"/>
      <c r="V45" s="78" t="n"/>
      <c r="W45" s="77" t="n"/>
      <c r="X45" s="77" t="n"/>
    </row>
    <row r="46" ht="14.25" customHeight="1" s="60">
      <c r="B46" s="79" t="n"/>
      <c r="C46" s="79" t="n"/>
      <c r="D46" s="75" t="n"/>
      <c r="E46" s="79" t="n"/>
      <c r="F46" s="92" t="n"/>
      <c r="G46" s="92" t="n"/>
      <c r="H46" s="92" t="n"/>
      <c r="I46" s="79" t="n"/>
      <c r="J46" s="79" t="n"/>
      <c r="K46" s="79" t="n"/>
      <c r="L46" s="79" t="n"/>
      <c r="M46" s="79" t="n"/>
      <c r="N46" s="79" t="n"/>
      <c r="O46" s="79" t="n"/>
      <c r="P46" s="79" t="n"/>
      <c r="Q46" s="79" t="n"/>
      <c r="R46" s="79" t="n"/>
      <c r="S46" s="79" t="n"/>
      <c r="T46" s="79" t="n"/>
      <c r="U46" s="79" t="n"/>
      <c r="V46" s="78" t="n"/>
      <c r="W46" s="77" t="n"/>
      <c r="X46" s="77" t="n"/>
    </row>
    <row r="47" ht="14.25" customHeight="1" s="60">
      <c r="B47" s="79" t="n"/>
      <c r="C47" s="79" t="n"/>
      <c r="D47" s="75" t="n"/>
      <c r="E47" s="79" t="n"/>
      <c r="F47" s="92" t="n"/>
      <c r="G47" s="92" t="n"/>
      <c r="H47" s="92" t="n"/>
      <c r="I47" s="79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9" t="n"/>
      <c r="T47" s="79" t="n"/>
      <c r="U47" s="79" t="n"/>
      <c r="V47" s="78" t="n"/>
      <c r="W47" s="77" t="n"/>
      <c r="X47" s="77" t="n"/>
    </row>
    <row r="48" ht="14.25" customHeight="1" s="60">
      <c r="B48" s="79" t="n"/>
      <c r="C48" s="79" t="n"/>
      <c r="D48" s="75" t="n"/>
      <c r="E48" s="79" t="n"/>
      <c r="F48" s="92" t="n"/>
      <c r="G48" s="92" t="n"/>
      <c r="H48" s="92" t="n"/>
      <c r="I48" s="79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9" t="n"/>
      <c r="T48" s="79" t="n"/>
      <c r="U48" s="79" t="n"/>
      <c r="V48" s="78" t="n"/>
      <c r="W48" s="77" t="n"/>
      <c r="X48" s="77" t="n"/>
    </row>
    <row r="49" ht="14.25" customHeight="1" s="60">
      <c r="B49" s="79" t="n"/>
      <c r="C49" s="79" t="n"/>
      <c r="D49" s="75" t="n"/>
      <c r="E49" s="79" t="n"/>
      <c r="F49" s="92" t="n"/>
      <c r="G49" s="92" t="n"/>
      <c r="H49" s="92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79" t="n"/>
      <c r="V49" s="78" t="n"/>
      <c r="W49" s="77" t="n"/>
      <c r="X49" s="77" t="n"/>
    </row>
    <row r="50" ht="14.25" customHeight="1" s="60">
      <c r="B50" s="79" t="n"/>
      <c r="C50" s="79" t="n"/>
      <c r="D50" s="75" t="n"/>
      <c r="E50" s="79" t="n"/>
      <c r="F50" s="92" t="n"/>
      <c r="G50" s="92" t="n"/>
      <c r="H50" s="92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9" t="n"/>
      <c r="T50" s="79" t="n"/>
      <c r="U50" s="79" t="n"/>
      <c r="V50" s="78" t="n"/>
      <c r="W50" s="77" t="n"/>
      <c r="X50" s="77" t="n"/>
    </row>
    <row r="51" ht="14.25" customHeight="1" s="60">
      <c r="B51" s="79" t="n"/>
      <c r="C51" s="79" t="n"/>
      <c r="D51" s="75" t="n"/>
      <c r="E51" s="79" t="n"/>
      <c r="F51" s="92" t="n"/>
      <c r="G51" s="92" t="n"/>
      <c r="H51" s="92" t="n"/>
      <c r="I51" s="79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9" t="n"/>
      <c r="T51" s="79" t="n"/>
      <c r="U51" s="79" t="n"/>
      <c r="V51" s="78" t="n"/>
      <c r="W51" s="77" t="n"/>
      <c r="X51" s="77" t="n"/>
    </row>
    <row r="52" ht="14.25" customHeight="1" s="60">
      <c r="B52" s="79" t="n"/>
      <c r="C52" s="79" t="n"/>
      <c r="D52" s="75" t="n"/>
      <c r="E52" s="79" t="n"/>
      <c r="F52" s="92" t="n"/>
      <c r="G52" s="92" t="n"/>
      <c r="H52" s="92" t="n"/>
      <c r="I52" s="79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9" t="n"/>
      <c r="T52" s="79" t="n"/>
      <c r="U52" s="79" t="n"/>
      <c r="V52" s="78" t="n"/>
      <c r="W52" s="77" t="n"/>
      <c r="X52" s="77" t="n"/>
    </row>
    <row r="53" ht="14.25" customHeight="1" s="60">
      <c r="B53" s="79" t="n"/>
      <c r="C53" s="79" t="n"/>
      <c r="D53" s="75" t="n"/>
      <c r="E53" s="79" t="n"/>
      <c r="F53" s="92" t="n"/>
      <c r="G53" s="92" t="n"/>
      <c r="H53" s="92" t="n"/>
      <c r="I53" s="79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9" t="n"/>
      <c r="V53" s="78" t="n"/>
      <c r="W53" s="77" t="n"/>
      <c r="X53" s="77" t="n"/>
    </row>
    <row r="54" ht="14.25" customHeight="1" s="60">
      <c r="B54" s="79" t="n"/>
      <c r="C54" s="79" t="n"/>
      <c r="D54" s="75" t="n"/>
      <c r="E54" s="79" t="n"/>
      <c r="F54" s="92" t="n"/>
      <c r="G54" s="92" t="n"/>
      <c r="H54" s="92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79" t="n"/>
      <c r="V54" s="78" t="n"/>
      <c r="W54" s="77" t="n"/>
      <c r="X54" s="77" t="n"/>
    </row>
    <row r="55" ht="14.25" customHeight="1" s="60">
      <c r="B55" s="79" t="n"/>
      <c r="C55" s="79" t="n"/>
      <c r="D55" s="75" t="n"/>
      <c r="E55" s="79" t="n"/>
      <c r="F55" s="92" t="n"/>
      <c r="G55" s="92" t="n"/>
      <c r="H55" s="92" t="n"/>
      <c r="I55" s="79" t="n"/>
      <c r="J55" s="79" t="n"/>
      <c r="K55" s="79" t="n"/>
      <c r="L55" s="79" t="n"/>
      <c r="M55" s="79" t="n"/>
      <c r="N55" s="79" t="n"/>
      <c r="O55" s="79" t="n"/>
      <c r="P55" s="79" t="n"/>
      <c r="Q55" s="79" t="n"/>
      <c r="R55" s="79" t="n"/>
      <c r="S55" s="79" t="n"/>
      <c r="T55" s="79" t="n"/>
      <c r="U55" s="79" t="n"/>
      <c r="V55" s="78" t="n"/>
      <c r="W55" s="77" t="n"/>
      <c r="X55" s="77" t="n"/>
    </row>
    <row r="56" ht="14.25" customHeight="1" s="60">
      <c r="B56" s="79" t="n"/>
      <c r="C56" s="79" t="n"/>
      <c r="D56" s="75" t="n"/>
      <c r="E56" s="79" t="n"/>
      <c r="F56" s="92" t="n"/>
      <c r="G56" s="92" t="n"/>
      <c r="H56" s="93" t="n"/>
      <c r="I56" s="79" t="n"/>
      <c r="J56" s="79" t="n"/>
      <c r="K56" s="79" t="n"/>
      <c r="L56" s="79" t="n"/>
      <c r="M56" s="79" t="n"/>
      <c r="N56" s="79" t="n"/>
      <c r="O56" s="79" t="n"/>
      <c r="P56" s="79" t="n"/>
      <c r="Q56" s="79" t="n"/>
      <c r="R56" s="79" t="n"/>
      <c r="S56" s="79" t="n"/>
      <c r="T56" s="79" t="n"/>
      <c r="U56" s="79" t="n"/>
      <c r="V56" s="78" t="n"/>
      <c r="W56" s="77" t="n"/>
      <c r="X56" s="77" t="n"/>
    </row>
  </sheetData>
  <mergeCells count="10">
    <mergeCell ref="D19:D20"/>
    <mergeCell ref="W19:W20"/>
    <mergeCell ref="F19:G19"/>
    <mergeCell ref="J19:U19"/>
    <mergeCell ref="V19:V20"/>
    <mergeCell ref="E19:E20"/>
    <mergeCell ref="X19:X20"/>
    <mergeCell ref="B19:B20"/>
    <mergeCell ref="H19:H20"/>
    <mergeCell ref="C19:C20"/>
  </mergeCells>
  <dataValidations count="1">
    <dataValidation sqref="D22:D221" showDropDown="0" showInputMessage="0" showErrorMessage="0" allowBlank="0" type="list" errorStyle="stop" operator="between">
      <formula1>"자동차(내연기관),전기차,버스,지하철,통근버스,철도(KTX/SRT),철도(기타),국내선 항공,국제선 단거리,국제선 장거리,택시,렌터카,기타"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U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59" min="2" max="2"/>
    <col width="18" customWidth="1" style="59" min="3" max="3"/>
    <col width="16" customWidth="1" style="59" min="4" max="4"/>
    <col width="10" customWidth="1" style="59" min="5" max="5"/>
    <col width="16" customWidth="1" style="59" min="6" max="6"/>
    <col width="8" customWidth="1" style="59" min="7" max="18"/>
    <col width="18" customWidth="1" style="59" min="19" max="19"/>
    <col width="20" customWidth="1" style="59" min="20" max="20"/>
    <col width="16" customWidth="1" style="59" min="21" max="21"/>
  </cols>
  <sheetData>
    <row r="1"/>
    <row r="2" ht="20.25" customHeight="1" s="60">
      <c r="B2" s="61" t="inlineStr">
        <is>
          <t>C8. 업스트림 임차자산 1안. 에너지 사용량을 알고 있을 때</t>
        </is>
      </c>
    </row>
    <row r="3"/>
    <row r="4" ht="14.25" customHeight="1" s="60">
      <c r="B4" s="62" t="inlineStr">
        <is>
          <t>카테고리 정의</t>
        </is>
      </c>
    </row>
    <row r="5" ht="14.25" customHeight="1" s="60">
      <c r="B5" s="63" t="inlineStr">
        <is>
          <t>- 보고년도에 회사가 임차자산으로 사용하는 자산에서 발생하는 온실가스 배출량</t>
        </is>
      </c>
    </row>
    <row r="6" ht="14.25" customHeight="1" s="60">
      <c r="B6" s="63" t="inlineStr">
        <is>
          <t>- 해당 자산의 실제 에너지 사용량을 알고 있을 때 작성</t>
        </is>
      </c>
    </row>
    <row r="7"/>
    <row r="8"/>
    <row r="9" ht="14.25" customHeight="1" s="60">
      <c r="B9" s="62" t="inlineStr">
        <is>
          <t>작성 기준</t>
        </is>
      </c>
    </row>
    <row r="10" ht="14.25" customHeight="1" s="60">
      <c r="B10" s="63" t="inlineStr">
        <is>
          <t>1) 온실가스 산정 식: Σ(에너지 사용량 × 에너지원별 배출계수)</t>
        </is>
      </c>
    </row>
    <row r="11" ht="14.25" customHeight="1" s="60">
      <c r="B11" s="63" t="inlineStr">
        <is>
          <t xml:space="preserve"> - 온실가스 배출 계수는 국가 승인 고유 배출계수(국내)와 IPCC 가이드라인 배출계수(해외), 환경부_환경성적표지(EPD) 배출계수를 활용</t>
        </is>
      </c>
    </row>
    <row r="12" ht="14.25" customHeight="1" s="60">
      <c r="B12" s="63" t="inlineStr">
        <is>
          <t>2) 원자료는 반드시 작성하고 데이터는 연간 또는 월별 작성 가능</t>
        </is>
      </c>
    </row>
    <row r="13" ht="14.25" customHeight="1" s="60">
      <c r="B13" s="63" t="inlineStr">
        <is>
          <t>3) 한 자산에서 1개 이상 에너지원을 사용하는 경우 에너지원별로 행을 나누어 작성</t>
        </is>
      </c>
    </row>
    <row r="14"/>
    <row r="15"/>
    <row r="16" ht="14.25" customHeight="1" s="60">
      <c r="B16" s="64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0">
      <c r="B17" s="64" t="inlineStr">
        <is>
          <t>※ 주황색으로 표시된 필수 입력칸은 반드시 작성해야 합니다.</t>
        </is>
      </c>
    </row>
    <row r="18" ht="15" customHeight="1" s="60">
      <c r="B18" s="65" t="inlineStr">
        <is>
          <t>*국가</t>
        </is>
      </c>
      <c r="C18" s="65" t="inlineStr">
        <is>
          <t>*임차자산명</t>
        </is>
      </c>
      <c r="D18" s="65" t="inlineStr">
        <is>
          <t>*에너지종류</t>
        </is>
      </c>
      <c r="E18" s="89" t="n"/>
      <c r="F18" s="67" t="inlineStr">
        <is>
          <t>연간 입력</t>
        </is>
      </c>
      <c r="G18" s="67" t="inlineStr">
        <is>
          <t>월별 사용량</t>
        </is>
      </c>
      <c r="H18" s="68" t="n"/>
      <c r="I18" s="68" t="n"/>
      <c r="J18" s="68" t="n"/>
      <c r="K18" s="68" t="n"/>
      <c r="L18" s="68" t="n"/>
      <c r="M18" s="68" t="n"/>
      <c r="N18" s="68" t="n"/>
      <c r="O18" s="68" t="n"/>
      <c r="P18" s="68" t="n"/>
      <c r="Q18" s="68" t="n"/>
      <c r="R18" s="69" t="n"/>
      <c r="S18" s="66" t="inlineStr">
        <is>
          <t>비고(선택)</t>
        </is>
      </c>
      <c r="T18" s="66" t="inlineStr">
        <is>
          <t>배출계수(tCO2e/단위)</t>
        </is>
      </c>
      <c r="U18" s="66" t="inlineStr">
        <is>
          <t>배출량(tCO2e)</t>
        </is>
      </c>
    </row>
    <row r="19" ht="13.5" customHeight="1" s="60">
      <c r="B19" s="70" t="n"/>
      <c r="C19" s="70" t="n"/>
      <c r="D19" s="70" t="n"/>
      <c r="E19" s="65" t="inlineStr">
        <is>
          <t>*단위</t>
        </is>
      </c>
      <c r="F19" s="94" t="inlineStr">
        <is>
          <t>*연간사용량</t>
        </is>
      </c>
      <c r="G19" s="65" t="inlineStr">
        <is>
          <t>1월</t>
        </is>
      </c>
      <c r="H19" s="65" t="inlineStr">
        <is>
          <t>2월</t>
        </is>
      </c>
      <c r="I19" s="65" t="inlineStr">
        <is>
          <t>3월</t>
        </is>
      </c>
      <c r="J19" s="65" t="inlineStr">
        <is>
          <t>4월</t>
        </is>
      </c>
      <c r="K19" s="65" t="inlineStr">
        <is>
          <t>5월</t>
        </is>
      </c>
      <c r="L19" s="65" t="inlineStr">
        <is>
          <t>6월</t>
        </is>
      </c>
      <c r="M19" s="65" t="inlineStr">
        <is>
          <t>7월</t>
        </is>
      </c>
      <c r="N19" s="65" t="inlineStr">
        <is>
          <t>8월</t>
        </is>
      </c>
      <c r="O19" s="65" t="inlineStr">
        <is>
          <t>9월</t>
        </is>
      </c>
      <c r="P19" s="65" t="inlineStr">
        <is>
          <t>10월</t>
        </is>
      </c>
      <c r="Q19" s="65" t="inlineStr">
        <is>
          <t>11월</t>
        </is>
      </c>
      <c r="R19" s="65" t="inlineStr">
        <is>
          <t>12월</t>
        </is>
      </c>
      <c r="S19" s="70" t="n"/>
      <c r="T19" s="70" t="n"/>
      <c r="U19" s="70" t="n"/>
    </row>
    <row r="20" ht="32.25" customHeight="1" s="60">
      <c r="B20" s="71" t="inlineStr">
        <is>
          <t>대한민국</t>
        </is>
      </c>
      <c r="C20" s="71" t="inlineStr">
        <is>
          <t>임차 사무실 A</t>
        </is>
      </c>
      <c r="D20" s="71" t="inlineStr">
        <is>
          <t>전력</t>
        </is>
      </c>
      <c r="E20" s="72" t="inlineStr">
        <is>
          <t>kWh</t>
        </is>
      </c>
      <c r="F20" s="71" t="n">
        <v>120000</v>
      </c>
      <c r="G20" s="71" t="n"/>
      <c r="H20" s="71" t="n"/>
      <c r="I20" s="71" t="n"/>
      <c r="J20" s="71" t="n"/>
      <c r="K20" s="71" t="n"/>
      <c r="L20" s="71" t="n"/>
      <c r="M20" s="71" t="n"/>
      <c r="N20" s="71" t="n"/>
      <c r="O20" s="71" t="n"/>
      <c r="P20" s="71" t="n"/>
      <c r="Q20" s="71" t="n"/>
      <c r="R20" s="71" t="n"/>
      <c r="S20" s="73" t="inlineStr">
        <is>
          <t>임차 사무실 전력 사용량</t>
        </is>
      </c>
      <c r="T20" s="74" t="n">
        <v>0.0004173</v>
      </c>
      <c r="U20" s="74" t="n">
        <v>50.076</v>
      </c>
    </row>
    <row r="21" ht="32.25" customHeight="1" s="60">
      <c r="B21" s="75" t="inlineStr">
        <is>
          <t>대한민국</t>
        </is>
      </c>
      <c r="C21" s="75" t="inlineStr">
        <is>
          <t>임차 창고 B</t>
        </is>
      </c>
      <c r="D21" s="75" t="inlineStr">
        <is>
          <t>도시가스(LNG)</t>
        </is>
      </c>
      <c r="E21" s="79" t="inlineStr">
        <is>
          <t>Nm³</t>
        </is>
      </c>
      <c r="F21" s="75" t="n"/>
      <c r="G21" s="75" t="n">
        <v>1250</v>
      </c>
      <c r="H21" s="75" t="n">
        <v>1250</v>
      </c>
      <c r="I21" s="75" t="n">
        <v>1250</v>
      </c>
      <c r="J21" s="75" t="n">
        <v>1250</v>
      </c>
      <c r="K21" s="75" t="n">
        <v>1250</v>
      </c>
      <c r="L21" s="75" t="n">
        <v>1250</v>
      </c>
      <c r="M21" s="75" t="n">
        <v>1250</v>
      </c>
      <c r="N21" s="75" t="n">
        <v>1250</v>
      </c>
      <c r="O21" s="75" t="n">
        <v>1250</v>
      </c>
      <c r="P21" s="75" t="n">
        <v>1250</v>
      </c>
      <c r="Q21" s="75" t="n">
        <v>1250</v>
      </c>
      <c r="R21" s="75" t="n">
        <v>1250</v>
      </c>
      <c r="S21" s="76" t="inlineStr">
        <is>
          <t>난방용 도시가스 월별 사용량</t>
        </is>
      </c>
      <c r="T21" s="77" t="n">
        <v>0.0021621</v>
      </c>
      <c r="U21" s="77" t="n">
        <v>32.43150000000001</v>
      </c>
    </row>
    <row r="22" ht="32.25" customHeight="1" s="60">
      <c r="B22" s="75" t="inlineStr">
        <is>
          <t>일본</t>
        </is>
      </c>
      <c r="C22" s="75" t="inlineStr">
        <is>
          <t>도쿄 임차매장</t>
        </is>
      </c>
      <c r="D22" s="75" t="inlineStr">
        <is>
          <t>전력</t>
        </is>
      </c>
      <c r="E22" s="79" t="inlineStr">
        <is>
          <t>kWh</t>
        </is>
      </c>
      <c r="F22" s="75" t="n">
        <v>36000</v>
      </c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6" t="inlineStr">
        <is>
          <t>해외 임차매장 전력 사용량</t>
        </is>
      </c>
      <c r="T22" s="77" t="n">
        <v>0.0004173</v>
      </c>
      <c r="U22" s="77" t="n">
        <v>15.0228</v>
      </c>
    </row>
    <row r="23" ht="32.25" customHeight="1" s="60">
      <c r="B23" s="75" t="inlineStr">
        <is>
          <t>대한민국</t>
        </is>
      </c>
      <c r="C23" s="75" t="inlineStr">
        <is>
          <t>임차 연구소</t>
        </is>
      </c>
      <c r="D23" s="75" t="inlineStr">
        <is>
          <t>스팀</t>
        </is>
      </c>
      <c r="E23" s="79" t="inlineStr">
        <is>
          <t>GJ</t>
        </is>
      </c>
      <c r="F23" s="75" t="n"/>
      <c r="G23" s="75" t="n">
        <v>80</v>
      </c>
      <c r="H23" s="75" t="n">
        <v>80</v>
      </c>
      <c r="I23" s="75" t="n">
        <v>80</v>
      </c>
      <c r="J23" s="75" t="n">
        <v>80</v>
      </c>
      <c r="K23" s="75" t="n">
        <v>80</v>
      </c>
      <c r="L23" s="75" t="n">
        <v>80</v>
      </c>
      <c r="M23" s="75" t="n">
        <v>80</v>
      </c>
      <c r="N23" s="75" t="n">
        <v>80</v>
      </c>
      <c r="O23" s="75" t="n">
        <v>80</v>
      </c>
      <c r="P23" s="75" t="n">
        <v>80</v>
      </c>
      <c r="Q23" s="75" t="n">
        <v>80</v>
      </c>
      <c r="R23" s="75" t="n">
        <v>80</v>
      </c>
      <c r="S23" s="76" t="inlineStr">
        <is>
          <t>공용 설비 스팀 사용량</t>
        </is>
      </c>
      <c r="T23" s="77" t="n">
        <v>59.685</v>
      </c>
      <c r="U23" s="77" t="n">
        <v>57297.6</v>
      </c>
    </row>
    <row r="24" ht="32.25" customHeight="1" s="60">
      <c r="B24" s="75" t="inlineStr">
        <is>
          <t>대한민국</t>
        </is>
      </c>
      <c r="C24" s="75" t="inlineStr">
        <is>
          <t>임차 물류창고 C</t>
        </is>
      </c>
      <c r="D24" s="75" t="inlineStr">
        <is>
          <t>전력</t>
        </is>
      </c>
      <c r="E24" s="79" t="inlineStr">
        <is>
          <t>kWh</t>
        </is>
      </c>
      <c r="F24" s="79" t="n">
        <v>210000</v>
      </c>
      <c r="G24" s="79" t="n"/>
      <c r="H24" s="79" t="n"/>
      <c r="I24" s="79" t="n"/>
      <c r="J24" s="79" t="n"/>
      <c r="K24" s="79" t="n"/>
      <c r="L24" s="79" t="n"/>
      <c r="M24" s="79" t="n"/>
      <c r="N24" s="79" t="n"/>
      <c r="O24" s="79" t="n"/>
      <c r="P24" s="79" t="n"/>
      <c r="Q24" s="79" t="n"/>
      <c r="R24" s="79" t="n"/>
      <c r="S24" s="76" t="inlineStr">
        <is>
          <t>임차 물류창고 전력 사용량</t>
        </is>
      </c>
      <c r="T24" s="77" t="n">
        <v>0.0004173</v>
      </c>
      <c r="U24" s="77" t="n">
        <v>87.633</v>
      </c>
    </row>
    <row r="25" ht="32.25" customHeight="1" s="60">
      <c r="B25" s="75" t="inlineStr">
        <is>
          <t>대한민국</t>
        </is>
      </c>
      <c r="C25" s="75" t="inlineStr">
        <is>
          <t>임차 영업소 D</t>
        </is>
      </c>
      <c r="D25" s="75" t="inlineStr">
        <is>
          <t>전력</t>
        </is>
      </c>
      <c r="E25" s="79" t="inlineStr">
        <is>
          <t>kWh</t>
        </is>
      </c>
      <c r="F25" s="79" t="n"/>
      <c r="G25" s="79" t="n">
        <v>4200</v>
      </c>
      <c r="H25" s="79" t="n">
        <v>4200</v>
      </c>
      <c r="I25" s="79" t="n">
        <v>4200</v>
      </c>
      <c r="J25" s="79" t="n">
        <v>4200</v>
      </c>
      <c r="K25" s="79" t="n">
        <v>4200</v>
      </c>
      <c r="L25" s="79" t="n">
        <v>4200</v>
      </c>
      <c r="M25" s="79" t="n">
        <v>4200</v>
      </c>
      <c r="N25" s="79" t="n">
        <v>4200</v>
      </c>
      <c r="O25" s="79" t="n">
        <v>4200</v>
      </c>
      <c r="P25" s="79" t="n">
        <v>4200</v>
      </c>
      <c r="Q25" s="79" t="n">
        <v>4200</v>
      </c>
      <c r="R25" s="79" t="n">
        <v>4200</v>
      </c>
      <c r="S25" s="76" t="inlineStr">
        <is>
          <t>지방 영업소 전력 사용량</t>
        </is>
      </c>
      <c r="T25" s="77" t="n">
        <v>0.0004173</v>
      </c>
      <c r="U25" s="77" t="n">
        <v>21.03192</v>
      </c>
    </row>
    <row r="26" ht="32.25" customHeight="1" s="60">
      <c r="B26" s="75" t="inlineStr">
        <is>
          <t>중국</t>
        </is>
      </c>
      <c r="C26" s="75" t="inlineStr">
        <is>
          <t>상하이 임차사무소</t>
        </is>
      </c>
      <c r="D26" s="75" t="inlineStr">
        <is>
          <t>전력</t>
        </is>
      </c>
      <c r="E26" s="79" t="inlineStr">
        <is>
          <t>kWh</t>
        </is>
      </c>
      <c r="F26" s="79" t="n">
        <v>58000</v>
      </c>
      <c r="G26" s="79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6" t="inlineStr">
        <is>
          <t>상하이 임차 사무실 전력</t>
        </is>
      </c>
      <c r="T26" s="77" t="n">
        <v>0.0004173</v>
      </c>
      <c r="U26" s="77" t="n">
        <v>24.2034</v>
      </c>
    </row>
    <row r="27" ht="32.25" customHeight="1" s="60">
      <c r="B27" s="75" t="inlineStr">
        <is>
          <t>대한민국</t>
        </is>
      </c>
      <c r="C27" s="75" t="inlineStr">
        <is>
          <t>임차 매장 E</t>
        </is>
      </c>
      <c r="D27" s="75" t="inlineStr">
        <is>
          <t>도시가스(LNG)</t>
        </is>
      </c>
      <c r="E27" s="79" t="inlineStr">
        <is>
          <t>Nm³</t>
        </is>
      </c>
      <c r="F27" s="79" t="n">
        <v>3100</v>
      </c>
      <c r="G27" s="79" t="n"/>
      <c r="H27" s="79" t="n"/>
      <c r="I27" s="79" t="n"/>
      <c r="J27" s="79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76" t="inlineStr">
        <is>
          <t>매장 난방용 도시가스</t>
        </is>
      </c>
      <c r="T27" s="77" t="n">
        <v>0.0021621</v>
      </c>
      <c r="U27" s="77" t="n">
        <v>6.70251</v>
      </c>
    </row>
    <row r="28" ht="32.25" customHeight="1" s="60">
      <c r="B28" s="75" t="inlineStr">
        <is>
          <t>미국</t>
        </is>
      </c>
      <c r="C28" s="75" t="inlineStr">
        <is>
          <t>뉴욕 임차오피스</t>
        </is>
      </c>
      <c r="D28" s="75" t="inlineStr">
        <is>
          <t>전력</t>
        </is>
      </c>
      <c r="E28" s="79" t="inlineStr">
        <is>
          <t>kWh</t>
        </is>
      </c>
      <c r="F28" s="79" t="n">
        <v>42000</v>
      </c>
      <c r="G28" s="79" t="n"/>
      <c r="H28" s="79" t="n"/>
      <c r="I28" s="79" t="n"/>
      <c r="J28" s="79" t="n"/>
      <c r="K28" s="79" t="n"/>
      <c r="L28" s="79" t="n"/>
      <c r="M28" s="79" t="n"/>
      <c r="N28" s="79" t="n"/>
      <c r="O28" s="79" t="n"/>
      <c r="P28" s="79" t="n"/>
      <c r="Q28" s="79" t="n"/>
      <c r="R28" s="79" t="n"/>
      <c r="S28" s="76" t="inlineStr">
        <is>
          <t>뉴욕 임차 오피스 전력</t>
        </is>
      </c>
      <c r="T28" s="77" t="n">
        <v>0.0004173</v>
      </c>
      <c r="U28" s="77" t="n">
        <v>17.5266</v>
      </c>
    </row>
    <row r="29" ht="16.5" customHeight="1" s="60">
      <c r="B29" s="75" t="inlineStr">
        <is>
          <t>대한민국</t>
        </is>
      </c>
      <c r="C29" s="75" t="inlineStr">
        <is>
          <t>임차 R&amp;D센터</t>
        </is>
      </c>
      <c r="D29" s="75" t="inlineStr">
        <is>
          <t>스팀</t>
        </is>
      </c>
      <c r="E29" s="79" t="inlineStr">
        <is>
          <t>GJ</t>
        </is>
      </c>
      <c r="F29" s="79" t="n"/>
      <c r="G29" s="79" t="n">
        <v>65</v>
      </c>
      <c r="H29" s="79" t="n">
        <v>65</v>
      </c>
      <c r="I29" s="79" t="n">
        <v>65</v>
      </c>
      <c r="J29" s="79" t="n">
        <v>65</v>
      </c>
      <c r="K29" s="79" t="n">
        <v>65</v>
      </c>
      <c r="L29" s="79" t="n">
        <v>65</v>
      </c>
      <c r="M29" s="79" t="n">
        <v>65</v>
      </c>
      <c r="N29" s="79" t="n">
        <v>65</v>
      </c>
      <c r="O29" s="79" t="n">
        <v>65</v>
      </c>
      <c r="P29" s="79" t="n">
        <v>65</v>
      </c>
      <c r="Q29" s="79" t="n">
        <v>65</v>
      </c>
      <c r="R29" s="79" t="n">
        <v>65</v>
      </c>
      <c r="S29" s="76" t="inlineStr">
        <is>
          <t>연구소 공용 스팀</t>
        </is>
      </c>
      <c r="T29" s="77" t="n">
        <v>59.685</v>
      </c>
      <c r="U29" s="77" t="n">
        <v>46554.3</v>
      </c>
    </row>
    <row r="30" ht="14.25" customHeight="1" s="60">
      <c r="B30" s="75" t="inlineStr">
        <is>
          <t>대한민국</t>
        </is>
      </c>
      <c r="C30" s="75" t="inlineStr">
        <is>
          <t>임차 물류창고 C동</t>
        </is>
      </c>
      <c r="D30" s="75" t="inlineStr">
        <is>
          <t>전력</t>
        </is>
      </c>
      <c r="E30" s="79" t="inlineStr">
        <is>
          <t>kWh</t>
        </is>
      </c>
      <c r="F30" s="79" t="n">
        <v>203400</v>
      </c>
      <c r="G30" s="79" t="n"/>
      <c r="H30" s="79" t="n"/>
      <c r="I30" s="79" t="n"/>
      <c r="J30" s="79" t="n"/>
      <c r="K30" s="79" t="n"/>
      <c r="L30" s="79" t="n"/>
      <c r="M30" s="79" t="n"/>
      <c r="N30" s="79" t="n"/>
      <c r="O30" s="79" t="n"/>
      <c r="P30" s="79" t="n"/>
      <c r="Q30" s="79" t="n"/>
      <c r="R30" s="79" t="n"/>
      <c r="S30" s="76" t="inlineStr">
        <is>
          <t>계량기 별도분리안돼서 청구서 추정치</t>
        </is>
      </c>
      <c r="T30" s="77" t="n">
        <v>0.0004173</v>
      </c>
      <c r="U30" s="77" t="n">
        <v>84.87882</v>
      </c>
    </row>
    <row r="31" ht="14.25" customHeight="1" s="60">
      <c r="B31" s="75" t="inlineStr">
        <is>
          <t>대한민국</t>
        </is>
      </c>
      <c r="C31" s="75" t="inlineStr">
        <is>
          <t>임차영업소(구미)</t>
        </is>
      </c>
      <c r="D31" s="75" t="inlineStr">
        <is>
          <t>전력</t>
        </is>
      </c>
      <c r="E31" s="79" t="inlineStr">
        <is>
          <t>kwh</t>
        </is>
      </c>
      <c r="F31" s="79" t="n"/>
      <c r="G31" s="79" t="n">
        <v>3980</v>
      </c>
      <c r="H31" s="79" t="n">
        <v>3980</v>
      </c>
      <c r="I31" s="79" t="n">
        <v>3980</v>
      </c>
      <c r="J31" s="79" t="n">
        <v>3980</v>
      </c>
      <c r="K31" s="79" t="n">
        <v>3980</v>
      </c>
      <c r="L31" s="79" t="n">
        <v>3980</v>
      </c>
      <c r="M31" s="79" t="n">
        <v>3980</v>
      </c>
      <c r="N31" s="79" t="n">
        <v>3980</v>
      </c>
      <c r="O31" s="79" t="n">
        <v>3980</v>
      </c>
      <c r="P31" s="79" t="n">
        <v>3980</v>
      </c>
      <c r="Q31" s="79" t="n">
        <v>3980</v>
      </c>
      <c r="R31" s="79" t="n">
        <v>3980</v>
      </c>
      <c r="S31" s="76" t="inlineStr">
        <is>
          <t>지사명 표기 일관성없음(구미영업소랑 다른명칭)</t>
        </is>
      </c>
      <c r="T31" s="77" t="n">
        <v>0.0004173</v>
      </c>
      <c r="U31" s="77" t="n">
        <v>19.930248</v>
      </c>
    </row>
    <row r="32" ht="14.25" customHeight="1" s="60">
      <c r="B32" s="75" t="inlineStr">
        <is>
          <t>중국</t>
        </is>
      </c>
      <c r="C32" s="75" t="inlineStr">
        <is>
          <t>상하이 임차사무소</t>
        </is>
      </c>
      <c r="D32" s="75" t="inlineStr">
        <is>
          <t>전력</t>
        </is>
      </c>
      <c r="E32" s="79" t="inlineStr">
        <is>
          <t>kWh</t>
        </is>
      </c>
      <c r="F32" s="79" t="n">
        <v>55600</v>
      </c>
      <c r="G32" s="79" t="n"/>
      <c r="H32" s="79" t="n"/>
      <c r="I32" s="79" t="n"/>
      <c r="J32" s="79" t="n"/>
      <c r="K32" s="79" t="n"/>
      <c r="L32" s="79" t="n"/>
      <c r="M32" s="79" t="n"/>
      <c r="N32" s="79" t="n"/>
      <c r="O32" s="79" t="n"/>
      <c r="P32" s="79" t="n"/>
      <c r="Q32" s="79" t="n"/>
      <c r="R32" s="79" t="n"/>
      <c r="S32" s="78" t="n"/>
      <c r="T32" s="77" t="n">
        <v>0.0004173</v>
      </c>
      <c r="U32" s="77" t="n">
        <v>23.20188</v>
      </c>
    </row>
    <row r="33" ht="14.25" customHeight="1" s="60">
      <c r="B33" s="75" t="inlineStr">
        <is>
          <t>대한민국</t>
        </is>
      </c>
      <c r="C33" s="75" t="inlineStr">
        <is>
          <t xml:space="preserve">임차매장 E </t>
        </is>
      </c>
      <c r="D33" s="75" t="inlineStr">
        <is>
          <t>도시가스(LNG)</t>
        </is>
      </c>
      <c r="E33" s="79" t="inlineStr">
        <is>
          <t>Nm³</t>
        </is>
      </c>
      <c r="F33" s="79" t="n">
        <v>2870</v>
      </c>
      <c r="G33" s="79" t="n"/>
      <c r="H33" s="79" t="n"/>
      <c r="I33" s="79" t="n"/>
      <c r="J33" s="79" t="n"/>
      <c r="K33" s="79" t="n"/>
      <c r="L33" s="79" t="n"/>
      <c r="M33" s="79" t="n"/>
      <c r="N33" s="79" t="n"/>
      <c r="O33" s="79" t="n"/>
      <c r="P33" s="79" t="n"/>
      <c r="Q33" s="79" t="n"/>
      <c r="R33" s="79" t="n"/>
      <c r="S33" s="76" t="inlineStr">
        <is>
          <t>임차자산명 끝에 공백</t>
        </is>
      </c>
      <c r="T33" s="77" t="n">
        <v>0.0021621</v>
      </c>
      <c r="U33" s="77" t="n">
        <v>6.205227000000001</v>
      </c>
    </row>
    <row r="34" ht="14.25" customHeight="1" s="60">
      <c r="B34" s="79" t="n"/>
      <c r="C34" s="79" t="n"/>
      <c r="D34" s="75" t="n"/>
      <c r="E34" s="79" t="n"/>
      <c r="F34" s="79" t="n"/>
      <c r="G34" s="79" t="n"/>
      <c r="H34" s="79" t="n"/>
      <c r="I34" s="79" t="n"/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8" t="n"/>
      <c r="T34" s="77" t="n"/>
      <c r="U34" s="77" t="n"/>
    </row>
    <row r="35" ht="14.25" customHeight="1" s="60">
      <c r="B35" s="79" t="n"/>
      <c r="C35" s="79" t="n"/>
      <c r="D35" s="75" t="n"/>
      <c r="E35" s="79" t="n"/>
      <c r="F35" s="79" t="n"/>
      <c r="G35" s="79" t="n"/>
      <c r="H35" s="79" t="n"/>
      <c r="I35" s="79" t="n"/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8" t="n"/>
      <c r="T35" s="77" t="n"/>
      <c r="U35" s="77" t="n"/>
    </row>
    <row r="36" ht="14.25" customHeight="1" s="60">
      <c r="B36" s="79" t="n"/>
      <c r="C36" s="79" t="n"/>
      <c r="D36" s="75" t="n"/>
      <c r="E36" s="79" t="n"/>
      <c r="F36" s="79" t="n"/>
      <c r="G36" s="79" t="n"/>
      <c r="H36" s="79" t="n"/>
      <c r="I36" s="79" t="n"/>
      <c r="J36" s="79" t="n"/>
      <c r="K36" s="79" t="n"/>
      <c r="L36" s="79" t="n"/>
      <c r="M36" s="79" t="n"/>
      <c r="N36" s="79" t="n"/>
      <c r="O36" s="79" t="n"/>
      <c r="P36" s="79" t="n"/>
      <c r="Q36" s="79" t="n"/>
      <c r="R36" s="79" t="n"/>
      <c r="S36" s="78" t="n"/>
      <c r="T36" s="77" t="n"/>
      <c r="U36" s="77" t="n"/>
    </row>
    <row r="37" ht="14.25" customHeight="1" s="60">
      <c r="B37" s="79" t="n"/>
      <c r="C37" s="79" t="n"/>
      <c r="D37" s="75" t="n"/>
      <c r="E37" s="79" t="n"/>
      <c r="F37" s="79" t="n"/>
      <c r="G37" s="79" t="n"/>
      <c r="H37" s="79" t="n"/>
      <c r="I37" s="79" t="n"/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8" t="n"/>
      <c r="T37" s="77" t="n"/>
      <c r="U37" s="77" t="n"/>
    </row>
    <row r="38" ht="14.25" customHeight="1" s="60">
      <c r="B38" s="79" t="n"/>
      <c r="C38" s="79" t="n"/>
      <c r="D38" s="75" t="n"/>
      <c r="E38" s="79" t="n"/>
      <c r="F38" s="79" t="n"/>
      <c r="G38" s="79" t="n"/>
      <c r="H38" s="79" t="n"/>
      <c r="I38" s="79" t="n"/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8" t="n"/>
      <c r="T38" s="77" t="n"/>
      <c r="U38" s="77" t="n"/>
    </row>
    <row r="39" ht="14.25" customHeight="1" s="60">
      <c r="B39" s="79" t="n"/>
      <c r="C39" s="79" t="n"/>
      <c r="D39" s="75" t="n"/>
      <c r="E39" s="79" t="n"/>
      <c r="F39" s="79" t="n"/>
      <c r="G39" s="79" t="n"/>
      <c r="H39" s="79" t="n"/>
      <c r="I39" s="79" t="n"/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8" t="n"/>
      <c r="T39" s="77" t="n"/>
      <c r="U39" s="77" t="n"/>
    </row>
    <row r="40" ht="14.25" customHeight="1" s="60">
      <c r="B40" s="79" t="n"/>
      <c r="C40" s="79" t="n"/>
      <c r="D40" s="75" t="n"/>
      <c r="E40" s="79" t="n"/>
      <c r="F40" s="79" t="n"/>
      <c r="G40" s="79" t="n"/>
      <c r="H40" s="79" t="n"/>
      <c r="I40" s="79" t="n"/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8" t="n"/>
      <c r="T40" s="77" t="n"/>
      <c r="U40" s="77" t="n"/>
    </row>
    <row r="41" ht="14.25" customHeight="1" s="60">
      <c r="B41" s="79" t="n"/>
      <c r="C41" s="79" t="n"/>
      <c r="D41" s="75" t="n"/>
      <c r="E41" s="79" t="n"/>
      <c r="F41" s="79" t="n"/>
      <c r="G41" s="79" t="n"/>
      <c r="H41" s="79" t="n"/>
      <c r="I41" s="79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8" t="n"/>
      <c r="T41" s="77" t="n"/>
      <c r="U41" s="77" t="n"/>
    </row>
    <row r="42" ht="14.25" customHeight="1" s="60">
      <c r="B42" s="79" t="n"/>
      <c r="C42" s="79" t="n"/>
      <c r="D42" s="75" t="n"/>
      <c r="E42" s="79" t="n"/>
      <c r="F42" s="79" t="n"/>
      <c r="G42" s="79" t="n"/>
      <c r="H42" s="79" t="n"/>
      <c r="I42" s="79" t="n"/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8" t="n"/>
      <c r="T42" s="77" t="n"/>
      <c r="U42" s="77" t="n"/>
    </row>
    <row r="43" ht="14.25" customHeight="1" s="60">
      <c r="B43" s="79" t="n"/>
      <c r="C43" s="79" t="n"/>
      <c r="D43" s="75" t="n"/>
      <c r="E43" s="79" t="n"/>
      <c r="F43" s="79" t="n"/>
      <c r="G43" s="79" t="n"/>
      <c r="H43" s="79" t="n"/>
      <c r="I43" s="7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8" t="n"/>
      <c r="T43" s="77" t="n"/>
      <c r="U43" s="77" t="n"/>
    </row>
    <row r="44" ht="14.25" customHeight="1" s="60">
      <c r="B44" s="79" t="n"/>
      <c r="C44" s="79" t="n"/>
      <c r="D44" s="75" t="n"/>
      <c r="E44" s="79" t="n"/>
      <c r="F44" s="79" t="n"/>
      <c r="G44" s="79" t="n"/>
      <c r="H44" s="79" t="n"/>
      <c r="I44" s="79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8" t="n"/>
      <c r="T44" s="77" t="n"/>
      <c r="U44" s="77" t="n"/>
    </row>
    <row r="45" ht="14.25" customHeight="1" s="60">
      <c r="B45" s="79" t="n"/>
      <c r="C45" s="79" t="n"/>
      <c r="D45" s="75" t="n"/>
      <c r="E45" s="79" t="n"/>
      <c r="F45" s="79" t="n"/>
      <c r="G45" s="79" t="n"/>
      <c r="H45" s="79" t="n"/>
      <c r="I45" s="79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8" t="n"/>
      <c r="T45" s="77" t="n"/>
      <c r="U45" s="77" t="n"/>
    </row>
    <row r="46" ht="14.25" customHeight="1" s="60">
      <c r="B46" s="79" t="n"/>
      <c r="C46" s="79" t="n"/>
      <c r="D46" s="75" t="n"/>
      <c r="E46" s="79" t="n"/>
      <c r="F46" s="79" t="n"/>
      <c r="G46" s="79" t="n"/>
      <c r="H46" s="79" t="n"/>
      <c r="I46" s="79" t="n"/>
      <c r="J46" s="79" t="n"/>
      <c r="K46" s="79" t="n"/>
      <c r="L46" s="79" t="n"/>
      <c r="M46" s="79" t="n"/>
      <c r="N46" s="79" t="n"/>
      <c r="O46" s="79" t="n"/>
      <c r="P46" s="79" t="n"/>
      <c r="Q46" s="79" t="n"/>
      <c r="R46" s="79" t="n"/>
      <c r="S46" s="78" t="n"/>
      <c r="T46" s="77" t="n"/>
      <c r="U46" s="77" t="n"/>
    </row>
    <row r="47" ht="14.25" customHeight="1" s="60">
      <c r="B47" s="79" t="n"/>
      <c r="C47" s="79" t="n"/>
      <c r="D47" s="75" t="n"/>
      <c r="E47" s="79" t="n"/>
      <c r="F47" s="79" t="n"/>
      <c r="G47" s="79" t="n"/>
      <c r="H47" s="79" t="n"/>
      <c r="I47" s="79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8" t="n"/>
      <c r="T47" s="77" t="n"/>
      <c r="U47" s="77" t="n"/>
    </row>
    <row r="48" ht="14.25" customHeight="1" s="60">
      <c r="B48" s="79" t="n"/>
      <c r="C48" s="79" t="n"/>
      <c r="D48" s="75" t="n"/>
      <c r="E48" s="79" t="n"/>
      <c r="F48" s="79" t="n"/>
      <c r="G48" s="79" t="n"/>
      <c r="H48" s="79" t="n"/>
      <c r="I48" s="79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8" t="n"/>
      <c r="T48" s="77" t="n"/>
      <c r="U48" s="77" t="n"/>
    </row>
    <row r="49" ht="14.25" customHeight="1" s="60">
      <c r="B49" s="79" t="n"/>
      <c r="C49" s="79" t="n"/>
      <c r="D49" s="75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8" t="n"/>
      <c r="T49" s="77" t="n"/>
      <c r="U49" s="77" t="n"/>
    </row>
    <row r="50" ht="14.25" customHeight="1" s="60">
      <c r="B50" s="79" t="n"/>
      <c r="C50" s="79" t="n"/>
      <c r="D50" s="75" t="n"/>
      <c r="E50" s="79" t="n"/>
      <c r="F50" s="79" t="n"/>
      <c r="G50" s="79" t="n"/>
      <c r="H50" s="79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8" t="n"/>
      <c r="T50" s="77" t="n"/>
      <c r="U50" s="77" t="n"/>
    </row>
    <row r="51" ht="14.25" customHeight="1" s="60">
      <c r="B51" s="79" t="n"/>
      <c r="C51" s="79" t="n"/>
      <c r="D51" s="75" t="n"/>
      <c r="E51" s="79" t="n"/>
      <c r="F51" s="79" t="n"/>
      <c r="G51" s="79" t="n"/>
      <c r="H51" s="79" t="n"/>
      <c r="I51" s="79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8" t="n"/>
      <c r="T51" s="77" t="n"/>
      <c r="U51" s="77" t="n"/>
    </row>
    <row r="52" ht="14.25" customHeight="1" s="60">
      <c r="B52" s="79" t="n"/>
      <c r="C52" s="79" t="n"/>
      <c r="D52" s="75" t="n"/>
      <c r="E52" s="79" t="n"/>
      <c r="F52" s="79" t="n"/>
      <c r="G52" s="79" t="n"/>
      <c r="H52" s="79" t="n"/>
      <c r="I52" s="79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8" t="n"/>
      <c r="T52" s="77" t="n"/>
      <c r="U52" s="77" t="n"/>
    </row>
    <row r="53" ht="14.25" customHeight="1" s="60">
      <c r="B53" s="79" t="n"/>
      <c r="C53" s="79" t="n"/>
      <c r="D53" s="75" t="n"/>
      <c r="E53" s="79" t="n"/>
      <c r="F53" s="79" t="n"/>
      <c r="G53" s="79" t="n"/>
      <c r="H53" s="79" t="n"/>
      <c r="I53" s="79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8" t="n"/>
      <c r="T53" s="77" t="n"/>
      <c r="U53" s="77" t="n"/>
    </row>
    <row r="54" ht="14.25" customHeight="1" s="60">
      <c r="B54" s="79" t="n"/>
      <c r="C54" s="79" t="n"/>
      <c r="D54" s="75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8" t="n"/>
      <c r="T54" s="77" t="n"/>
      <c r="U54" s="77" t="n"/>
    </row>
    <row r="55" ht="14.25" customHeight="1" s="60">
      <c r="B55" s="79" t="n"/>
      <c r="C55" s="79" t="n"/>
      <c r="D55" s="75" t="n"/>
      <c r="E55" s="79" t="n"/>
      <c r="F55" s="79" t="n"/>
      <c r="G55" s="79" t="n"/>
      <c r="H55" s="79" t="n"/>
      <c r="I55" s="79" t="n"/>
      <c r="J55" s="79" t="n"/>
      <c r="K55" s="79" t="n"/>
      <c r="L55" s="79" t="n"/>
      <c r="M55" s="79" t="n"/>
      <c r="N55" s="79" t="n"/>
      <c r="O55" s="79" t="n"/>
      <c r="P55" s="79" t="n"/>
      <c r="Q55" s="79" t="n"/>
      <c r="R55" s="79" t="n"/>
      <c r="S55" s="78" t="n"/>
      <c r="T55" s="77" t="n"/>
      <c r="U55" s="77" t="n"/>
    </row>
  </sheetData>
  <mergeCells count="7">
    <mergeCell ref="U18:U19"/>
    <mergeCell ref="S18:S19"/>
    <mergeCell ref="D18:D19"/>
    <mergeCell ref="B18:B19"/>
    <mergeCell ref="C18:C19"/>
    <mergeCell ref="G18:R18"/>
    <mergeCell ref="T18:T19"/>
  </mergeCells>
  <dataValidations count="2">
    <dataValidation sqref="D21:D220" showDropDown="0" showInputMessage="0" showErrorMessage="0" allowBlank="0" type="list" errorStyle="stop" operator="between">
      <formula1>"전력,도시가스,스팀,경유,휘발유,등유,중유,LPG,천연가스,기타"</formula1>
      <formula2>0</formula2>
    </dataValidation>
    <dataValidation sqref="E21:E220" showDropDown="0" showInputMessage="0" showErrorMessage="0" allowBlank="0" type="list" errorStyle="stop" operator="between">
      <formula1>"kWh,MJ,kg,L,m3,Nm3,ton"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W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59" min="2" max="2"/>
    <col width="18" customWidth="1" style="59" min="3" max="3"/>
    <col width="16" customWidth="1" style="59" min="4" max="4"/>
    <col width="14" customWidth="1" style="59" min="5" max="5"/>
    <col width="16" customWidth="1" style="59" min="6" max="6"/>
    <col width="10" customWidth="1" style="59" min="7" max="7"/>
    <col width="19.87" customWidth="1" style="59" min="8" max="8"/>
    <col width="8" customWidth="1" style="59" min="9" max="20"/>
    <col width="18" customWidth="1" style="59" min="21" max="21"/>
    <col width="20" customWidth="1" style="59" min="22" max="22"/>
    <col width="16" customWidth="1" style="59" min="23" max="23"/>
  </cols>
  <sheetData>
    <row r="1"/>
    <row r="2" ht="20.25" customHeight="1" s="60">
      <c r="B2" s="61" t="inlineStr">
        <is>
          <t>C8. 업스트림 임차자산 2안. 건물전체 에너지사용량만 알고 있을 때</t>
        </is>
      </c>
    </row>
    <row r="3"/>
    <row r="4" ht="14.25" customHeight="1" s="60">
      <c r="B4" s="62" t="inlineStr">
        <is>
          <t>카테고리 정의</t>
        </is>
      </c>
    </row>
    <row r="5" ht="14.25" customHeight="1" s="60">
      <c r="B5" s="63" t="inlineStr">
        <is>
          <t>- 회사가 사용하는 임차자산의 에너지 사용량을 직접 알 수 없는 경우 산정</t>
        </is>
      </c>
    </row>
    <row r="6" ht="14.25" customHeight="1" s="60">
      <c r="B6" s="63" t="inlineStr">
        <is>
          <t>- 건물 전체 에너지 사용량은 알고 있으나 면적 기준으로 배분해야 할 때 작성</t>
        </is>
      </c>
    </row>
    <row r="7"/>
    <row r="8"/>
    <row r="9" ht="14.25" customHeight="1" s="60">
      <c r="B9" s="62" t="inlineStr">
        <is>
          <t>작성 기준</t>
        </is>
      </c>
    </row>
    <row r="10" ht="14.25" customHeight="1" s="60">
      <c r="B10" s="63" t="inlineStr">
        <is>
          <t>1) 온실가스 산정 식: Σ((사용 면적 / 건물전체 면적) × 건물전체 에너지 사용량 × 에너지원별 배출계수)</t>
        </is>
      </c>
    </row>
    <row r="11" ht="14.25" customHeight="1" s="60">
      <c r="B11" s="63" t="inlineStr">
        <is>
          <t xml:space="preserve"> - 온실가스 배출 계수는 국가 승인 고유 배출계수(국내)와 IPCC 가이드라인 배출계수(해외), 환경부_환경성적표지(EPD) 배출계수를 활용</t>
        </is>
      </c>
    </row>
    <row r="12" ht="14.25" customHeight="1" s="60">
      <c r="B12" s="63" t="inlineStr">
        <is>
          <t>2) 건물전체 면적과 사용 면적은 반드시 작성</t>
        </is>
      </c>
    </row>
    <row r="13" ht="14.25" customHeight="1" s="60">
      <c r="B13" s="63" t="inlineStr">
        <is>
          <t>3) 원자료는 반드시 작성하고 데이터는 연간 또는 월별 작성 가능</t>
        </is>
      </c>
    </row>
    <row r="14"/>
    <row r="15"/>
    <row r="16" ht="14.25" customHeight="1" s="60">
      <c r="B16" s="64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0">
      <c r="B17" s="64" t="inlineStr">
        <is>
          <t>※ 주황색으로 표시된 필수 입력칸은 반드시 작성해야 합니다.</t>
        </is>
      </c>
    </row>
    <row r="18" ht="15" customHeight="1" s="60">
      <c r="B18" s="65" t="inlineStr">
        <is>
          <t>*국가</t>
        </is>
      </c>
      <c r="C18" s="65" t="inlineStr">
        <is>
          <t>*임차자산명</t>
        </is>
      </c>
      <c r="D18" s="65" t="inlineStr">
        <is>
          <t>*건물전체 면적</t>
        </is>
      </c>
      <c r="E18" s="65" t="inlineStr">
        <is>
          <t>*사용 면적</t>
        </is>
      </c>
      <c r="F18" s="65" t="inlineStr">
        <is>
          <t>*에너지종류</t>
        </is>
      </c>
      <c r="G18" s="65" t="inlineStr">
        <is>
          <t>*단위</t>
        </is>
      </c>
      <c r="H18" s="67" t="inlineStr">
        <is>
          <t>연간 입력</t>
        </is>
      </c>
      <c r="I18" s="67" t="inlineStr">
        <is>
          <t>건물전체 월별사용량</t>
        </is>
      </c>
      <c r="J18" s="68" t="n"/>
      <c r="K18" s="68" t="n"/>
      <c r="L18" s="68" t="n"/>
      <c r="M18" s="68" t="n"/>
      <c r="N18" s="68" t="n"/>
      <c r="O18" s="68" t="n"/>
      <c r="P18" s="68" t="n"/>
      <c r="Q18" s="68" t="n"/>
      <c r="R18" s="68" t="n"/>
      <c r="S18" s="68" t="n"/>
      <c r="T18" s="69" t="n"/>
      <c r="U18" s="66" t="inlineStr">
        <is>
          <t>비고(선택)</t>
        </is>
      </c>
      <c r="V18" s="66" t="inlineStr">
        <is>
          <t>배출계수(tCO2e/단위)</t>
        </is>
      </c>
      <c r="W18" s="66" t="inlineStr">
        <is>
          <t>배출량(tCO2e)</t>
        </is>
      </c>
    </row>
    <row r="19" ht="15" customHeight="1" s="60">
      <c r="B19" s="70" t="n"/>
      <c r="C19" s="70" t="n"/>
      <c r="D19" s="70" t="n"/>
      <c r="E19" s="70" t="n"/>
      <c r="F19" s="70" t="n"/>
      <c r="G19" s="70" t="n"/>
      <c r="H19" s="65" t="inlineStr">
        <is>
          <t>*건물전체 연간사용량</t>
        </is>
      </c>
      <c r="I19" s="65" t="inlineStr">
        <is>
          <t>1월</t>
        </is>
      </c>
      <c r="J19" s="65" t="inlineStr">
        <is>
          <t>2월</t>
        </is>
      </c>
      <c r="K19" s="65" t="inlineStr">
        <is>
          <t>3월</t>
        </is>
      </c>
      <c r="L19" s="65" t="inlineStr">
        <is>
          <t>4월</t>
        </is>
      </c>
      <c r="M19" s="65" t="inlineStr">
        <is>
          <t>5월</t>
        </is>
      </c>
      <c r="N19" s="65" t="inlineStr">
        <is>
          <t>6월</t>
        </is>
      </c>
      <c r="O19" s="65" t="inlineStr">
        <is>
          <t>7월</t>
        </is>
      </c>
      <c r="P19" s="65" t="inlineStr">
        <is>
          <t>8월</t>
        </is>
      </c>
      <c r="Q19" s="65" t="inlineStr">
        <is>
          <t>9월</t>
        </is>
      </c>
      <c r="R19" s="65" t="inlineStr">
        <is>
          <t>10월</t>
        </is>
      </c>
      <c r="S19" s="65" t="inlineStr">
        <is>
          <t>11월</t>
        </is>
      </c>
      <c r="T19" s="65" t="inlineStr">
        <is>
          <t>12월</t>
        </is>
      </c>
      <c r="U19" s="70" t="n"/>
      <c r="V19" s="70" t="n"/>
      <c r="W19" s="70" t="n"/>
    </row>
    <row r="20" ht="16.5" customHeight="1" s="60">
      <c r="B20" s="71" t="inlineStr">
        <is>
          <t>대한민국</t>
        </is>
      </c>
      <c r="C20" s="71" t="inlineStr">
        <is>
          <t>공유오피스 A</t>
        </is>
      </c>
      <c r="D20" s="71" t="n">
        <v>13908</v>
      </c>
      <c r="E20" s="71" t="n">
        <v>133</v>
      </c>
      <c r="F20" s="71" t="inlineStr">
        <is>
          <t>전력</t>
        </is>
      </c>
      <c r="G20" s="72" t="inlineStr">
        <is>
          <t>kWh</t>
        </is>
      </c>
      <c r="H20" s="71" t="n">
        <v>91485000</v>
      </c>
      <c r="I20" s="71" t="n"/>
      <c r="J20" s="71" t="n"/>
      <c r="K20" s="71" t="n"/>
      <c r="L20" s="71" t="n"/>
      <c r="M20" s="71" t="n"/>
      <c r="N20" s="71" t="n"/>
      <c r="O20" s="71" t="n"/>
      <c r="P20" s="71" t="n"/>
      <c r="Q20" s="71" t="n"/>
      <c r="R20" s="71" t="n"/>
      <c r="S20" s="71" t="n"/>
      <c r="T20" s="71" t="n"/>
      <c r="U20" s="73" t="inlineStr">
        <is>
          <t>면적 기준 전력 배분</t>
        </is>
      </c>
      <c r="V20" s="74" t="n">
        <v>0.0004173</v>
      </c>
      <c r="W20" s="74" t="n">
        <v>365.0776413934427</v>
      </c>
    </row>
    <row r="21" ht="32.25" customHeight="1" s="60">
      <c r="B21" s="75" t="inlineStr">
        <is>
          <t>대한민국</t>
        </is>
      </c>
      <c r="C21" s="75" t="inlineStr">
        <is>
          <t>복합물류센터 B</t>
        </is>
      </c>
      <c r="D21" s="75" t="n">
        <v>42000</v>
      </c>
      <c r="E21" s="75" t="n">
        <v>3600</v>
      </c>
      <c r="F21" s="75" t="inlineStr">
        <is>
          <t>도시가스(LNG)</t>
        </is>
      </c>
      <c r="G21" s="79" t="inlineStr">
        <is>
          <t>Nm³</t>
        </is>
      </c>
      <c r="H21" s="75" t="n"/>
      <c r="I21" s="75" t="n">
        <v>18000</v>
      </c>
      <c r="J21" s="75" t="n">
        <v>18000</v>
      </c>
      <c r="K21" s="75" t="n">
        <v>18000</v>
      </c>
      <c r="L21" s="75" t="n">
        <v>18000</v>
      </c>
      <c r="M21" s="75" t="n">
        <v>18000</v>
      </c>
      <c r="N21" s="75" t="n">
        <v>18000</v>
      </c>
      <c r="O21" s="75" t="n">
        <v>18000</v>
      </c>
      <c r="P21" s="75" t="n">
        <v>18000</v>
      </c>
      <c r="Q21" s="75" t="n">
        <v>18000</v>
      </c>
      <c r="R21" s="75" t="n">
        <v>18000</v>
      </c>
      <c r="S21" s="75" t="n">
        <v>18000</v>
      </c>
      <c r="T21" s="75" t="n">
        <v>18000</v>
      </c>
      <c r="U21" s="76" t="inlineStr">
        <is>
          <t>임차면적 비율로 난방 사용량 배분</t>
        </is>
      </c>
      <c r="V21" s="77" t="n">
        <v>0.0021621</v>
      </c>
      <c r="W21" s="77" t="n">
        <v>40.02973714285714</v>
      </c>
    </row>
    <row r="22" ht="32.25" customHeight="1" s="60">
      <c r="B22" s="75" t="inlineStr">
        <is>
          <t>베트남</t>
        </is>
      </c>
      <c r="C22" s="75" t="inlineStr">
        <is>
          <t>현지 임차공장</t>
        </is>
      </c>
      <c r="D22" s="75" t="n">
        <v>25000</v>
      </c>
      <c r="E22" s="75" t="n">
        <v>5000</v>
      </c>
      <c r="F22" s="75" t="inlineStr">
        <is>
          <t>전력</t>
        </is>
      </c>
      <c r="G22" s="79" t="inlineStr">
        <is>
          <t>kWh</t>
        </is>
      </c>
      <c r="H22" s="75" t="n">
        <v>5800000</v>
      </c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6" t="inlineStr">
        <is>
          <t>전체 건물 대비 사용 면적 배분</t>
        </is>
      </c>
      <c r="V22" s="77" t="n">
        <v>0.0004173</v>
      </c>
      <c r="W22" s="77" t="n">
        <v>484.068</v>
      </c>
    </row>
    <row r="23" ht="32.25" customHeight="1" s="60">
      <c r="B23" s="75" t="inlineStr">
        <is>
          <t>대한민국</t>
        </is>
      </c>
      <c r="C23" s="75" t="inlineStr">
        <is>
          <t>테스트랩 C</t>
        </is>
      </c>
      <c r="D23" s="75" t="n">
        <v>8600</v>
      </c>
      <c r="E23" s="75" t="n">
        <v>780</v>
      </c>
      <c r="F23" s="75" t="inlineStr">
        <is>
          <t>상수도</t>
        </is>
      </c>
      <c r="G23" s="79" t="inlineStr">
        <is>
          <t>m³</t>
        </is>
      </c>
      <c r="H23" s="75" t="n"/>
      <c r="I23" s="75" t="n">
        <v>2200</v>
      </c>
      <c r="J23" s="75" t="n">
        <v>2200</v>
      </c>
      <c r="K23" s="75" t="n">
        <v>2200</v>
      </c>
      <c r="L23" s="75" t="n">
        <v>2200</v>
      </c>
      <c r="M23" s="75" t="n">
        <v>2200</v>
      </c>
      <c r="N23" s="75" t="n">
        <v>2200</v>
      </c>
      <c r="O23" s="75" t="n">
        <v>2200</v>
      </c>
      <c r="P23" s="75" t="n">
        <v>2200</v>
      </c>
      <c r="Q23" s="75" t="n">
        <v>2200</v>
      </c>
      <c r="R23" s="75" t="n">
        <v>2200</v>
      </c>
      <c r="S23" s="75" t="n">
        <v>2200</v>
      </c>
      <c r="T23" s="75" t="n">
        <v>2200</v>
      </c>
      <c r="U23" s="76" t="inlineStr">
        <is>
          <t>공용 수도 사용량 면적 배분</t>
        </is>
      </c>
      <c r="V23" s="77" t="n">
        <v>0.000332</v>
      </c>
      <c r="W23" s="77" t="n">
        <v>0.7949469767441862</v>
      </c>
    </row>
    <row r="24" ht="16.5" customHeight="1" s="60">
      <c r="B24" s="75" t="inlineStr">
        <is>
          <t>대한민국</t>
        </is>
      </c>
      <c r="C24" s="75" t="inlineStr">
        <is>
          <t>공유오피스 F</t>
        </is>
      </c>
      <c r="D24" s="79" t="n">
        <v>9800</v>
      </c>
      <c r="E24" s="79" t="n">
        <v>95</v>
      </c>
      <c r="F24" s="75" t="inlineStr">
        <is>
          <t>전력</t>
        </is>
      </c>
      <c r="G24" s="79" t="inlineStr">
        <is>
          <t>kWh</t>
        </is>
      </c>
      <c r="H24" s="79" t="n">
        <v>62000000</v>
      </c>
      <c r="I24" s="79" t="n"/>
      <c r="J24" s="79" t="n"/>
      <c r="K24" s="79" t="n"/>
      <c r="L24" s="79" t="n"/>
      <c r="M24" s="79" t="n"/>
      <c r="N24" s="79" t="n"/>
      <c r="O24" s="79" t="n"/>
      <c r="P24" s="79" t="n"/>
      <c r="Q24" s="79" t="n"/>
      <c r="R24" s="79" t="n"/>
      <c r="S24" s="79" t="n"/>
      <c r="T24" s="79" t="n"/>
      <c r="U24" s="76" t="inlineStr">
        <is>
          <t>공유오피스F 면적 기준 전력 배분(추가)</t>
        </is>
      </c>
      <c r="V24" s="77" t="n">
        <v>0.0004173</v>
      </c>
      <c r="W24" s="77" t="n">
        <v>250.8058163265306</v>
      </c>
    </row>
    <row r="25" ht="16.5" customHeight="1" s="60">
      <c r="B25" s="75" t="inlineStr">
        <is>
          <t>대한민국</t>
        </is>
      </c>
      <c r="C25" s="75" t="inlineStr">
        <is>
          <t>물류단지 G</t>
        </is>
      </c>
      <c r="D25" s="79" t="n">
        <v>31000</v>
      </c>
      <c r="E25" s="79" t="n">
        <v>2800</v>
      </c>
      <c r="F25" s="75" t="inlineStr">
        <is>
          <t>전력</t>
        </is>
      </c>
      <c r="G25" s="79" t="inlineStr">
        <is>
          <t>kWh</t>
        </is>
      </c>
      <c r="H25" s="79" t="n"/>
      <c r="I25" s="79" t="n">
        <v>4500000</v>
      </c>
      <c r="J25" s="79" t="n">
        <v>4500000</v>
      </c>
      <c r="K25" s="79" t="n">
        <v>4500000</v>
      </c>
      <c r="L25" s="79" t="n">
        <v>4500000</v>
      </c>
      <c r="M25" s="79" t="n">
        <v>4500000</v>
      </c>
      <c r="N25" s="79" t="n">
        <v>4500000</v>
      </c>
      <c r="O25" s="79" t="n">
        <v>4500000</v>
      </c>
      <c r="P25" s="79" t="n">
        <v>4500000</v>
      </c>
      <c r="Q25" s="79" t="n">
        <v>4500000</v>
      </c>
      <c r="R25" s="79" t="n">
        <v>4500000</v>
      </c>
      <c r="S25" s="79" t="n">
        <v>4500000</v>
      </c>
      <c r="T25" s="79" t="n">
        <v>4500000</v>
      </c>
      <c r="U25" s="76" t="inlineStr">
        <is>
          <t>물류단지 면적 배분</t>
        </is>
      </c>
      <c r="V25" s="77" t="n">
        <v>0.0004173</v>
      </c>
      <c r="W25" s="77" t="n">
        <v>2035.347096774193</v>
      </c>
    </row>
    <row r="26" ht="16.5" customHeight="1" s="60">
      <c r="B26" s="75" t="inlineStr">
        <is>
          <t>일본</t>
        </is>
      </c>
      <c r="C26" s="75" t="inlineStr">
        <is>
          <t>오사카 임차매장</t>
        </is>
      </c>
      <c r="D26" s="79" t="n">
        <v>6200</v>
      </c>
      <c r="E26" s="79" t="n">
        <v>45</v>
      </c>
      <c r="F26" s="75" t="inlineStr">
        <is>
          <t>전력</t>
        </is>
      </c>
      <c r="G26" s="79" t="inlineStr">
        <is>
          <t>kWh</t>
        </is>
      </c>
      <c r="H26" s="79" t="n">
        <v>15000000</v>
      </c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6" t="inlineStr">
        <is>
          <t>매장 면적 기준 배분</t>
        </is>
      </c>
      <c r="V26" s="77" t="n">
        <v>0.0004173</v>
      </c>
      <c r="W26" s="77" t="n">
        <v>45.43185483870968</v>
      </c>
    </row>
    <row r="27" ht="16.5" customHeight="1" s="60">
      <c r="B27" s="75" t="inlineStr">
        <is>
          <t>대한민국</t>
        </is>
      </c>
      <c r="C27" s="75" t="inlineStr">
        <is>
          <t>상업시설 H</t>
        </is>
      </c>
      <c r="D27" s="79" t="n">
        <v>18500</v>
      </c>
      <c r="E27" s="79" t="n">
        <v>210</v>
      </c>
      <c r="F27" s="75" t="inlineStr">
        <is>
          <t>도시가스(LNG)</t>
        </is>
      </c>
      <c r="G27" s="79" t="inlineStr">
        <is>
          <t>Nm³</t>
        </is>
      </c>
      <c r="H27" s="79" t="n"/>
      <c r="I27" s="79" t="n">
        <v>9800</v>
      </c>
      <c r="J27" s="79" t="n">
        <v>9800</v>
      </c>
      <c r="K27" s="79" t="n">
        <v>9800</v>
      </c>
      <c r="L27" s="79" t="n">
        <v>9800</v>
      </c>
      <c r="M27" s="79" t="n">
        <v>9800</v>
      </c>
      <c r="N27" s="79" t="n">
        <v>9800</v>
      </c>
      <c r="O27" s="79" t="n">
        <v>9800</v>
      </c>
      <c r="P27" s="79" t="n">
        <v>9800</v>
      </c>
      <c r="Q27" s="79" t="n">
        <v>9800</v>
      </c>
      <c r="R27" s="79" t="n">
        <v>9800</v>
      </c>
      <c r="S27" s="79" t="n">
        <v>9800</v>
      </c>
      <c r="T27" s="79" t="n">
        <v>9800</v>
      </c>
      <c r="U27" s="76" t="inlineStr">
        <is>
          <t>상업시설 난방 배분</t>
        </is>
      </c>
      <c r="V27" s="77" t="n">
        <v>0.0021621</v>
      </c>
      <c r="W27" s="77" t="n">
        <v>2.886228194594595</v>
      </c>
    </row>
    <row r="28" ht="16.5" customHeight="1" s="60">
      <c r="B28" s="75" t="inlineStr">
        <is>
          <t>베트남</t>
        </is>
      </c>
      <c r="C28" s="75" t="inlineStr">
        <is>
          <t>하노이 임차공장</t>
        </is>
      </c>
      <c r="D28" s="79" t="n">
        <v>15000</v>
      </c>
      <c r="E28" s="79" t="n">
        <v>3000</v>
      </c>
      <c r="F28" s="75" t="inlineStr">
        <is>
          <t>전력</t>
        </is>
      </c>
      <c r="G28" s="79" t="inlineStr">
        <is>
          <t>kWh</t>
        </is>
      </c>
      <c r="H28" s="79" t="n">
        <v>3600000</v>
      </c>
      <c r="I28" s="79" t="n"/>
      <c r="J28" s="79" t="n"/>
      <c r="K28" s="79" t="n"/>
      <c r="L28" s="79" t="n"/>
      <c r="M28" s="79" t="n"/>
      <c r="N28" s="79" t="n"/>
      <c r="O28" s="79" t="n"/>
      <c r="P28" s="79" t="n"/>
      <c r="Q28" s="79" t="n"/>
      <c r="R28" s="79" t="n"/>
      <c r="S28" s="79" t="n"/>
      <c r="T28" s="79" t="n"/>
      <c r="U28" s="76" t="inlineStr">
        <is>
          <t>임차공장 면적 배분</t>
        </is>
      </c>
      <c r="V28" s="77" t="n">
        <v>0.0004173</v>
      </c>
      <c r="W28" s="77" t="n">
        <v>300.456</v>
      </c>
    </row>
    <row r="29" ht="16.5" customHeight="1" s="60">
      <c r="B29" s="75" t="inlineStr">
        <is>
          <t>대한민국</t>
        </is>
      </c>
      <c r="C29" s="75" t="inlineStr">
        <is>
          <t>테스트랩 I</t>
        </is>
      </c>
      <c r="D29" s="79" t="n">
        <v>7200</v>
      </c>
      <c r="E29" s="79" t="n">
        <v>620</v>
      </c>
      <c r="F29" s="75" t="inlineStr">
        <is>
          <t>상수도</t>
        </is>
      </c>
      <c r="G29" s="79" t="inlineStr">
        <is>
          <t>m³</t>
        </is>
      </c>
      <c r="H29" s="79" t="n">
        <v>8900</v>
      </c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6" t="inlineStr">
        <is>
          <t>공용 수도 면적 배분</t>
        </is>
      </c>
      <c r="V29" s="77" t="n">
        <v>0.000332</v>
      </c>
      <c r="W29" s="77" t="n">
        <v>0.2544411111111111</v>
      </c>
    </row>
    <row r="30" ht="14.25" customHeight="1" s="60">
      <c r="B30" s="75" t="inlineStr">
        <is>
          <t>대한민국</t>
        </is>
      </c>
      <c r="C30" s="75" t="inlineStr">
        <is>
          <t>공유오피스F(강남점)</t>
        </is>
      </c>
      <c r="D30" s="79" t="n">
        <v>9850</v>
      </c>
      <c r="E30" s="79" t="n">
        <v>92</v>
      </c>
      <c r="F30" s="75" t="inlineStr">
        <is>
          <t>전력</t>
        </is>
      </c>
      <c r="G30" s="79" t="inlineStr">
        <is>
          <t>kWh</t>
        </is>
      </c>
      <c r="H30" s="79" t="n">
        <v>61200000</v>
      </c>
      <c r="I30" s="79" t="n"/>
      <c r="J30" s="79" t="n"/>
      <c r="K30" s="79" t="n"/>
      <c r="L30" s="79" t="n"/>
      <c r="M30" s="79" t="n"/>
      <c r="N30" s="79" t="n"/>
      <c r="O30" s="79" t="n"/>
      <c r="P30" s="79" t="n"/>
      <c r="Q30" s="79" t="n"/>
      <c r="R30" s="79" t="n"/>
      <c r="S30" s="79" t="n"/>
      <c r="T30" s="79" t="n"/>
      <c r="U30" s="76" t="inlineStr">
        <is>
          <t>면적수치 재실측필요(설계도면 기준 추정)</t>
        </is>
      </c>
      <c r="V30" s="77" t="n">
        <v>0.0004173</v>
      </c>
      <c r="W30" s="77" t="n">
        <v>238.5346111675127</v>
      </c>
    </row>
    <row r="31" ht="14.25" customHeight="1" s="60">
      <c r="B31" s="75" t="inlineStr">
        <is>
          <t>대한민국</t>
        </is>
      </c>
      <c r="C31" s="75" t="inlineStr">
        <is>
          <t>물류단지G-3블록</t>
        </is>
      </c>
      <c r="D31" s="79" t="n">
        <v>30500</v>
      </c>
      <c r="E31" s="79" t="n">
        <v>2750</v>
      </c>
      <c r="F31" s="75" t="inlineStr">
        <is>
          <t>전력</t>
        </is>
      </c>
      <c r="G31" s="79" t="inlineStr">
        <is>
          <t>kWh</t>
        </is>
      </c>
      <c r="H31" s="79" t="n"/>
      <c r="I31" s="79" t="n">
        <v>4380000</v>
      </c>
      <c r="J31" s="79" t="n">
        <v>4380000</v>
      </c>
      <c r="K31" s="79" t="n">
        <v>4380000</v>
      </c>
      <c r="L31" s="79" t="n">
        <v>4380000</v>
      </c>
      <c r="M31" s="79" t="n">
        <v>4380000</v>
      </c>
      <c r="N31" s="79" t="n">
        <v>4380000</v>
      </c>
      <c r="O31" s="79" t="n">
        <v>4380000</v>
      </c>
      <c r="P31" s="79" t="n">
        <v>4380000</v>
      </c>
      <c r="Q31" s="79" t="n">
        <v>4380000</v>
      </c>
      <c r="R31" s="79" t="n">
        <v>4380000</v>
      </c>
      <c r="S31" s="79" t="n">
        <v>4380000</v>
      </c>
      <c r="T31" s="79" t="n">
        <v>4380000</v>
      </c>
      <c r="U31" s="78" t="n"/>
      <c r="V31" s="77" t="n">
        <v>0.0004173</v>
      </c>
      <c r="W31" s="77" t="n">
        <v>1977.591540983607</v>
      </c>
    </row>
    <row r="32" ht="14.25" customHeight="1" s="60">
      <c r="B32" s="75" t="inlineStr">
        <is>
          <t>일본</t>
        </is>
      </c>
      <c r="C32" s="75" t="inlineStr">
        <is>
          <t>오사카 임차매장</t>
        </is>
      </c>
      <c r="D32" s="79" t="n">
        <v>6150</v>
      </c>
      <c r="E32" s="79" t="n">
        <v>43</v>
      </c>
      <c r="F32" s="75" t="inlineStr">
        <is>
          <t>전력</t>
        </is>
      </c>
      <c r="G32" s="79" t="inlineStr">
        <is>
          <t>kWh</t>
        </is>
      </c>
      <c r="H32" s="79" t="n">
        <v>14200000</v>
      </c>
      <c r="I32" s="79" t="n"/>
      <c r="J32" s="79" t="n"/>
      <c r="K32" s="79" t="n"/>
      <c r="L32" s="79" t="n"/>
      <c r="M32" s="79" t="n"/>
      <c r="N32" s="79" t="n"/>
      <c r="O32" s="79" t="n"/>
      <c r="P32" s="79" t="n"/>
      <c r="Q32" s="79" t="n"/>
      <c r="R32" s="79" t="n"/>
      <c r="S32" s="79" t="n"/>
      <c r="T32" s="79" t="n"/>
      <c r="U32" s="76" t="inlineStr">
        <is>
          <t>일본 현지 청구서 엔화-&gt;원화 환산치</t>
        </is>
      </c>
      <c r="V32" s="77" t="n">
        <v>0.0004173</v>
      </c>
      <c r="W32" s="77" t="n">
        <v>41.43144390243903</v>
      </c>
    </row>
    <row r="33" ht="14.25" customHeight="1" s="60">
      <c r="B33" s="79" t="n"/>
      <c r="C33" s="79" t="n"/>
      <c r="D33" s="79" t="n"/>
      <c r="E33" s="79" t="n"/>
      <c r="F33" s="75" t="n"/>
      <c r="G33" s="79" t="n"/>
      <c r="H33" s="79" t="n"/>
      <c r="I33" s="79" t="n"/>
      <c r="J33" s="79" t="n"/>
      <c r="K33" s="79" t="n"/>
      <c r="L33" s="79" t="n"/>
      <c r="M33" s="79" t="n"/>
      <c r="N33" s="79" t="n"/>
      <c r="O33" s="79" t="n"/>
      <c r="P33" s="79" t="n"/>
      <c r="Q33" s="79" t="n"/>
      <c r="R33" s="79" t="n"/>
      <c r="S33" s="79" t="n"/>
      <c r="T33" s="79" t="n"/>
      <c r="U33" s="78" t="n"/>
      <c r="V33" s="77" t="n"/>
      <c r="W33" s="77" t="n"/>
    </row>
    <row r="34" ht="14.25" customHeight="1" s="60">
      <c r="B34" s="79" t="n"/>
      <c r="C34" s="79" t="n"/>
      <c r="D34" s="79" t="n"/>
      <c r="E34" s="79" t="n"/>
      <c r="F34" s="75" t="n"/>
      <c r="G34" s="79" t="n"/>
      <c r="H34" s="79" t="n"/>
      <c r="I34" s="79" t="n"/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9" t="n"/>
      <c r="T34" s="79" t="n"/>
      <c r="U34" s="78" t="n"/>
      <c r="V34" s="77" t="n"/>
      <c r="W34" s="77" t="n"/>
    </row>
    <row r="35" ht="14.25" customHeight="1" s="60">
      <c r="B35" s="79" t="n"/>
      <c r="C35" s="79" t="n"/>
      <c r="D35" s="79" t="n"/>
      <c r="E35" s="79" t="n"/>
      <c r="F35" s="75" t="n"/>
      <c r="G35" s="79" t="n"/>
      <c r="H35" s="79" t="n"/>
      <c r="I35" s="79" t="n"/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9" t="n"/>
      <c r="T35" s="79" t="n"/>
      <c r="U35" s="78" t="n"/>
      <c r="V35" s="77" t="n"/>
      <c r="W35" s="77" t="n"/>
    </row>
    <row r="36" ht="14.25" customHeight="1" s="60">
      <c r="B36" s="79" t="n"/>
      <c r="C36" s="79" t="n"/>
      <c r="D36" s="79" t="n"/>
      <c r="E36" s="79" t="n"/>
      <c r="F36" s="75" t="n"/>
      <c r="G36" s="79" t="n"/>
      <c r="H36" s="79" t="n"/>
      <c r="I36" s="79" t="n"/>
      <c r="J36" s="79" t="n"/>
      <c r="K36" s="79" t="n"/>
      <c r="L36" s="79" t="n"/>
      <c r="M36" s="79" t="n"/>
      <c r="N36" s="79" t="n"/>
      <c r="O36" s="79" t="n"/>
      <c r="P36" s="79" t="n"/>
      <c r="Q36" s="79" t="n"/>
      <c r="R36" s="79" t="n"/>
      <c r="S36" s="79" t="n"/>
      <c r="T36" s="79" t="n"/>
      <c r="U36" s="78" t="n"/>
      <c r="V36" s="77" t="n"/>
      <c r="W36" s="77" t="n"/>
    </row>
    <row r="37" ht="14.25" customHeight="1" s="60">
      <c r="B37" s="79" t="n"/>
      <c r="C37" s="79" t="n"/>
      <c r="D37" s="79" t="n"/>
      <c r="E37" s="79" t="n"/>
      <c r="F37" s="75" t="n"/>
      <c r="G37" s="79" t="n"/>
      <c r="H37" s="79" t="n"/>
      <c r="I37" s="79" t="n"/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9" t="n"/>
      <c r="T37" s="79" t="n"/>
      <c r="U37" s="78" t="n"/>
      <c r="V37" s="77" t="n"/>
      <c r="W37" s="77" t="n"/>
    </row>
    <row r="38" ht="14.25" customHeight="1" s="60">
      <c r="B38" s="79" t="n"/>
      <c r="C38" s="79" t="n"/>
      <c r="D38" s="79" t="n"/>
      <c r="E38" s="79" t="n"/>
      <c r="F38" s="75" t="n"/>
      <c r="G38" s="79" t="n"/>
      <c r="H38" s="79" t="n"/>
      <c r="I38" s="79" t="n"/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9" t="n"/>
      <c r="T38" s="79" t="n"/>
      <c r="U38" s="78" t="n"/>
      <c r="V38" s="77" t="n"/>
      <c r="W38" s="77" t="n"/>
    </row>
    <row r="39" ht="14.25" customHeight="1" s="60">
      <c r="B39" s="79" t="n"/>
      <c r="C39" s="79" t="n"/>
      <c r="D39" s="79" t="n"/>
      <c r="E39" s="79" t="n"/>
      <c r="F39" s="75" t="n"/>
      <c r="G39" s="79" t="n"/>
      <c r="H39" s="79" t="n"/>
      <c r="I39" s="79" t="n"/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9" t="n"/>
      <c r="U39" s="78" t="n"/>
      <c r="V39" s="77" t="n"/>
      <c r="W39" s="77" t="n"/>
    </row>
    <row r="40" ht="14.25" customHeight="1" s="60">
      <c r="B40" s="79" t="n"/>
      <c r="C40" s="79" t="n"/>
      <c r="D40" s="79" t="n"/>
      <c r="E40" s="79" t="n"/>
      <c r="F40" s="75" t="n"/>
      <c r="G40" s="79" t="n"/>
      <c r="H40" s="79" t="n"/>
      <c r="I40" s="79" t="n"/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9" t="n"/>
      <c r="T40" s="79" t="n"/>
      <c r="U40" s="78" t="n"/>
      <c r="V40" s="77" t="n"/>
      <c r="W40" s="77" t="n"/>
    </row>
    <row r="41" ht="14.25" customHeight="1" s="60">
      <c r="B41" s="79" t="n"/>
      <c r="C41" s="79" t="n"/>
      <c r="D41" s="79" t="n"/>
      <c r="E41" s="79" t="n"/>
      <c r="F41" s="75" t="n"/>
      <c r="G41" s="79" t="n"/>
      <c r="H41" s="79" t="n"/>
      <c r="I41" s="79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9" t="n"/>
      <c r="T41" s="79" t="n"/>
      <c r="U41" s="78" t="n"/>
      <c r="V41" s="77" t="n"/>
      <c r="W41" s="77" t="n"/>
    </row>
    <row r="42" ht="14.25" customHeight="1" s="60">
      <c r="B42" s="79" t="n"/>
      <c r="C42" s="79" t="n"/>
      <c r="D42" s="79" t="n"/>
      <c r="E42" s="79" t="n"/>
      <c r="F42" s="75" t="n"/>
      <c r="G42" s="79" t="n"/>
      <c r="H42" s="79" t="n"/>
      <c r="I42" s="79" t="n"/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9" t="n"/>
      <c r="T42" s="79" t="n"/>
      <c r="U42" s="78" t="n"/>
      <c r="V42" s="77" t="n"/>
      <c r="W42" s="77" t="n"/>
    </row>
    <row r="43" ht="14.25" customHeight="1" s="60">
      <c r="B43" s="79" t="n"/>
      <c r="C43" s="79" t="n"/>
      <c r="D43" s="79" t="n"/>
      <c r="E43" s="79" t="n"/>
      <c r="F43" s="75" t="n"/>
      <c r="G43" s="79" t="n"/>
      <c r="H43" s="79" t="n"/>
      <c r="I43" s="7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9" t="n"/>
      <c r="T43" s="79" t="n"/>
      <c r="U43" s="78" t="n"/>
      <c r="V43" s="77" t="n"/>
      <c r="W43" s="77" t="n"/>
    </row>
    <row r="44" ht="14.25" customHeight="1" s="60">
      <c r="B44" s="79" t="n"/>
      <c r="C44" s="79" t="n"/>
      <c r="D44" s="79" t="n"/>
      <c r="E44" s="79" t="n"/>
      <c r="F44" s="75" t="n"/>
      <c r="G44" s="79" t="n"/>
      <c r="H44" s="79" t="n"/>
      <c r="I44" s="79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9" t="n"/>
      <c r="T44" s="79" t="n"/>
      <c r="U44" s="78" t="n"/>
      <c r="V44" s="77" t="n"/>
      <c r="W44" s="77" t="n"/>
    </row>
    <row r="45" ht="14.25" customHeight="1" s="60">
      <c r="B45" s="79" t="n"/>
      <c r="C45" s="79" t="n"/>
      <c r="D45" s="79" t="n"/>
      <c r="E45" s="79" t="n"/>
      <c r="F45" s="75" t="n"/>
      <c r="G45" s="79" t="n"/>
      <c r="H45" s="79" t="n"/>
      <c r="I45" s="79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9" t="n"/>
      <c r="T45" s="79" t="n"/>
      <c r="U45" s="78" t="n"/>
      <c r="V45" s="77" t="n"/>
      <c r="W45" s="77" t="n"/>
    </row>
    <row r="46" ht="14.25" customHeight="1" s="60">
      <c r="B46" s="79" t="n"/>
      <c r="C46" s="79" t="n"/>
      <c r="D46" s="79" t="n"/>
      <c r="E46" s="79" t="n"/>
      <c r="F46" s="75" t="n"/>
      <c r="G46" s="79" t="n"/>
      <c r="H46" s="79" t="n"/>
      <c r="I46" s="79" t="n"/>
      <c r="J46" s="79" t="n"/>
      <c r="K46" s="79" t="n"/>
      <c r="L46" s="79" t="n"/>
      <c r="M46" s="79" t="n"/>
      <c r="N46" s="79" t="n"/>
      <c r="O46" s="79" t="n"/>
      <c r="P46" s="79" t="n"/>
      <c r="Q46" s="79" t="n"/>
      <c r="R46" s="79" t="n"/>
      <c r="S46" s="79" t="n"/>
      <c r="T46" s="79" t="n"/>
      <c r="U46" s="78" t="n"/>
      <c r="V46" s="77" t="n"/>
      <c r="W46" s="77" t="n"/>
    </row>
    <row r="47" ht="14.25" customHeight="1" s="60">
      <c r="B47" s="79" t="n"/>
      <c r="C47" s="79" t="n"/>
      <c r="D47" s="79" t="n"/>
      <c r="E47" s="79" t="n"/>
      <c r="F47" s="75" t="n"/>
      <c r="G47" s="79" t="n"/>
      <c r="H47" s="79" t="n"/>
      <c r="I47" s="79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9" t="n"/>
      <c r="T47" s="79" t="n"/>
      <c r="U47" s="78" t="n"/>
      <c r="V47" s="77" t="n"/>
      <c r="W47" s="77" t="n"/>
    </row>
    <row r="48" ht="14.25" customHeight="1" s="60">
      <c r="B48" s="79" t="n"/>
      <c r="C48" s="79" t="n"/>
      <c r="D48" s="79" t="n"/>
      <c r="E48" s="79" t="n"/>
      <c r="F48" s="75" t="n"/>
      <c r="G48" s="79" t="n"/>
      <c r="H48" s="79" t="n"/>
      <c r="I48" s="79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9" t="n"/>
      <c r="T48" s="79" t="n"/>
      <c r="U48" s="78" t="n"/>
      <c r="V48" s="77" t="n"/>
      <c r="W48" s="77" t="n"/>
    </row>
    <row r="49" ht="14.25" customHeight="1" s="60">
      <c r="B49" s="79" t="n"/>
      <c r="C49" s="79" t="n"/>
      <c r="D49" s="79" t="n"/>
      <c r="E49" s="79" t="n"/>
      <c r="F49" s="75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78" t="n"/>
      <c r="V49" s="77" t="n"/>
      <c r="W49" s="77" t="n"/>
    </row>
    <row r="50" ht="14.25" customHeight="1" s="60">
      <c r="B50" s="79" t="n"/>
      <c r="C50" s="79" t="n"/>
      <c r="D50" s="79" t="n"/>
      <c r="E50" s="79" t="n"/>
      <c r="F50" s="75" t="n"/>
      <c r="G50" s="79" t="n"/>
      <c r="H50" s="79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9" t="n"/>
      <c r="T50" s="79" t="n"/>
      <c r="U50" s="78" t="n"/>
      <c r="V50" s="77" t="n"/>
      <c r="W50" s="77" t="n"/>
    </row>
    <row r="51" ht="14.25" customHeight="1" s="60">
      <c r="B51" s="79" t="n"/>
      <c r="C51" s="79" t="n"/>
      <c r="D51" s="79" t="n"/>
      <c r="E51" s="79" t="n"/>
      <c r="F51" s="75" t="n"/>
      <c r="G51" s="79" t="n"/>
      <c r="H51" s="79" t="n"/>
      <c r="I51" s="79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9" t="n"/>
      <c r="T51" s="79" t="n"/>
      <c r="U51" s="78" t="n"/>
      <c r="V51" s="77" t="n"/>
      <c r="W51" s="77" t="n"/>
    </row>
    <row r="52" ht="14.25" customHeight="1" s="60">
      <c r="B52" s="79" t="n"/>
      <c r="C52" s="79" t="n"/>
      <c r="D52" s="79" t="n"/>
      <c r="E52" s="79" t="n"/>
      <c r="F52" s="75" t="n"/>
      <c r="G52" s="79" t="n"/>
      <c r="H52" s="79" t="n"/>
      <c r="I52" s="79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9" t="n"/>
      <c r="T52" s="79" t="n"/>
      <c r="U52" s="78" t="n"/>
      <c r="V52" s="77" t="n"/>
      <c r="W52" s="77" t="n"/>
    </row>
    <row r="53" ht="14.25" customHeight="1" s="60">
      <c r="B53" s="79" t="n"/>
      <c r="C53" s="79" t="n"/>
      <c r="D53" s="79" t="n"/>
      <c r="E53" s="79" t="n"/>
      <c r="F53" s="75" t="n"/>
      <c r="G53" s="79" t="n"/>
      <c r="H53" s="79" t="n"/>
      <c r="I53" s="79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8" t="n"/>
      <c r="V53" s="77" t="n"/>
      <c r="W53" s="77" t="n"/>
    </row>
    <row r="54" ht="14.25" customHeight="1" s="60">
      <c r="B54" s="79" t="n"/>
      <c r="C54" s="79" t="n"/>
      <c r="D54" s="79" t="n"/>
      <c r="E54" s="79" t="n"/>
      <c r="F54" s="75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78" t="n"/>
      <c r="V54" s="77" t="n"/>
      <c r="W54" s="77" t="n"/>
    </row>
    <row r="55" ht="14.25" customHeight="1" s="60">
      <c r="B55" s="79" t="n"/>
      <c r="C55" s="79" t="n"/>
      <c r="D55" s="79" t="n"/>
      <c r="E55" s="79" t="n"/>
      <c r="F55" s="75" t="n"/>
      <c r="G55" s="79" t="n"/>
      <c r="H55" s="79" t="n"/>
      <c r="I55" s="79" t="n"/>
      <c r="J55" s="79" t="n"/>
      <c r="K55" s="79" t="n"/>
      <c r="L55" s="79" t="n"/>
      <c r="M55" s="79" t="n"/>
      <c r="N55" s="79" t="n"/>
      <c r="O55" s="79" t="n"/>
      <c r="P55" s="79" t="n"/>
      <c r="Q55" s="79" t="n"/>
      <c r="R55" s="79" t="n"/>
      <c r="S55" s="79" t="n"/>
      <c r="T55" s="79" t="n"/>
      <c r="U55" s="78" t="n"/>
      <c r="V55" s="77" t="n"/>
      <c r="W55" s="77" t="n"/>
    </row>
  </sheetData>
  <mergeCells count="10">
    <mergeCell ref="U18:U19"/>
    <mergeCell ref="W18:W19"/>
    <mergeCell ref="D18:D19"/>
    <mergeCell ref="B18:B19"/>
    <mergeCell ref="E18:E19"/>
    <mergeCell ref="C18:C19"/>
    <mergeCell ref="I18:T18"/>
    <mergeCell ref="G18:G19"/>
    <mergeCell ref="V18:V19"/>
    <mergeCell ref="F18:F19"/>
  </mergeCells>
  <dataValidations count="2">
    <dataValidation sqref="F21:F220" showDropDown="0" showInputMessage="0" showErrorMessage="0" allowBlank="0" type="list" errorStyle="stop" operator="between">
      <formula1>"전력,도시가스,스팀,경유,휘발유,등유,중유,LPG,천연가스,기타"</formula1>
      <formula2>0</formula2>
    </dataValidation>
    <dataValidation sqref="G21:G220" showDropDown="0" showInputMessage="0" showErrorMessage="0" allowBlank="0" type="list" errorStyle="stop" operator="between">
      <formula1>"kWh,MJ,kg,L,m3,Nm3,ton"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W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59" min="2" max="2"/>
    <col width="18" customWidth="1" style="59" min="3" max="4"/>
    <col width="16" customWidth="1" style="59" min="5" max="6"/>
    <col width="10" customWidth="1" style="59" min="7" max="7"/>
    <col width="19.87" customWidth="1" style="59" min="8" max="8"/>
    <col width="8" customWidth="1" style="59" min="9" max="20"/>
    <col width="18" customWidth="1" style="59" min="21" max="21"/>
    <col width="20" customWidth="1" style="59" min="22" max="22"/>
    <col width="16" customWidth="1" style="59" min="23" max="23"/>
  </cols>
  <sheetData>
    <row r="1"/>
    <row r="2" ht="20.25" customHeight="1" s="60">
      <c r="B2" s="61" t="inlineStr">
        <is>
          <t>C8. 업스트림 임차자산 3안. 인원수로 비율을 계산해야 할 때</t>
        </is>
      </c>
    </row>
    <row r="3"/>
    <row r="4" ht="14.25" customHeight="1" s="60">
      <c r="B4" s="62" t="inlineStr">
        <is>
          <t>카테고리 정의</t>
        </is>
      </c>
    </row>
    <row r="5" ht="14.25" customHeight="1" s="60">
      <c r="B5" s="63" t="inlineStr">
        <is>
          <t>- 회사가 사용하는 임차자산의 에너지 사용량과 면적 정보를 직접 알 수 없는 경우 산정</t>
        </is>
      </c>
    </row>
    <row r="6" ht="14.25" customHeight="1" s="60">
      <c r="B6" s="63" t="inlineStr">
        <is>
          <t>- 건물 전체 에너지 사용량은 알고 있으나 인원수 기준으로 배분해야 할 때 작성</t>
        </is>
      </c>
    </row>
    <row r="7"/>
    <row r="8"/>
    <row r="9" ht="14.25" customHeight="1" s="60">
      <c r="B9" s="62" t="inlineStr">
        <is>
          <t>작성 기준</t>
        </is>
      </c>
    </row>
    <row r="10" ht="14.25" customHeight="1" s="60">
      <c r="B10" s="63" t="inlineStr">
        <is>
          <t>1) 온실가스 산정 식: Σ((자사 인원수 / 건물전체 인원수) × 건물전체 에너지 사용량 × 에너지원별 배출계수)</t>
        </is>
      </c>
    </row>
    <row r="11" ht="14.25" customHeight="1" s="60">
      <c r="B11" s="63" t="inlineStr">
        <is>
          <t xml:space="preserve"> - 온실가스 배출 계수는 국가 승인 고유 배출계수(국내)와 IPCC 가이드라인 배출계수(해외), 환경부_환경성적표지(EPD) 배출계수를 활용</t>
        </is>
      </c>
    </row>
    <row r="12" ht="14.25" customHeight="1" s="60">
      <c r="B12" s="63" t="inlineStr">
        <is>
          <t>2) 건물전체 인원수와 자사 인원수는 반드시 작성</t>
        </is>
      </c>
    </row>
    <row r="13" ht="14.25" customHeight="1" s="60">
      <c r="B13" s="63" t="inlineStr">
        <is>
          <t>3) 면적 기준 자료가 있는 경우에는 인원수 기준보다 면적 기준 산정을 우선 적용</t>
        </is>
      </c>
    </row>
    <row r="14"/>
    <row r="15"/>
    <row r="16" ht="14.25" customHeight="1" s="60">
      <c r="B16" s="64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0">
      <c r="B17" s="64" t="inlineStr">
        <is>
          <t>※ 주황색으로 표시된 필수 입력칸은 반드시 작성해야 합니다.</t>
        </is>
      </c>
    </row>
    <row r="18" ht="15" customHeight="1" s="60">
      <c r="B18" s="65" t="inlineStr">
        <is>
          <t>*국가</t>
        </is>
      </c>
      <c r="C18" s="65" t="inlineStr">
        <is>
          <t>*임차자산명</t>
        </is>
      </c>
      <c r="D18" s="65" t="inlineStr">
        <is>
          <t>*건물전체 인원수</t>
        </is>
      </c>
      <c r="E18" s="65" t="inlineStr">
        <is>
          <t>*자사 인원수</t>
        </is>
      </c>
      <c r="F18" s="65" t="inlineStr">
        <is>
          <t>*에너지종류</t>
        </is>
      </c>
      <c r="G18" s="65" t="inlineStr">
        <is>
          <t>*단위</t>
        </is>
      </c>
      <c r="H18" s="67" t="inlineStr">
        <is>
          <t>연간 입력</t>
        </is>
      </c>
      <c r="I18" s="67" t="inlineStr">
        <is>
          <t>건물전체 월별사용량</t>
        </is>
      </c>
      <c r="J18" s="68" t="n"/>
      <c r="K18" s="68" t="n"/>
      <c r="L18" s="68" t="n"/>
      <c r="M18" s="68" t="n"/>
      <c r="N18" s="68" t="n"/>
      <c r="O18" s="68" t="n"/>
      <c r="P18" s="68" t="n"/>
      <c r="Q18" s="68" t="n"/>
      <c r="R18" s="68" t="n"/>
      <c r="S18" s="68" t="n"/>
      <c r="T18" s="69" t="n"/>
      <c r="U18" s="66" t="inlineStr">
        <is>
          <t>비고(선택)</t>
        </is>
      </c>
      <c r="V18" s="66" t="inlineStr">
        <is>
          <t>배출계수(tCO2e/단위)</t>
        </is>
      </c>
      <c r="W18" s="66" t="inlineStr">
        <is>
          <t>배출량(tCO2e)</t>
        </is>
      </c>
    </row>
    <row r="19" ht="15" customHeight="1" s="60">
      <c r="B19" s="70" t="n"/>
      <c r="C19" s="70" t="n"/>
      <c r="D19" s="70" t="n"/>
      <c r="E19" s="70" t="n"/>
      <c r="F19" s="70" t="n"/>
      <c r="G19" s="70" t="n"/>
      <c r="H19" s="65" t="inlineStr">
        <is>
          <t>*건물전체 연간사용량</t>
        </is>
      </c>
      <c r="I19" s="65" t="inlineStr">
        <is>
          <t>1월</t>
        </is>
      </c>
      <c r="J19" s="65" t="inlineStr">
        <is>
          <t>2월</t>
        </is>
      </c>
      <c r="K19" s="65" t="inlineStr">
        <is>
          <t>3월</t>
        </is>
      </c>
      <c r="L19" s="65" t="inlineStr">
        <is>
          <t>4월</t>
        </is>
      </c>
      <c r="M19" s="65" t="inlineStr">
        <is>
          <t>5월</t>
        </is>
      </c>
      <c r="N19" s="65" t="inlineStr">
        <is>
          <t>6월</t>
        </is>
      </c>
      <c r="O19" s="65" t="inlineStr">
        <is>
          <t>7월</t>
        </is>
      </c>
      <c r="P19" s="65" t="inlineStr">
        <is>
          <t>8월</t>
        </is>
      </c>
      <c r="Q19" s="65" t="inlineStr">
        <is>
          <t>9월</t>
        </is>
      </c>
      <c r="R19" s="65" t="inlineStr">
        <is>
          <t>10월</t>
        </is>
      </c>
      <c r="S19" s="65" t="inlineStr">
        <is>
          <t>11월</t>
        </is>
      </c>
      <c r="T19" s="65" t="inlineStr">
        <is>
          <t>12월</t>
        </is>
      </c>
      <c r="U19" s="70" t="n"/>
      <c r="V19" s="70" t="n"/>
      <c r="W19" s="70" t="n"/>
    </row>
    <row r="20" ht="32.25" customHeight="1" s="60">
      <c r="B20" s="71" t="inlineStr">
        <is>
          <t>대한민국</t>
        </is>
      </c>
      <c r="C20" s="71" t="inlineStr">
        <is>
          <t>공유오피스 C</t>
        </is>
      </c>
      <c r="D20" s="71" t="n">
        <v>1432</v>
      </c>
      <c r="E20" s="71" t="n">
        <v>122</v>
      </c>
      <c r="F20" s="71" t="inlineStr">
        <is>
          <t>전력</t>
        </is>
      </c>
      <c r="G20" s="72" t="inlineStr">
        <is>
          <t>kWh</t>
        </is>
      </c>
      <c r="H20" s="71" t="n">
        <v>485000</v>
      </c>
      <c r="I20" s="71" t="n"/>
      <c r="J20" s="71" t="n"/>
      <c r="K20" s="71" t="n"/>
      <c r="L20" s="71" t="n"/>
      <c r="M20" s="71" t="n"/>
      <c r="N20" s="71" t="n"/>
      <c r="O20" s="71" t="n"/>
      <c r="P20" s="71" t="n"/>
      <c r="Q20" s="71" t="n"/>
      <c r="R20" s="71" t="n"/>
      <c r="S20" s="71" t="n"/>
      <c r="T20" s="71" t="n"/>
      <c r="U20" s="73" t="inlineStr">
        <is>
          <t>입주 인원 기준 전력 배분</t>
        </is>
      </c>
      <c r="V20" s="74" t="n">
        <v>0.0004173</v>
      </c>
      <c r="W20" s="74" t="n">
        <v>17.24276606145251</v>
      </c>
    </row>
    <row r="21" ht="32.25" customHeight="1" s="60">
      <c r="B21" s="75" t="inlineStr">
        <is>
          <t>대한민국</t>
        </is>
      </c>
      <c r="C21" s="75" t="inlineStr">
        <is>
          <t>교육센터 D</t>
        </is>
      </c>
      <c r="D21" s="75" t="n">
        <v>350</v>
      </c>
      <c r="E21" s="75" t="n">
        <v>48</v>
      </c>
      <c r="F21" s="75" t="inlineStr">
        <is>
          <t>도시가스(LNG)</t>
        </is>
      </c>
      <c r="G21" s="79" t="inlineStr">
        <is>
          <t>Nm³</t>
        </is>
      </c>
      <c r="H21" s="75" t="n"/>
      <c r="I21" s="75" t="n">
        <v>950</v>
      </c>
      <c r="J21" s="75" t="n">
        <v>950</v>
      </c>
      <c r="K21" s="75" t="n">
        <v>950</v>
      </c>
      <c r="L21" s="75" t="n">
        <v>950</v>
      </c>
      <c r="M21" s="75" t="n">
        <v>950</v>
      </c>
      <c r="N21" s="75" t="n">
        <v>950</v>
      </c>
      <c r="O21" s="75" t="n">
        <v>950</v>
      </c>
      <c r="P21" s="75" t="n">
        <v>950</v>
      </c>
      <c r="Q21" s="75" t="n">
        <v>950</v>
      </c>
      <c r="R21" s="75" t="n">
        <v>950</v>
      </c>
      <c r="S21" s="75" t="n">
        <v>950</v>
      </c>
      <c r="T21" s="75" t="n">
        <v>950</v>
      </c>
      <c r="U21" s="76" t="inlineStr">
        <is>
          <t>교육센터 공용 난방비 인원 배분</t>
        </is>
      </c>
      <c r="V21" s="77" t="n">
        <v>0.0021621</v>
      </c>
      <c r="W21" s="77" t="n">
        <v>3.380288914285715</v>
      </c>
    </row>
    <row r="22" ht="32.25" customHeight="1" s="60">
      <c r="B22" s="75" t="inlineStr">
        <is>
          <t>일본</t>
        </is>
      </c>
      <c r="C22" s="75" t="inlineStr">
        <is>
          <t>도쿄 공유오피스</t>
        </is>
      </c>
      <c r="D22" s="75" t="n">
        <v>800</v>
      </c>
      <c r="E22" s="75" t="n">
        <v>25</v>
      </c>
      <c r="F22" s="75" t="inlineStr">
        <is>
          <t>전력</t>
        </is>
      </c>
      <c r="G22" s="79" t="inlineStr">
        <is>
          <t>kWh</t>
        </is>
      </c>
      <c r="H22" s="75" t="n">
        <v>210000</v>
      </c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6" t="inlineStr">
        <is>
          <t>해외 공유오피스 인원 배분</t>
        </is>
      </c>
      <c r="V22" s="77" t="n">
        <v>0.0004173</v>
      </c>
      <c r="W22" s="77" t="n">
        <v>2.73853125</v>
      </c>
    </row>
    <row r="23" ht="32.25" customHeight="1" s="60">
      <c r="B23" s="75" t="inlineStr">
        <is>
          <t>대한민국</t>
        </is>
      </c>
      <c r="C23" s="75" t="inlineStr">
        <is>
          <t>콜센터 E</t>
        </is>
      </c>
      <c r="D23" s="75" t="n">
        <v>980</v>
      </c>
      <c r="E23" s="75" t="n">
        <v>140</v>
      </c>
      <c r="F23" s="75" t="inlineStr">
        <is>
          <t>상수도</t>
        </is>
      </c>
      <c r="G23" s="79" t="inlineStr">
        <is>
          <t>m³</t>
        </is>
      </c>
      <c r="H23" s="75" t="n"/>
      <c r="I23" s="75" t="n">
        <v>1200</v>
      </c>
      <c r="J23" s="75" t="n">
        <v>1200</v>
      </c>
      <c r="K23" s="75" t="n">
        <v>1200</v>
      </c>
      <c r="L23" s="75" t="n">
        <v>1200</v>
      </c>
      <c r="M23" s="75" t="n">
        <v>1200</v>
      </c>
      <c r="N23" s="75" t="n">
        <v>1200</v>
      </c>
      <c r="O23" s="75" t="n">
        <v>1200</v>
      </c>
      <c r="P23" s="75" t="n">
        <v>1200</v>
      </c>
      <c r="Q23" s="75" t="n">
        <v>1200</v>
      </c>
      <c r="R23" s="75" t="n">
        <v>1200</v>
      </c>
      <c r="S23" s="75" t="n">
        <v>1200</v>
      </c>
      <c r="T23" s="75" t="n">
        <v>1200</v>
      </c>
      <c r="U23" s="76" t="inlineStr">
        <is>
          <t>공용 수도 사용량 인원 배분</t>
        </is>
      </c>
      <c r="V23" s="77" t="n">
        <v>0.000332</v>
      </c>
      <c r="W23" s="77" t="n">
        <v>0.6829714285714286</v>
      </c>
    </row>
    <row r="24" ht="16.5" customHeight="1" s="60">
      <c r="B24" s="75" t="inlineStr">
        <is>
          <t>대한민국</t>
        </is>
      </c>
      <c r="C24" s="75" t="inlineStr">
        <is>
          <t>공유오피스 G</t>
        </is>
      </c>
      <c r="D24" s="79" t="n">
        <v>1600</v>
      </c>
      <c r="E24" s="79" t="n">
        <v>85</v>
      </c>
      <c r="F24" s="75" t="inlineStr">
        <is>
          <t>전력</t>
        </is>
      </c>
      <c r="G24" s="79" t="inlineStr">
        <is>
          <t>kWh</t>
        </is>
      </c>
      <c r="H24" s="79" t="n">
        <v>520000</v>
      </c>
      <c r="I24" s="79" t="n"/>
      <c r="J24" s="79" t="n"/>
      <c r="K24" s="79" t="n"/>
      <c r="L24" s="79" t="n"/>
      <c r="M24" s="79" t="n"/>
      <c r="N24" s="79" t="n"/>
      <c r="O24" s="79" t="n"/>
      <c r="P24" s="79" t="n"/>
      <c r="Q24" s="79" t="n"/>
      <c r="R24" s="79" t="n"/>
      <c r="S24" s="79" t="n"/>
      <c r="T24" s="79" t="n"/>
      <c r="U24" s="76" t="inlineStr">
        <is>
          <t>입주 인원 기준 배분</t>
        </is>
      </c>
      <c r="V24" s="77" t="n">
        <v>0.0004173</v>
      </c>
      <c r="W24" s="77" t="n">
        <v>11.5279125</v>
      </c>
    </row>
    <row r="25" ht="16.5" customHeight="1" s="60">
      <c r="B25" s="75" t="inlineStr">
        <is>
          <t>대한민국</t>
        </is>
      </c>
      <c r="C25" s="75" t="inlineStr">
        <is>
          <t>연수원 H</t>
        </is>
      </c>
      <c r="D25" s="79" t="n">
        <v>420</v>
      </c>
      <c r="E25" s="79" t="n">
        <v>60</v>
      </c>
      <c r="F25" s="75" t="inlineStr">
        <is>
          <t>전력</t>
        </is>
      </c>
      <c r="G25" s="79" t="inlineStr">
        <is>
          <t>kWh</t>
        </is>
      </c>
      <c r="H25" s="79" t="n"/>
      <c r="I25" s="79" t="n">
        <v>18000</v>
      </c>
      <c r="J25" s="79" t="n">
        <v>18000</v>
      </c>
      <c r="K25" s="79" t="n">
        <v>18000</v>
      </c>
      <c r="L25" s="79" t="n">
        <v>18000</v>
      </c>
      <c r="M25" s="79" t="n">
        <v>18000</v>
      </c>
      <c r="N25" s="79" t="n">
        <v>18000</v>
      </c>
      <c r="O25" s="79" t="n">
        <v>18000</v>
      </c>
      <c r="P25" s="79" t="n">
        <v>18000</v>
      </c>
      <c r="Q25" s="79" t="n">
        <v>18000</v>
      </c>
      <c r="R25" s="79" t="n">
        <v>18000</v>
      </c>
      <c r="S25" s="79" t="n">
        <v>18000</v>
      </c>
      <c r="T25" s="79" t="n">
        <v>18000</v>
      </c>
      <c r="U25" s="76" t="inlineStr">
        <is>
          <t>연수원 인원 배분</t>
        </is>
      </c>
      <c r="V25" s="77" t="n">
        <v>0.0004173</v>
      </c>
      <c r="W25" s="77" t="n">
        <v>12.87668571428571</v>
      </c>
    </row>
    <row r="26" ht="32.25" customHeight="1" s="60">
      <c r="B26" s="75" t="inlineStr">
        <is>
          <t>일본</t>
        </is>
      </c>
      <c r="C26" s="75" t="inlineStr">
        <is>
          <t>오사카 공유오피스</t>
        </is>
      </c>
      <c r="D26" s="79" t="n">
        <v>950</v>
      </c>
      <c r="E26" s="79" t="n">
        <v>30</v>
      </c>
      <c r="F26" s="75" t="inlineStr">
        <is>
          <t>전력</t>
        </is>
      </c>
      <c r="G26" s="79" t="inlineStr">
        <is>
          <t>kWh</t>
        </is>
      </c>
      <c r="H26" s="79" t="n">
        <v>240000</v>
      </c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6" t="inlineStr">
        <is>
          <t>오사카 공유오피스 인원 배분</t>
        </is>
      </c>
      <c r="V26" s="77" t="n">
        <v>0.0004173</v>
      </c>
      <c r="W26" s="77" t="n">
        <v>3.162694736842105</v>
      </c>
    </row>
    <row r="27" ht="32.25" customHeight="1" s="60">
      <c r="B27" s="75" t="inlineStr">
        <is>
          <t>대한민국</t>
        </is>
      </c>
      <c r="C27" s="75" t="inlineStr">
        <is>
          <t>물류센터 공용동</t>
        </is>
      </c>
      <c r="D27" s="79" t="n">
        <v>380</v>
      </c>
      <c r="E27" s="79" t="n">
        <v>210</v>
      </c>
      <c r="F27" s="75" t="inlineStr">
        <is>
          <t>도시가스(LNG)</t>
        </is>
      </c>
      <c r="G27" s="79" t="inlineStr">
        <is>
          <t>Nm³</t>
        </is>
      </c>
      <c r="H27" s="79" t="n">
        <v>5200</v>
      </c>
      <c r="I27" s="79" t="n"/>
      <c r="J27" s="79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79" t="n"/>
      <c r="T27" s="79" t="n"/>
      <c r="U27" s="76" t="inlineStr">
        <is>
          <t>물류센터 공용 난방 배분</t>
        </is>
      </c>
      <c r="V27" s="77" t="n">
        <v>0.0021621</v>
      </c>
      <c r="W27" s="77" t="n">
        <v>6.213192631578948</v>
      </c>
    </row>
    <row r="28" ht="32.25" customHeight="1" s="60">
      <c r="B28" s="75" t="inlineStr">
        <is>
          <t>미국</t>
        </is>
      </c>
      <c r="C28" s="75" t="inlineStr">
        <is>
          <t>시카고 공유오피스</t>
        </is>
      </c>
      <c r="D28" s="79" t="n">
        <v>700</v>
      </c>
      <c r="E28" s="79" t="n">
        <v>22</v>
      </c>
      <c r="F28" s="75" t="inlineStr">
        <is>
          <t>전력</t>
        </is>
      </c>
      <c r="G28" s="79" t="inlineStr">
        <is>
          <t>kWh</t>
        </is>
      </c>
      <c r="H28" s="79" t="n">
        <v>190000</v>
      </c>
      <c r="I28" s="79" t="n"/>
      <c r="J28" s="79" t="n"/>
      <c r="K28" s="79" t="n"/>
      <c r="L28" s="79" t="n"/>
      <c r="M28" s="79" t="n"/>
      <c r="N28" s="79" t="n"/>
      <c r="O28" s="79" t="n"/>
      <c r="P28" s="79" t="n"/>
      <c r="Q28" s="79" t="n"/>
      <c r="R28" s="79" t="n"/>
      <c r="S28" s="79" t="n"/>
      <c r="T28" s="79" t="n"/>
      <c r="U28" s="76" t="inlineStr">
        <is>
          <t>시카고 공유오피스 인원 배분</t>
        </is>
      </c>
      <c r="V28" s="77" t="n">
        <v>0.0004173</v>
      </c>
      <c r="W28" s="77" t="n">
        <v>2.491877142857143</v>
      </c>
    </row>
    <row r="29" ht="32.25" customHeight="1" s="60">
      <c r="B29" s="75" t="inlineStr">
        <is>
          <t>대한민국</t>
        </is>
      </c>
      <c r="C29" s="75" t="inlineStr">
        <is>
          <t>콜센터 F</t>
        </is>
      </c>
      <c r="D29" s="79" t="n">
        <v>650</v>
      </c>
      <c r="E29" s="79" t="n">
        <v>95</v>
      </c>
      <c r="F29" s="75" t="inlineStr">
        <is>
          <t>상수도</t>
        </is>
      </c>
      <c r="G29" s="79" t="inlineStr">
        <is>
          <t>m³</t>
        </is>
      </c>
      <c r="H29" s="79" t="n"/>
      <c r="I29" s="79" t="n">
        <v>980</v>
      </c>
      <c r="J29" s="79" t="n">
        <v>980</v>
      </c>
      <c r="K29" s="79" t="n">
        <v>980</v>
      </c>
      <c r="L29" s="79" t="n">
        <v>980</v>
      </c>
      <c r="M29" s="79" t="n">
        <v>980</v>
      </c>
      <c r="N29" s="79" t="n">
        <v>980</v>
      </c>
      <c r="O29" s="79" t="n">
        <v>980</v>
      </c>
      <c r="P29" s="79" t="n">
        <v>980</v>
      </c>
      <c r="Q29" s="79" t="n">
        <v>980</v>
      </c>
      <c r="R29" s="79" t="n">
        <v>980</v>
      </c>
      <c r="S29" s="79" t="n">
        <v>980</v>
      </c>
      <c r="T29" s="79" t="n">
        <v>980</v>
      </c>
      <c r="U29" s="76" t="inlineStr">
        <is>
          <t>콜센터 공용 수도 배분</t>
        </is>
      </c>
      <c r="V29" s="77" t="n">
        <v>0.000332</v>
      </c>
      <c r="W29" s="77" t="n">
        <v>0.5706313846153848</v>
      </c>
    </row>
    <row r="30" ht="14.25" customHeight="1" s="60">
      <c r="B30" s="75" t="inlineStr">
        <is>
          <t>대한민국</t>
        </is>
      </c>
      <c r="C30" s="75" t="inlineStr">
        <is>
          <t xml:space="preserve">공유오피스G </t>
        </is>
      </c>
      <c r="D30" s="79" t="n">
        <v>1580</v>
      </c>
      <c r="E30" s="79" t="n">
        <v>82</v>
      </c>
      <c r="F30" s="75" t="inlineStr">
        <is>
          <t>전력</t>
        </is>
      </c>
      <c r="G30" s="79" t="inlineStr">
        <is>
          <t>kWh</t>
        </is>
      </c>
      <c r="H30" s="79" t="n">
        <v>510000</v>
      </c>
      <c r="I30" s="79" t="n"/>
      <c r="J30" s="79" t="n"/>
      <c r="K30" s="79" t="n"/>
      <c r="L30" s="79" t="n"/>
      <c r="M30" s="79" t="n"/>
      <c r="N30" s="79" t="n"/>
      <c r="O30" s="79" t="n"/>
      <c r="P30" s="79" t="n"/>
      <c r="Q30" s="79" t="n"/>
      <c r="R30" s="79" t="n"/>
      <c r="S30" s="79" t="n"/>
      <c r="T30" s="79" t="n"/>
      <c r="U30" s="76" t="inlineStr">
        <is>
          <t>자사인원 수 매달변동있어서 연말기준 스냅샷</t>
        </is>
      </c>
      <c r="V30" s="77" t="n">
        <v>0.0004173</v>
      </c>
      <c r="W30" s="77" t="n">
        <v>11.04524430379747</v>
      </c>
    </row>
    <row r="31" ht="14.25" customHeight="1" s="60">
      <c r="B31" s="75" t="inlineStr">
        <is>
          <t>대한민국</t>
        </is>
      </c>
      <c r="C31" s="75" t="inlineStr">
        <is>
          <t>연수원H동</t>
        </is>
      </c>
      <c r="D31" s="79" t="n">
        <v>410</v>
      </c>
      <c r="E31" s="79" t="n">
        <v>58</v>
      </c>
      <c r="F31" s="75" t="inlineStr">
        <is>
          <t>전력</t>
        </is>
      </c>
      <c r="G31" s="79" t="inlineStr">
        <is>
          <t>kWh</t>
        </is>
      </c>
      <c r="H31" s="79" t="n"/>
      <c r="I31" s="79" t="n">
        <v>17600</v>
      </c>
      <c r="J31" s="79" t="n">
        <v>17600</v>
      </c>
      <c r="K31" s="79" t="n">
        <v>17600</v>
      </c>
      <c r="L31" s="79" t="n">
        <v>17600</v>
      </c>
      <c r="M31" s="79" t="n">
        <v>17600</v>
      </c>
      <c r="N31" s="79" t="n">
        <v>17600</v>
      </c>
      <c r="O31" s="79" t="n">
        <v>17600</v>
      </c>
      <c r="P31" s="79" t="n">
        <v>17600</v>
      </c>
      <c r="Q31" s="79" t="n">
        <v>17600</v>
      </c>
      <c r="R31" s="79" t="n">
        <v>17600</v>
      </c>
      <c r="S31" s="79" t="n">
        <v>17600</v>
      </c>
      <c r="T31" s="79" t="n">
        <v>17600</v>
      </c>
      <c r="U31" s="78" t="n"/>
      <c r="V31" s="77" t="n">
        <v>0.0004173</v>
      </c>
      <c r="W31" s="77" t="n">
        <v>12.46770263414634</v>
      </c>
    </row>
    <row r="32" ht="14.25" customHeight="1" s="60">
      <c r="B32" s="75" t="inlineStr">
        <is>
          <t>일본</t>
        </is>
      </c>
      <c r="C32" s="75" t="inlineStr">
        <is>
          <t>오사카 공유오피스</t>
        </is>
      </c>
      <c r="D32" s="79" t="n">
        <v>940</v>
      </c>
      <c r="E32" s="79" t="n">
        <v>28</v>
      </c>
      <c r="F32" s="75" t="inlineStr">
        <is>
          <t>전력</t>
        </is>
      </c>
      <c r="G32" s="79" t="inlineStr">
        <is>
          <t>kwh</t>
        </is>
      </c>
      <c r="H32" s="79" t="n">
        <v>232000</v>
      </c>
      <c r="I32" s="79" t="n"/>
      <c r="J32" s="79" t="n"/>
      <c r="K32" s="79" t="n"/>
      <c r="L32" s="79" t="n"/>
      <c r="M32" s="79" t="n"/>
      <c r="N32" s="79" t="n"/>
      <c r="O32" s="79" t="n"/>
      <c r="P32" s="79" t="n"/>
      <c r="Q32" s="79" t="n"/>
      <c r="R32" s="79" t="n"/>
      <c r="S32" s="79" t="n"/>
      <c r="T32" s="79" t="n"/>
      <c r="U32" s="76" t="inlineStr">
        <is>
          <t>단위표기 소문자kwh</t>
        </is>
      </c>
      <c r="V32" s="77" t="n">
        <v>0.0004173</v>
      </c>
      <c r="W32" s="77" t="n">
        <v>2.883809361702128</v>
      </c>
    </row>
    <row r="33" ht="14.25" customHeight="1" s="60">
      <c r="B33" s="79" t="n"/>
      <c r="C33" s="79" t="n"/>
      <c r="D33" s="79" t="n"/>
      <c r="E33" s="79" t="n"/>
      <c r="F33" s="75" t="n"/>
      <c r="G33" s="79" t="n"/>
      <c r="H33" s="79" t="n"/>
      <c r="I33" s="79" t="n"/>
      <c r="J33" s="79" t="n"/>
      <c r="K33" s="79" t="n"/>
      <c r="L33" s="79" t="n"/>
      <c r="M33" s="79" t="n"/>
      <c r="N33" s="79" t="n"/>
      <c r="O33" s="79" t="n"/>
      <c r="P33" s="79" t="n"/>
      <c r="Q33" s="79" t="n"/>
      <c r="R33" s="79" t="n"/>
      <c r="S33" s="79" t="n"/>
      <c r="T33" s="79" t="n"/>
      <c r="U33" s="78" t="n"/>
      <c r="V33" s="77" t="n"/>
      <c r="W33" s="77" t="n"/>
    </row>
    <row r="34" ht="14.25" customHeight="1" s="60">
      <c r="B34" s="79" t="n"/>
      <c r="C34" s="79" t="n"/>
      <c r="D34" s="79" t="n"/>
      <c r="E34" s="79" t="n"/>
      <c r="F34" s="75" t="n"/>
      <c r="G34" s="79" t="n"/>
      <c r="H34" s="79" t="n"/>
      <c r="I34" s="79" t="n"/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9" t="n"/>
      <c r="T34" s="79" t="n"/>
      <c r="U34" s="78" t="n"/>
      <c r="V34" s="77" t="n"/>
      <c r="W34" s="77" t="n"/>
    </row>
    <row r="35" ht="14.25" customHeight="1" s="60">
      <c r="B35" s="79" t="n"/>
      <c r="C35" s="79" t="n"/>
      <c r="D35" s="79" t="n"/>
      <c r="E35" s="79" t="n"/>
      <c r="F35" s="75" t="n"/>
      <c r="G35" s="79" t="n"/>
      <c r="H35" s="79" t="n"/>
      <c r="I35" s="79" t="n"/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9" t="n"/>
      <c r="T35" s="79" t="n"/>
      <c r="U35" s="78" t="n"/>
      <c r="V35" s="77" t="n"/>
      <c r="W35" s="77" t="n"/>
    </row>
    <row r="36" ht="14.25" customHeight="1" s="60">
      <c r="B36" s="79" t="n"/>
      <c r="C36" s="79" t="n"/>
      <c r="D36" s="79" t="n"/>
      <c r="E36" s="79" t="n"/>
      <c r="F36" s="75" t="n"/>
      <c r="G36" s="79" t="n"/>
      <c r="H36" s="79" t="n"/>
      <c r="I36" s="79" t="n"/>
      <c r="J36" s="79" t="n"/>
      <c r="K36" s="79" t="n"/>
      <c r="L36" s="79" t="n"/>
      <c r="M36" s="79" t="n"/>
      <c r="N36" s="79" t="n"/>
      <c r="O36" s="79" t="n"/>
      <c r="P36" s="79" t="n"/>
      <c r="Q36" s="79" t="n"/>
      <c r="R36" s="79" t="n"/>
      <c r="S36" s="79" t="n"/>
      <c r="T36" s="79" t="n"/>
      <c r="U36" s="78" t="n"/>
      <c r="V36" s="77" t="n"/>
      <c r="W36" s="77" t="n"/>
    </row>
    <row r="37" ht="14.25" customHeight="1" s="60">
      <c r="B37" s="79" t="n"/>
      <c r="C37" s="79" t="n"/>
      <c r="D37" s="79" t="n"/>
      <c r="E37" s="79" t="n"/>
      <c r="F37" s="75" t="n"/>
      <c r="G37" s="79" t="n"/>
      <c r="H37" s="79" t="n"/>
      <c r="I37" s="79" t="n"/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9" t="n"/>
      <c r="T37" s="79" t="n"/>
      <c r="U37" s="78" t="n"/>
      <c r="V37" s="77" t="n"/>
      <c r="W37" s="77" t="n"/>
    </row>
    <row r="38" ht="14.25" customHeight="1" s="60">
      <c r="B38" s="79" t="n"/>
      <c r="C38" s="79" t="n"/>
      <c r="D38" s="79" t="n"/>
      <c r="E38" s="79" t="n"/>
      <c r="F38" s="75" t="n"/>
      <c r="G38" s="79" t="n"/>
      <c r="H38" s="79" t="n"/>
      <c r="I38" s="79" t="n"/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9" t="n"/>
      <c r="T38" s="79" t="n"/>
      <c r="U38" s="78" t="n"/>
      <c r="V38" s="77" t="n"/>
      <c r="W38" s="77" t="n"/>
    </row>
    <row r="39" ht="14.25" customHeight="1" s="60">
      <c r="B39" s="79" t="n"/>
      <c r="C39" s="79" t="n"/>
      <c r="D39" s="79" t="n"/>
      <c r="E39" s="79" t="n"/>
      <c r="F39" s="75" t="n"/>
      <c r="G39" s="79" t="n"/>
      <c r="H39" s="79" t="n"/>
      <c r="I39" s="79" t="n"/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9" t="n"/>
      <c r="U39" s="78" t="n"/>
      <c r="V39" s="77" t="n"/>
      <c r="W39" s="77" t="n"/>
    </row>
    <row r="40" ht="14.25" customHeight="1" s="60">
      <c r="B40" s="79" t="n"/>
      <c r="C40" s="79" t="n"/>
      <c r="D40" s="79" t="n"/>
      <c r="E40" s="79" t="n"/>
      <c r="F40" s="75" t="n"/>
      <c r="G40" s="79" t="n"/>
      <c r="H40" s="79" t="n"/>
      <c r="I40" s="79" t="n"/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9" t="n"/>
      <c r="T40" s="79" t="n"/>
      <c r="U40" s="78" t="n"/>
      <c r="V40" s="77" t="n"/>
      <c r="W40" s="77" t="n"/>
    </row>
    <row r="41" ht="14.25" customHeight="1" s="60">
      <c r="B41" s="79" t="n"/>
      <c r="C41" s="79" t="n"/>
      <c r="D41" s="79" t="n"/>
      <c r="E41" s="79" t="n"/>
      <c r="F41" s="75" t="n"/>
      <c r="G41" s="79" t="n"/>
      <c r="H41" s="79" t="n"/>
      <c r="I41" s="79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9" t="n"/>
      <c r="T41" s="79" t="n"/>
      <c r="U41" s="78" t="n"/>
      <c r="V41" s="77" t="n"/>
      <c r="W41" s="77" t="n"/>
    </row>
    <row r="42" ht="14.25" customHeight="1" s="60">
      <c r="B42" s="79" t="n"/>
      <c r="C42" s="79" t="n"/>
      <c r="D42" s="79" t="n"/>
      <c r="E42" s="79" t="n"/>
      <c r="F42" s="75" t="n"/>
      <c r="G42" s="79" t="n"/>
      <c r="H42" s="79" t="n"/>
      <c r="I42" s="79" t="n"/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9" t="n"/>
      <c r="T42" s="79" t="n"/>
      <c r="U42" s="78" t="n"/>
      <c r="V42" s="77" t="n"/>
      <c r="W42" s="77" t="n"/>
    </row>
    <row r="43" ht="14.25" customHeight="1" s="60">
      <c r="B43" s="79" t="n"/>
      <c r="C43" s="79" t="n"/>
      <c r="D43" s="79" t="n"/>
      <c r="E43" s="79" t="n"/>
      <c r="F43" s="75" t="n"/>
      <c r="G43" s="79" t="n"/>
      <c r="H43" s="79" t="n"/>
      <c r="I43" s="7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9" t="n"/>
      <c r="T43" s="79" t="n"/>
      <c r="U43" s="78" t="n"/>
      <c r="V43" s="77" t="n"/>
      <c r="W43" s="77" t="n"/>
    </row>
    <row r="44" ht="14.25" customHeight="1" s="60">
      <c r="B44" s="79" t="n"/>
      <c r="C44" s="79" t="n"/>
      <c r="D44" s="79" t="n"/>
      <c r="E44" s="79" t="n"/>
      <c r="F44" s="75" t="n"/>
      <c r="G44" s="79" t="n"/>
      <c r="H44" s="79" t="n"/>
      <c r="I44" s="79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9" t="n"/>
      <c r="T44" s="79" t="n"/>
      <c r="U44" s="78" t="n"/>
      <c r="V44" s="77" t="n"/>
      <c r="W44" s="77" t="n"/>
    </row>
    <row r="45" ht="14.25" customHeight="1" s="60">
      <c r="B45" s="79" t="n"/>
      <c r="C45" s="79" t="n"/>
      <c r="D45" s="79" t="n"/>
      <c r="E45" s="79" t="n"/>
      <c r="F45" s="75" t="n"/>
      <c r="G45" s="79" t="n"/>
      <c r="H45" s="79" t="n"/>
      <c r="I45" s="79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9" t="n"/>
      <c r="T45" s="79" t="n"/>
      <c r="U45" s="78" t="n"/>
      <c r="V45" s="77" t="n"/>
      <c r="W45" s="77" t="n"/>
    </row>
    <row r="46" ht="14.25" customHeight="1" s="60">
      <c r="B46" s="79" t="n"/>
      <c r="C46" s="79" t="n"/>
      <c r="D46" s="79" t="n"/>
      <c r="E46" s="79" t="n"/>
      <c r="F46" s="75" t="n"/>
      <c r="G46" s="79" t="n"/>
      <c r="H46" s="79" t="n"/>
      <c r="I46" s="79" t="n"/>
      <c r="J46" s="79" t="n"/>
      <c r="K46" s="79" t="n"/>
      <c r="L46" s="79" t="n"/>
      <c r="M46" s="79" t="n"/>
      <c r="N46" s="79" t="n"/>
      <c r="O46" s="79" t="n"/>
      <c r="P46" s="79" t="n"/>
      <c r="Q46" s="79" t="n"/>
      <c r="R46" s="79" t="n"/>
      <c r="S46" s="79" t="n"/>
      <c r="T46" s="79" t="n"/>
      <c r="U46" s="78" t="n"/>
      <c r="V46" s="77" t="n"/>
      <c r="W46" s="77" t="n"/>
    </row>
    <row r="47" ht="14.25" customHeight="1" s="60">
      <c r="B47" s="79" t="n"/>
      <c r="C47" s="79" t="n"/>
      <c r="D47" s="79" t="n"/>
      <c r="E47" s="79" t="n"/>
      <c r="F47" s="75" t="n"/>
      <c r="G47" s="79" t="n"/>
      <c r="H47" s="79" t="n"/>
      <c r="I47" s="79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9" t="n"/>
      <c r="T47" s="79" t="n"/>
      <c r="U47" s="78" t="n"/>
      <c r="V47" s="77" t="n"/>
      <c r="W47" s="77" t="n"/>
    </row>
    <row r="48" ht="14.25" customHeight="1" s="60">
      <c r="B48" s="79" t="n"/>
      <c r="C48" s="79" t="n"/>
      <c r="D48" s="79" t="n"/>
      <c r="E48" s="79" t="n"/>
      <c r="F48" s="75" t="n"/>
      <c r="G48" s="79" t="n"/>
      <c r="H48" s="79" t="n"/>
      <c r="I48" s="79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9" t="n"/>
      <c r="T48" s="79" t="n"/>
      <c r="U48" s="78" t="n"/>
      <c r="V48" s="77" t="n"/>
      <c r="W48" s="77" t="n"/>
    </row>
    <row r="49" ht="14.25" customHeight="1" s="60">
      <c r="B49" s="79" t="n"/>
      <c r="C49" s="79" t="n"/>
      <c r="D49" s="79" t="n"/>
      <c r="E49" s="79" t="n"/>
      <c r="F49" s="75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78" t="n"/>
      <c r="V49" s="77" t="n"/>
      <c r="W49" s="77" t="n"/>
    </row>
    <row r="50" ht="14.25" customHeight="1" s="60">
      <c r="B50" s="79" t="n"/>
      <c r="C50" s="79" t="n"/>
      <c r="D50" s="79" t="n"/>
      <c r="E50" s="79" t="n"/>
      <c r="F50" s="75" t="n"/>
      <c r="G50" s="79" t="n"/>
      <c r="H50" s="79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9" t="n"/>
      <c r="T50" s="79" t="n"/>
      <c r="U50" s="78" t="n"/>
      <c r="V50" s="77" t="n"/>
      <c r="W50" s="77" t="n"/>
    </row>
    <row r="51" ht="14.25" customHeight="1" s="60">
      <c r="B51" s="79" t="n"/>
      <c r="C51" s="79" t="n"/>
      <c r="D51" s="79" t="n"/>
      <c r="E51" s="79" t="n"/>
      <c r="F51" s="75" t="n"/>
      <c r="G51" s="79" t="n"/>
      <c r="H51" s="79" t="n"/>
      <c r="I51" s="79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9" t="n"/>
      <c r="T51" s="79" t="n"/>
      <c r="U51" s="78" t="n"/>
      <c r="V51" s="77" t="n"/>
      <c r="W51" s="77" t="n"/>
    </row>
    <row r="52" ht="14.25" customHeight="1" s="60">
      <c r="B52" s="79" t="n"/>
      <c r="C52" s="79" t="n"/>
      <c r="D52" s="79" t="n"/>
      <c r="E52" s="79" t="n"/>
      <c r="F52" s="75" t="n"/>
      <c r="G52" s="79" t="n"/>
      <c r="H52" s="79" t="n"/>
      <c r="I52" s="79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9" t="n"/>
      <c r="T52" s="79" t="n"/>
      <c r="U52" s="78" t="n"/>
      <c r="V52" s="77" t="n"/>
      <c r="W52" s="77" t="n"/>
    </row>
    <row r="53" ht="14.25" customHeight="1" s="60">
      <c r="B53" s="79" t="n"/>
      <c r="C53" s="79" t="n"/>
      <c r="D53" s="79" t="n"/>
      <c r="E53" s="79" t="n"/>
      <c r="F53" s="75" t="n"/>
      <c r="G53" s="79" t="n"/>
      <c r="H53" s="79" t="n"/>
      <c r="I53" s="79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8" t="n"/>
      <c r="V53" s="77" t="n"/>
      <c r="W53" s="77" t="n"/>
    </row>
    <row r="54" ht="14.25" customHeight="1" s="60">
      <c r="B54" s="79" t="n"/>
      <c r="C54" s="79" t="n"/>
      <c r="D54" s="79" t="n"/>
      <c r="E54" s="79" t="n"/>
      <c r="F54" s="75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78" t="n"/>
      <c r="V54" s="77" t="n"/>
      <c r="W54" s="77" t="n"/>
    </row>
    <row r="55" ht="14.25" customHeight="1" s="60">
      <c r="B55" s="79" t="n"/>
      <c r="C55" s="79" t="n"/>
      <c r="D55" s="79" t="n"/>
      <c r="E55" s="79" t="n"/>
      <c r="F55" s="75" t="n"/>
      <c r="G55" s="79" t="n"/>
      <c r="H55" s="79" t="n"/>
      <c r="I55" s="79" t="n"/>
      <c r="J55" s="79" t="n"/>
      <c r="K55" s="79" t="n"/>
      <c r="L55" s="79" t="n"/>
      <c r="M55" s="79" t="n"/>
      <c r="N55" s="79" t="n"/>
      <c r="O55" s="79" t="n"/>
      <c r="P55" s="79" t="n"/>
      <c r="Q55" s="79" t="n"/>
      <c r="R55" s="79" t="n"/>
      <c r="S55" s="79" t="n"/>
      <c r="T55" s="79" t="n"/>
      <c r="U55" s="78" t="n"/>
      <c r="V55" s="77" t="n"/>
      <c r="W55" s="77" t="n"/>
    </row>
  </sheetData>
  <mergeCells count="10">
    <mergeCell ref="U18:U19"/>
    <mergeCell ref="W18:W19"/>
    <mergeCell ref="D18:D19"/>
    <mergeCell ref="B18:B19"/>
    <mergeCell ref="E18:E19"/>
    <mergeCell ref="C18:C19"/>
    <mergeCell ref="I18:T18"/>
    <mergeCell ref="G18:G19"/>
    <mergeCell ref="V18:V19"/>
    <mergeCell ref="F18:F19"/>
  </mergeCells>
  <dataValidations count="2">
    <dataValidation sqref="F21:F220" showDropDown="0" showInputMessage="0" showErrorMessage="0" allowBlank="0" type="list" errorStyle="stop" operator="between">
      <formula1>"전력,도시가스,스팀,경유,휘발유,등유,중유,LPG,천연가스,기타"</formula1>
      <formula2>0</formula2>
    </dataValidation>
    <dataValidation sqref="G21:G220" showDropDown="0" showInputMessage="0" showErrorMessage="0" allowBlank="0" type="list" errorStyle="stop" operator="between">
      <formula1>"kWh,MJ,kg,L,m3,Nm3,ton"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Y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59" min="2" max="2"/>
    <col width="16" customWidth="1" style="59" min="3" max="3"/>
    <col width="12" customWidth="1" style="59" min="4" max="4"/>
    <col width="20" customWidth="1" style="59" min="5" max="5"/>
    <col width="10" customWidth="1" style="59" min="6" max="6"/>
    <col width="22" customWidth="1" style="59" min="7" max="8"/>
    <col width="18.62" customWidth="1" style="59" min="9" max="9"/>
    <col width="16" customWidth="1" style="59" min="10" max="10"/>
    <col width="8" customWidth="1" style="59" min="11" max="22"/>
    <col width="18" customWidth="1" style="59" min="23" max="23"/>
    <col width="22" customWidth="1" style="59" min="24" max="24"/>
    <col width="16" customWidth="1" style="59" min="25" max="25"/>
  </cols>
  <sheetData>
    <row r="1"/>
    <row r="2" ht="20.25" customHeight="1" s="60">
      <c r="B2" s="61" t="inlineStr">
        <is>
          <t>C9. 다운스트림 운송·배송 1안. 출발지·도착지 기반</t>
        </is>
      </c>
    </row>
    <row r="3"/>
    <row r="4" ht="14.25" customHeight="1" s="60">
      <c r="B4" s="62" t="inlineStr">
        <is>
          <t>카테고리 정의</t>
        </is>
      </c>
    </row>
    <row r="5" ht="14.25" customHeight="1" s="60">
      <c r="B5" s="63" t="inlineStr">
        <is>
          <t>- 보고년도에 판매한 제품이 고객, 유통사, 대리점, 최종소비자 등으로 운송·배송되는 과정에서 발생하는 온실가스 배출량</t>
        </is>
      </c>
    </row>
    <row r="6" ht="14.25" customHeight="1" s="60">
      <c r="B6" s="63" t="inlineStr">
        <is>
          <t>- 출발지와 도착지 또는 운송거리를 알고 있는 경우 작성</t>
        </is>
      </c>
    </row>
    <row r="7"/>
    <row r="8"/>
    <row r="9" ht="14.25" customHeight="1" s="60">
      <c r="B9" s="62" t="inlineStr">
        <is>
          <t>작성 기준</t>
        </is>
      </c>
    </row>
    <row r="10" ht="14.25" customHeight="1" s="60">
      <c r="B10" s="63" t="inlineStr">
        <is>
          <t>1) 온실가스 산정 식: Σ(화물중량 × 운송거리 × 운송수단별 배출계수)</t>
        </is>
      </c>
    </row>
    <row r="11" ht="14.25" customHeight="1" s="60">
      <c r="B11" s="63" t="inlineStr">
        <is>
          <t xml:space="preserve"> - 온실가스 배출계수는 환경부-환경성적표지(EPD) 평가계수를 활용</t>
        </is>
      </c>
    </row>
    <row r="12" ht="14.25" customHeight="1" s="60">
      <c r="B12" s="63" t="inlineStr">
        <is>
          <t>2) 운송수단은 도로, 해상, 항공, 철도 중 실제 주요 운송수단을 선택</t>
        </is>
      </c>
    </row>
    <row r="13" ht="14.25" customHeight="1" s="60">
      <c r="B13" s="63" t="inlineStr">
        <is>
          <t>3) C4 업스트림 운송·배송에 이미 포함된 운송은 중복 작성하지 않음</t>
        </is>
      </c>
    </row>
    <row r="14"/>
    <row r="15"/>
    <row r="16" ht="14.25" customHeight="1" s="60">
      <c r="B16" s="64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0">
      <c r="B17" s="64" t="inlineStr">
        <is>
          <t>※ 주황색으로 표시된 필수 입력칸은 반드시 작성해야 합니다.</t>
        </is>
      </c>
    </row>
    <row r="18" ht="15" customHeight="1" s="60">
      <c r="B18" s="65" t="inlineStr">
        <is>
          <t>*국가</t>
        </is>
      </c>
      <c r="C18" s="65" t="inlineStr">
        <is>
          <t>*사업장</t>
        </is>
      </c>
      <c r="D18" s="65" t="inlineStr">
        <is>
          <t>*운송수단</t>
        </is>
      </c>
      <c r="E18" s="65" t="inlineStr">
        <is>
          <t>*제품명</t>
        </is>
      </c>
      <c r="F18" s="65" t="inlineStr">
        <is>
          <t>*중량단위</t>
        </is>
      </c>
      <c r="G18" s="65" t="inlineStr">
        <is>
          <t>*출발지</t>
        </is>
      </c>
      <c r="H18" s="65" t="inlineStr">
        <is>
          <t>*도착지</t>
        </is>
      </c>
      <c r="I18" s="66" t="inlineStr">
        <is>
          <t>운송거리(km)(선택)</t>
        </is>
      </c>
      <c r="J18" s="67" t="inlineStr">
        <is>
          <t>연간 입력</t>
        </is>
      </c>
      <c r="K18" s="67" t="inlineStr">
        <is>
          <t>월별 운송량</t>
        </is>
      </c>
      <c r="L18" s="68" t="n"/>
      <c r="M18" s="68" t="n"/>
      <c r="N18" s="68" t="n"/>
      <c r="O18" s="68" t="n"/>
      <c r="P18" s="68" t="n"/>
      <c r="Q18" s="68" t="n"/>
      <c r="R18" s="68" t="n"/>
      <c r="S18" s="68" t="n"/>
      <c r="T18" s="68" t="n"/>
      <c r="U18" s="68" t="n"/>
      <c r="V18" s="69" t="n"/>
      <c r="W18" s="66" t="inlineStr">
        <is>
          <t>비고(선택)</t>
        </is>
      </c>
      <c r="X18" s="66" t="inlineStr">
        <is>
          <t>배출계수(tCO2e/ton-km)</t>
        </is>
      </c>
      <c r="Y18" s="66" t="inlineStr">
        <is>
          <t>배출량(tCO2e)</t>
        </is>
      </c>
    </row>
    <row r="19" ht="15.75" customHeight="1" s="60">
      <c r="B19" s="70" t="n"/>
      <c r="C19" s="70" t="n"/>
      <c r="D19" s="70" t="n"/>
      <c r="E19" s="70" t="n"/>
      <c r="F19" s="70" t="n"/>
      <c r="G19" s="70" t="n"/>
      <c r="H19" s="70" t="n"/>
      <c r="I19" s="70" t="n"/>
      <c r="J19" s="66" t="inlineStr">
        <is>
          <t>연간운송량</t>
        </is>
      </c>
      <c r="K19" s="65" t="inlineStr">
        <is>
          <t>1월</t>
        </is>
      </c>
      <c r="L19" s="65" t="inlineStr">
        <is>
          <t>2월</t>
        </is>
      </c>
      <c r="M19" s="65" t="inlineStr">
        <is>
          <t>3월</t>
        </is>
      </c>
      <c r="N19" s="65" t="inlineStr">
        <is>
          <t>4월</t>
        </is>
      </c>
      <c r="O19" s="65" t="inlineStr">
        <is>
          <t>5월</t>
        </is>
      </c>
      <c r="P19" s="65" t="inlineStr">
        <is>
          <t>6월</t>
        </is>
      </c>
      <c r="Q19" s="65" t="inlineStr">
        <is>
          <t>7월</t>
        </is>
      </c>
      <c r="R19" s="65" t="inlineStr">
        <is>
          <t>8월</t>
        </is>
      </c>
      <c r="S19" s="65" t="inlineStr">
        <is>
          <t>9월</t>
        </is>
      </c>
      <c r="T19" s="65" t="inlineStr">
        <is>
          <t>10월</t>
        </is>
      </c>
      <c r="U19" s="65" t="inlineStr">
        <is>
          <t>11월</t>
        </is>
      </c>
      <c r="V19" s="65" t="inlineStr">
        <is>
          <t>12월</t>
        </is>
      </c>
      <c r="W19" s="70" t="n"/>
      <c r="X19" s="70" t="n"/>
      <c r="Y19" s="70" t="n"/>
    </row>
    <row r="20" ht="16.5" customHeight="1" s="60">
      <c r="B20" s="71" t="inlineStr">
        <is>
          <t>대한민국</t>
        </is>
      </c>
      <c r="C20" s="71" t="inlineStr">
        <is>
          <t>본사</t>
        </is>
      </c>
      <c r="D20" s="71" t="inlineStr">
        <is>
          <t>도로</t>
        </is>
      </c>
      <c r="E20" s="71" t="inlineStr">
        <is>
          <t>제품 A</t>
        </is>
      </c>
      <c r="F20" s="72" t="inlineStr">
        <is>
          <t>ton</t>
        </is>
      </c>
      <c r="G20" s="86" t="inlineStr">
        <is>
          <t>평택공장</t>
        </is>
      </c>
      <c r="H20" s="86" t="inlineStr">
        <is>
          <t>서울 고객사</t>
        </is>
      </c>
      <c r="I20" s="73" t="n">
        <v>80</v>
      </c>
      <c r="J20" s="71" t="n">
        <v>120</v>
      </c>
      <c r="K20" s="71" t="n"/>
      <c r="L20" s="71" t="n"/>
      <c r="M20" s="71" t="n"/>
      <c r="N20" s="71" t="n"/>
      <c r="O20" s="71" t="n"/>
      <c r="P20" s="71" t="n"/>
      <c r="Q20" s="71" t="n"/>
      <c r="R20" s="71" t="n"/>
      <c r="S20" s="71" t="n"/>
      <c r="T20" s="71" t="n"/>
      <c r="U20" s="71" t="n"/>
      <c r="V20" s="71" t="n"/>
      <c r="W20" s="73" t="inlineStr">
        <is>
          <t>완제품 출고 물류</t>
        </is>
      </c>
      <c r="X20" s="74" t="n">
        <v>0.00012</v>
      </c>
      <c r="Y20" s="74" t="n">
        <v>1.152</v>
      </c>
    </row>
    <row r="21" ht="16.5" customHeight="1" s="60">
      <c r="B21" s="75" t="inlineStr">
        <is>
          <t>대한민국</t>
        </is>
      </c>
      <c r="C21" s="75" t="inlineStr">
        <is>
          <t>평택공장</t>
        </is>
      </c>
      <c r="D21" s="75" t="inlineStr">
        <is>
          <t>택배</t>
        </is>
      </c>
      <c r="E21" s="75" t="inlineStr">
        <is>
          <t>온라인 주문 제품</t>
        </is>
      </c>
      <c r="F21" s="79" t="inlineStr">
        <is>
          <t>kg</t>
        </is>
      </c>
      <c r="G21" s="87" t="inlineStr">
        <is>
          <t>물류센터</t>
        </is>
      </c>
      <c r="H21" s="87" t="inlineStr">
        <is>
          <t>전국 고객</t>
        </is>
      </c>
      <c r="I21" s="78" t="n"/>
      <c r="J21" s="75" t="n"/>
      <c r="K21" s="75" t="n">
        <v>3500</v>
      </c>
      <c r="L21" s="75" t="n">
        <v>3500</v>
      </c>
      <c r="M21" s="75" t="n">
        <v>3500</v>
      </c>
      <c r="N21" s="75" t="n">
        <v>3500</v>
      </c>
      <c r="O21" s="75" t="n">
        <v>3500</v>
      </c>
      <c r="P21" s="75" t="n">
        <v>3500</v>
      </c>
      <c r="Q21" s="75" t="n">
        <v>3500</v>
      </c>
      <c r="R21" s="75" t="n">
        <v>3500</v>
      </c>
      <c r="S21" s="75" t="n">
        <v>3500</v>
      </c>
      <c r="T21" s="75" t="n">
        <v>3500</v>
      </c>
      <c r="U21" s="75" t="n">
        <v>3500</v>
      </c>
      <c r="V21" s="75" t="n">
        <v>3500</v>
      </c>
      <c r="W21" s="76" t="inlineStr">
        <is>
          <t>소포 배송 평균 거리</t>
        </is>
      </c>
      <c r="X21" s="77" t="n">
        <v>0.00018</v>
      </c>
      <c r="Y21" s="77" t="n">
        <v>1.89</v>
      </c>
    </row>
    <row r="22" ht="16.5" customHeight="1" s="60">
      <c r="B22" s="75" t="inlineStr">
        <is>
          <t>미국</t>
        </is>
      </c>
      <c r="C22" s="75" t="inlineStr">
        <is>
          <t>미국판매법인</t>
        </is>
      </c>
      <c r="D22" s="75" t="inlineStr">
        <is>
          <t>도로</t>
        </is>
      </c>
      <c r="E22" s="75" t="inlineStr">
        <is>
          <t>제품 B</t>
        </is>
      </c>
      <c r="F22" s="79" t="inlineStr">
        <is>
          <t>ton</t>
        </is>
      </c>
      <c r="G22" s="88" t="inlineStr">
        <is>
          <t>LA 창고</t>
        </is>
      </c>
      <c r="H22" s="87" t="inlineStr">
        <is>
          <t>샌프란시스코 대리점</t>
        </is>
      </c>
      <c r="I22" s="78" t="n">
        <v>615</v>
      </c>
      <c r="J22" s="75" t="n">
        <v>48</v>
      </c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6" t="inlineStr">
        <is>
          <t>미국 내 도로 운송</t>
        </is>
      </c>
      <c r="X22" s="77" t="n">
        <v>0.00012</v>
      </c>
      <c r="Y22" s="77" t="n">
        <v>3.5424</v>
      </c>
    </row>
    <row r="23" ht="16.5" customHeight="1" s="60">
      <c r="B23" s="75" t="inlineStr">
        <is>
          <t>대한민국</t>
        </is>
      </c>
      <c r="C23" s="75" t="inlineStr">
        <is>
          <t>부산지사</t>
        </is>
      </c>
      <c r="D23" s="75" t="inlineStr">
        <is>
          <t>해상</t>
        </is>
      </c>
      <c r="E23" s="75" t="inlineStr">
        <is>
          <t>수출 제품</t>
        </is>
      </c>
      <c r="F23" s="79" t="inlineStr">
        <is>
          <t>ton</t>
        </is>
      </c>
      <c r="G23" s="87" t="inlineStr">
        <is>
          <t>부산항</t>
        </is>
      </c>
      <c r="H23" s="87" t="inlineStr">
        <is>
          <t>요코하마항</t>
        </is>
      </c>
      <c r="I23" s="78" t="n">
        <v>970</v>
      </c>
      <c r="J23" s="75" t="n"/>
      <c r="K23" s="75" t="n">
        <v>12</v>
      </c>
      <c r="L23" s="75" t="n">
        <v>12</v>
      </c>
      <c r="M23" s="75" t="n">
        <v>12</v>
      </c>
      <c r="N23" s="75" t="n">
        <v>12</v>
      </c>
      <c r="O23" s="75" t="n">
        <v>12</v>
      </c>
      <c r="P23" s="75" t="n">
        <v>12</v>
      </c>
      <c r="Q23" s="75" t="n">
        <v>12</v>
      </c>
      <c r="R23" s="75" t="n">
        <v>12</v>
      </c>
      <c r="S23" s="75" t="n">
        <v>12</v>
      </c>
      <c r="T23" s="75" t="n">
        <v>12</v>
      </c>
      <c r="U23" s="75" t="n">
        <v>12</v>
      </c>
      <c r="V23" s="75" t="n">
        <v>12</v>
      </c>
      <c r="W23" s="76" t="inlineStr">
        <is>
          <t>수출 해상 운송</t>
        </is>
      </c>
      <c r="X23" s="77" t="n">
        <v>1.5e-05</v>
      </c>
      <c r="Y23" s="77" t="n">
        <v>2.0952</v>
      </c>
    </row>
    <row r="24" ht="16.5" customHeight="1" s="60">
      <c r="B24" s="75" t="inlineStr">
        <is>
          <t>대한민국</t>
        </is>
      </c>
      <c r="C24" s="75" t="inlineStr">
        <is>
          <t>대구공장</t>
        </is>
      </c>
      <c r="D24" s="75" t="inlineStr">
        <is>
          <t>도로</t>
        </is>
      </c>
      <c r="E24" s="75" t="inlineStr">
        <is>
          <t>산업용 부품</t>
        </is>
      </c>
      <c r="F24" s="79" t="inlineStr">
        <is>
          <t>ton</t>
        </is>
      </c>
      <c r="G24" s="87" t="inlineStr">
        <is>
          <t>대구공장</t>
        </is>
      </c>
      <c r="H24" s="87" t="inlineStr">
        <is>
          <t>대전 대리점</t>
        </is>
      </c>
      <c r="I24" s="78" t="n">
        <v>155</v>
      </c>
      <c r="J24" s="79" t="n">
        <v>90</v>
      </c>
      <c r="K24" s="79" t="n"/>
      <c r="L24" s="79" t="n"/>
      <c r="M24" s="79" t="n"/>
      <c r="N24" s="79" t="n"/>
      <c r="O24" s="79" t="n"/>
      <c r="P24" s="79" t="n"/>
      <c r="Q24" s="79" t="n"/>
      <c r="R24" s="79" t="n"/>
      <c r="S24" s="79" t="n"/>
      <c r="T24" s="79" t="n"/>
      <c r="U24" s="79" t="n"/>
      <c r="V24" s="79" t="n"/>
      <c r="W24" s="76" t="inlineStr">
        <is>
          <t>대리점 정기 배송</t>
        </is>
      </c>
      <c r="X24" s="77" t="n">
        <v>1.5e-05</v>
      </c>
      <c r="Y24" s="77" t="n">
        <v>0.20925</v>
      </c>
    </row>
    <row r="25" ht="16.5" customHeight="1" s="60">
      <c r="B25" s="75" t="inlineStr">
        <is>
          <t>중국</t>
        </is>
      </c>
      <c r="C25" s="75" t="inlineStr">
        <is>
          <t>상하이공장</t>
        </is>
      </c>
      <c r="D25" s="75" t="inlineStr">
        <is>
          <t>항공</t>
        </is>
      </c>
      <c r="E25" s="75" t="inlineStr">
        <is>
          <t>긴급 주문 제품</t>
        </is>
      </c>
      <c r="F25" s="79" t="inlineStr">
        <is>
          <t>kg</t>
        </is>
      </c>
      <c r="G25" s="87" t="inlineStr">
        <is>
          <t>상하이공항</t>
        </is>
      </c>
      <c r="H25" s="87" t="inlineStr">
        <is>
          <t>서울 고객사</t>
        </is>
      </c>
      <c r="I25" s="78" t="n"/>
      <c r="J25" s="79" t="n">
        <v>18</v>
      </c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6" t="inlineStr">
        <is>
          <t>긴급 항공 배송</t>
        </is>
      </c>
      <c r="X25" s="77" t="n">
        <v>1.5e-05</v>
      </c>
      <c r="Y25" s="77" t="n">
        <v>7.884417449040942e-05</v>
      </c>
    </row>
    <row r="26" ht="16.5" customHeight="1" s="60">
      <c r="B26" s="75" t="inlineStr">
        <is>
          <t>미국</t>
        </is>
      </c>
      <c r="C26" s="75" t="inlineStr">
        <is>
          <t>미국판매법인</t>
        </is>
      </c>
      <c r="D26" s="75" t="inlineStr">
        <is>
          <t>도로</t>
        </is>
      </c>
      <c r="E26" s="75" t="inlineStr">
        <is>
          <t>제품 C</t>
        </is>
      </c>
      <c r="F26" s="79" t="inlineStr">
        <is>
          <t>ton</t>
        </is>
      </c>
      <c r="G26" s="87" t="inlineStr">
        <is>
          <t>시카고창고</t>
        </is>
      </c>
      <c r="H26" s="87" t="inlineStr">
        <is>
          <t>뉴욕 대리점</t>
        </is>
      </c>
      <c r="I26" s="78" t="n">
        <v>1150</v>
      </c>
      <c r="J26" s="79" t="n"/>
      <c r="K26" s="79" t="n">
        <v>14</v>
      </c>
      <c r="L26" s="79" t="n">
        <v>14</v>
      </c>
      <c r="M26" s="79" t="n">
        <v>14</v>
      </c>
      <c r="N26" s="79" t="n">
        <v>14</v>
      </c>
      <c r="O26" s="79" t="n">
        <v>14</v>
      </c>
      <c r="P26" s="79" t="n">
        <v>14</v>
      </c>
      <c r="Q26" s="79" t="n">
        <v>14</v>
      </c>
      <c r="R26" s="79" t="n">
        <v>14</v>
      </c>
      <c r="S26" s="79" t="n">
        <v>14</v>
      </c>
      <c r="T26" s="79" t="n">
        <v>14</v>
      </c>
      <c r="U26" s="79" t="n">
        <v>14</v>
      </c>
      <c r="V26" s="79" t="n">
        <v>14</v>
      </c>
      <c r="W26" s="76" t="inlineStr">
        <is>
          <t>미국 내륙 배송</t>
        </is>
      </c>
      <c r="X26" s="77" t="n">
        <v>1.5e-05</v>
      </c>
      <c r="Y26" s="77" t="n">
        <v>2.898</v>
      </c>
    </row>
    <row r="27" ht="16.5" customHeight="1" s="60">
      <c r="B27" s="75" t="inlineStr">
        <is>
          <t>대한민국</t>
        </is>
      </c>
      <c r="C27" s="75" t="inlineStr">
        <is>
          <t>부산지사</t>
        </is>
      </c>
      <c r="D27" s="75" t="inlineStr">
        <is>
          <t>해상</t>
        </is>
      </c>
      <c r="E27" s="75" t="inlineStr">
        <is>
          <t>수출 부품</t>
        </is>
      </c>
      <c r="F27" s="79" t="inlineStr">
        <is>
          <t>ton</t>
        </is>
      </c>
      <c r="G27" s="87" t="inlineStr">
        <is>
          <t>부산항</t>
        </is>
      </c>
      <c r="H27" s="87" t="inlineStr">
        <is>
          <t>상하이항</t>
        </is>
      </c>
      <c r="I27" s="78" t="n">
        <v>850</v>
      </c>
      <c r="J27" s="79" t="n">
        <v>32</v>
      </c>
      <c r="K27" s="79" t="n"/>
      <c r="L27" s="79" t="n"/>
      <c r="M27" s="79" t="n"/>
      <c r="N27" s="79" t="n"/>
      <c r="O27" s="79" t="n"/>
      <c r="P27" s="79" t="n"/>
      <c r="Q27" s="79" t="n"/>
      <c r="R27" s="79" t="n"/>
      <c r="S27" s="79" t="n"/>
      <c r="T27" s="79" t="n"/>
      <c r="U27" s="79" t="n"/>
      <c r="V27" s="79" t="n"/>
      <c r="W27" s="76" t="inlineStr">
        <is>
          <t>베트남공장 수출 해상 운송(추가)</t>
        </is>
      </c>
      <c r="X27" s="77" t="n">
        <v>1.5e-05</v>
      </c>
      <c r="Y27" s="77" t="n">
        <v>0.408</v>
      </c>
    </row>
    <row r="28" ht="16.5" customHeight="1" s="60">
      <c r="B28" s="75" t="inlineStr">
        <is>
          <t>베트남</t>
        </is>
      </c>
      <c r="C28" s="75" t="inlineStr">
        <is>
          <t>베트남공장</t>
        </is>
      </c>
      <c r="D28" s="75" t="inlineStr">
        <is>
          <t>도로</t>
        </is>
      </c>
      <c r="E28" s="75" t="inlineStr">
        <is>
          <t>완제품</t>
        </is>
      </c>
      <c r="F28" s="79" t="inlineStr">
        <is>
          <t>ton</t>
        </is>
      </c>
      <c r="G28" s="87" t="inlineStr">
        <is>
          <t>베트남공장</t>
        </is>
      </c>
      <c r="H28" s="87" t="inlineStr">
        <is>
          <t>호치민 물류센터</t>
        </is>
      </c>
      <c r="I28" s="78" t="n">
        <v>45</v>
      </c>
      <c r="J28" s="79" t="n"/>
      <c r="K28" s="79" t="n">
        <v>60</v>
      </c>
      <c r="L28" s="79" t="n">
        <v>60</v>
      </c>
      <c r="M28" s="79" t="n">
        <v>60</v>
      </c>
      <c r="N28" s="79" t="n">
        <v>60</v>
      </c>
      <c r="O28" s="79" t="n">
        <v>60</v>
      </c>
      <c r="P28" s="79" t="n">
        <v>60</v>
      </c>
      <c r="Q28" s="79" t="n">
        <v>60</v>
      </c>
      <c r="R28" s="79" t="n">
        <v>60</v>
      </c>
      <c r="S28" s="79" t="n">
        <v>60</v>
      </c>
      <c r="T28" s="79" t="n">
        <v>60</v>
      </c>
      <c r="U28" s="79" t="n">
        <v>60</v>
      </c>
      <c r="V28" s="79" t="n">
        <v>60</v>
      </c>
      <c r="W28" s="76" t="inlineStr">
        <is>
          <t>국내 완제품 배송</t>
        </is>
      </c>
      <c r="X28" s="77" t="n">
        <v>1.5e-05</v>
      </c>
      <c r="Y28" s="77" t="n">
        <v>0.486</v>
      </c>
    </row>
    <row r="29" ht="16.5" customHeight="1" s="60">
      <c r="B29" s="75" t="inlineStr">
        <is>
          <t>일본</t>
        </is>
      </c>
      <c r="C29" s="75" t="inlineStr">
        <is>
          <t>도쿄지점</t>
        </is>
      </c>
      <c r="D29" s="75" t="inlineStr">
        <is>
          <t>택배</t>
        </is>
      </c>
      <c r="E29" s="75" t="inlineStr">
        <is>
          <t>소형 부품</t>
        </is>
      </c>
      <c r="F29" s="79" t="inlineStr">
        <is>
          <t>kg</t>
        </is>
      </c>
      <c r="G29" s="87" t="inlineStr">
        <is>
          <t>도쿄창고</t>
        </is>
      </c>
      <c r="H29" s="87" t="inlineStr">
        <is>
          <t>전국 고객</t>
        </is>
      </c>
      <c r="I29" s="78" t="n">
        <v>180</v>
      </c>
      <c r="J29" s="79" t="n">
        <v>4200</v>
      </c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6" t="inlineStr">
        <is>
          <t>일본 소포 배송 평균 거리(추가)</t>
        </is>
      </c>
      <c r="X29" s="77" t="n">
        <v>0.00018</v>
      </c>
      <c r="Y29" s="77" t="n">
        <v>0.13608</v>
      </c>
    </row>
    <row r="30" ht="14.25" customHeight="1" s="60">
      <c r="B30" s="75" t="inlineStr">
        <is>
          <t>대한민국</t>
        </is>
      </c>
      <c r="C30" s="75" t="inlineStr">
        <is>
          <t>대구공장</t>
        </is>
      </c>
      <c r="D30" s="75" t="inlineStr">
        <is>
          <t>도로</t>
        </is>
      </c>
      <c r="E30" s="75" t="inlineStr">
        <is>
          <t>산업용부품 세트</t>
        </is>
      </c>
      <c r="F30" s="79" t="inlineStr">
        <is>
          <t>ton</t>
        </is>
      </c>
      <c r="G30" s="87" t="inlineStr">
        <is>
          <t>대구</t>
        </is>
      </c>
      <c r="H30" s="87" t="inlineStr">
        <is>
          <t>대전대리점</t>
        </is>
      </c>
      <c r="I30" s="78" t="n">
        <v>148</v>
      </c>
      <c r="J30" s="79" t="n">
        <v>85</v>
      </c>
      <c r="K30" s="79" t="n"/>
      <c r="L30" s="79" t="n"/>
      <c r="M30" s="79" t="n"/>
      <c r="N30" s="79" t="n"/>
      <c r="O30" s="79" t="n"/>
      <c r="P30" s="79" t="n"/>
      <c r="Q30" s="79" t="n"/>
      <c r="R30" s="79" t="n"/>
      <c r="S30" s="79" t="n"/>
      <c r="T30" s="79" t="n"/>
      <c r="U30" s="79" t="n"/>
      <c r="V30" s="79" t="n"/>
      <c r="W30" s="76" t="inlineStr">
        <is>
          <t>대리점명 생략(그냥 대전대리점이라고만 표기)</t>
        </is>
      </c>
      <c r="X30" s="77" t="n">
        <v>0.00012</v>
      </c>
      <c r="Y30" s="77" t="n">
        <v>1.5096</v>
      </c>
    </row>
    <row r="31" ht="14.25" customHeight="1" s="60">
      <c r="B31" s="75" t="inlineStr">
        <is>
          <t>중국</t>
        </is>
      </c>
      <c r="C31" s="75" t="inlineStr">
        <is>
          <t>상하이공장</t>
        </is>
      </c>
      <c r="D31" s="75" t="inlineStr">
        <is>
          <t>항공</t>
        </is>
      </c>
      <c r="E31" s="75" t="inlineStr">
        <is>
          <t>긴급주문건</t>
        </is>
      </c>
      <c r="F31" s="79" t="inlineStr">
        <is>
          <t>kg</t>
        </is>
      </c>
      <c r="G31" s="87" t="inlineStr">
        <is>
          <t>상하이</t>
        </is>
      </c>
      <c r="H31" s="87" t="inlineStr">
        <is>
          <t>서울</t>
        </is>
      </c>
      <c r="I31" s="78" t="n"/>
      <c r="J31" s="79" t="n">
        <v>15</v>
      </c>
      <c r="K31" s="79" t="n"/>
      <c r="L31" s="79" t="n"/>
      <c r="M31" s="79" t="n"/>
      <c r="N31" s="79" t="n"/>
      <c r="O31" s="79" t="n"/>
      <c r="P31" s="79" t="n"/>
      <c r="Q31" s="79" t="n"/>
      <c r="R31" s="79" t="n"/>
      <c r="S31" s="79" t="n"/>
      <c r="T31" s="79" t="n"/>
      <c r="U31" s="79" t="n"/>
      <c r="V31" s="79" t="n"/>
      <c r="W31" s="78" t="n"/>
      <c r="X31" s="77" t="n">
        <v>0.0005999999999999999</v>
      </c>
      <c r="Y31" s="77" t="n">
        <v>0.002628139149680315</v>
      </c>
    </row>
    <row r="32" ht="14.25" customHeight="1" s="60">
      <c r="B32" s="75" t="inlineStr">
        <is>
          <t>미국</t>
        </is>
      </c>
      <c r="C32" s="75" t="inlineStr">
        <is>
          <t>미국판매법인</t>
        </is>
      </c>
      <c r="D32" s="75" t="inlineStr">
        <is>
          <t>도로</t>
        </is>
      </c>
      <c r="E32" s="75" t="inlineStr">
        <is>
          <t>제품C 재고이동</t>
        </is>
      </c>
      <c r="F32" s="79" t="inlineStr">
        <is>
          <t>ton</t>
        </is>
      </c>
      <c r="G32" s="88" t="inlineStr">
        <is>
          <t>Chicago</t>
        </is>
      </c>
      <c r="H32" s="88" t="inlineStr">
        <is>
          <t>New York</t>
        </is>
      </c>
      <c r="I32" s="78" t="n">
        <v>1150</v>
      </c>
      <c r="J32" s="79" t="n"/>
      <c r="K32" s="79" t="n">
        <v>12</v>
      </c>
      <c r="L32" s="79" t="n">
        <v>12</v>
      </c>
      <c r="M32" s="79" t="n">
        <v>12</v>
      </c>
      <c r="N32" s="79" t="n">
        <v>12</v>
      </c>
      <c r="O32" s="79" t="n">
        <v>12</v>
      </c>
      <c r="P32" s="79" t="n">
        <v>12</v>
      </c>
      <c r="Q32" s="79" t="n">
        <v>12</v>
      </c>
      <c r="R32" s="79" t="n">
        <v>12</v>
      </c>
      <c r="S32" s="79" t="n">
        <v>12</v>
      </c>
      <c r="T32" s="79" t="n">
        <v>12</v>
      </c>
      <c r="U32" s="79" t="n">
        <v>12</v>
      </c>
      <c r="V32" s="79" t="n">
        <v>12</v>
      </c>
      <c r="W32" s="76" t="inlineStr">
        <is>
          <t>영문지명</t>
        </is>
      </c>
      <c r="X32" s="77" t="n">
        <v>0.00012</v>
      </c>
      <c r="Y32" s="77" t="n">
        <v>19.872</v>
      </c>
    </row>
    <row r="33" ht="14.25" customHeight="1" s="60">
      <c r="B33" s="75" t="inlineStr">
        <is>
          <t>베트남</t>
        </is>
      </c>
      <c r="C33" s="75" t="inlineStr">
        <is>
          <t>베트남공장</t>
        </is>
      </c>
      <c r="D33" s="75" t="inlineStr">
        <is>
          <t>도로</t>
        </is>
      </c>
      <c r="E33" s="75" t="inlineStr">
        <is>
          <t>완제품 출하</t>
        </is>
      </c>
      <c r="F33" s="79" t="inlineStr">
        <is>
          <t>ton</t>
        </is>
      </c>
      <c r="G33" s="87" t="inlineStr">
        <is>
          <t>베트남공장</t>
        </is>
      </c>
      <c r="H33" s="87" t="inlineStr">
        <is>
          <t>호치민DC</t>
        </is>
      </c>
      <c r="I33" s="78" t="n">
        <v>47</v>
      </c>
      <c r="J33" s="79" t="n"/>
      <c r="K33" s="79" t="n">
        <v>58</v>
      </c>
      <c r="L33" s="79" t="n">
        <v>58</v>
      </c>
      <c r="M33" s="79" t="n">
        <v>58</v>
      </c>
      <c r="N33" s="79" t="n">
        <v>58</v>
      </c>
      <c r="O33" s="79" t="n">
        <v>58</v>
      </c>
      <c r="P33" s="79" t="n">
        <v>58</v>
      </c>
      <c r="Q33" s="79" t="n">
        <v>58</v>
      </c>
      <c r="R33" s="79" t="n">
        <v>58</v>
      </c>
      <c r="S33" s="79" t="n">
        <v>58</v>
      </c>
      <c r="T33" s="79" t="n">
        <v>58</v>
      </c>
      <c r="U33" s="79" t="n">
        <v>58</v>
      </c>
      <c r="V33" s="79" t="n">
        <v>58</v>
      </c>
      <c r="W33" s="76" t="inlineStr">
        <is>
          <t>베트남공장 완제품 출하(월별)</t>
        </is>
      </c>
      <c r="X33" s="77" t="n">
        <v>0.00012</v>
      </c>
      <c r="Y33" s="77" t="n">
        <v>3.92544</v>
      </c>
    </row>
    <row r="34" ht="14.25" customHeight="1" s="60">
      <c r="B34" s="79" t="n"/>
      <c r="C34" s="79" t="n"/>
      <c r="D34" s="75" t="n"/>
      <c r="E34" s="79" t="n"/>
      <c r="F34" s="79" t="n"/>
      <c r="G34" s="88" t="n"/>
      <c r="H34" s="88" t="n"/>
      <c r="I34" s="78" t="n"/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9" t="n"/>
      <c r="T34" s="79" t="n"/>
      <c r="U34" s="79" t="n"/>
      <c r="V34" s="79" t="n"/>
      <c r="W34" s="78" t="n"/>
      <c r="X34" s="77" t="n"/>
      <c r="Y34" s="77" t="n"/>
    </row>
    <row r="35" ht="14.25" customHeight="1" s="60">
      <c r="B35" s="79" t="n"/>
      <c r="C35" s="79" t="n"/>
      <c r="D35" s="75" t="n"/>
      <c r="E35" s="79" t="n"/>
      <c r="F35" s="79" t="n"/>
      <c r="G35" s="88" t="n"/>
      <c r="H35" s="88" t="n"/>
      <c r="I35" s="78" t="n"/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9" t="n"/>
      <c r="T35" s="79" t="n"/>
      <c r="U35" s="79" t="n"/>
      <c r="V35" s="79" t="n"/>
      <c r="W35" s="78" t="n"/>
      <c r="X35" s="77" t="n"/>
      <c r="Y35" s="77" t="n"/>
    </row>
    <row r="36" ht="14.25" customHeight="1" s="60">
      <c r="B36" s="79" t="n"/>
      <c r="C36" s="79" t="n"/>
      <c r="D36" s="75" t="n"/>
      <c r="E36" s="79" t="n"/>
      <c r="F36" s="79" t="n"/>
      <c r="G36" s="88" t="n"/>
      <c r="H36" s="88" t="n"/>
      <c r="I36" s="78" t="n"/>
      <c r="J36" s="79" t="n"/>
      <c r="K36" s="79" t="n"/>
      <c r="L36" s="79" t="n"/>
      <c r="M36" s="79" t="n"/>
      <c r="N36" s="79" t="n"/>
      <c r="O36" s="79" t="n"/>
      <c r="P36" s="79" t="n"/>
      <c r="Q36" s="79" t="n"/>
      <c r="R36" s="79" t="n"/>
      <c r="S36" s="79" t="n"/>
      <c r="T36" s="79" t="n"/>
      <c r="U36" s="79" t="n"/>
      <c r="V36" s="79" t="n"/>
      <c r="W36" s="78" t="n"/>
      <c r="X36" s="77" t="n"/>
      <c r="Y36" s="77" t="n"/>
    </row>
    <row r="37" ht="14.25" customHeight="1" s="60">
      <c r="B37" s="79" t="n"/>
      <c r="C37" s="79" t="n"/>
      <c r="D37" s="75" t="n"/>
      <c r="E37" s="79" t="n"/>
      <c r="F37" s="79" t="n"/>
      <c r="G37" s="88" t="n"/>
      <c r="H37" s="88" t="n"/>
      <c r="I37" s="78" t="n"/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9" t="n"/>
      <c r="T37" s="79" t="n"/>
      <c r="U37" s="79" t="n"/>
      <c r="V37" s="79" t="n"/>
      <c r="W37" s="78" t="n"/>
      <c r="X37" s="77" t="n"/>
      <c r="Y37" s="77" t="n"/>
    </row>
    <row r="38" ht="14.25" customHeight="1" s="60">
      <c r="B38" s="79" t="n"/>
      <c r="C38" s="79" t="n"/>
      <c r="D38" s="75" t="n"/>
      <c r="E38" s="79" t="n"/>
      <c r="F38" s="79" t="n"/>
      <c r="G38" s="88" t="n"/>
      <c r="H38" s="88" t="n"/>
      <c r="I38" s="78" t="n"/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9" t="n"/>
      <c r="T38" s="79" t="n"/>
      <c r="U38" s="79" t="n"/>
      <c r="V38" s="79" t="n"/>
      <c r="W38" s="78" t="n"/>
      <c r="X38" s="77" t="n"/>
      <c r="Y38" s="77" t="n"/>
    </row>
    <row r="39" ht="14.25" customHeight="1" s="60">
      <c r="B39" s="79" t="n"/>
      <c r="C39" s="79" t="n"/>
      <c r="D39" s="75" t="n"/>
      <c r="E39" s="79" t="n"/>
      <c r="F39" s="79" t="n"/>
      <c r="G39" s="88" t="n"/>
      <c r="H39" s="88" t="n"/>
      <c r="I39" s="78" t="n"/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9" t="n"/>
      <c r="U39" s="79" t="n"/>
      <c r="V39" s="79" t="n"/>
      <c r="W39" s="78" t="n"/>
      <c r="X39" s="77" t="n"/>
      <c r="Y39" s="77" t="n"/>
    </row>
    <row r="40" ht="14.25" customHeight="1" s="60">
      <c r="B40" s="79" t="n"/>
      <c r="C40" s="79" t="n"/>
      <c r="D40" s="75" t="n"/>
      <c r="E40" s="79" t="n"/>
      <c r="F40" s="79" t="n"/>
      <c r="G40" s="88" t="n"/>
      <c r="H40" s="88" t="n"/>
      <c r="I40" s="78" t="n"/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9" t="n"/>
      <c r="T40" s="79" t="n"/>
      <c r="U40" s="79" t="n"/>
      <c r="V40" s="79" t="n"/>
      <c r="W40" s="78" t="n"/>
      <c r="X40" s="77" t="n"/>
      <c r="Y40" s="77" t="n"/>
    </row>
    <row r="41" ht="14.25" customHeight="1" s="60">
      <c r="B41" s="79" t="n"/>
      <c r="C41" s="79" t="n"/>
      <c r="D41" s="75" t="n"/>
      <c r="E41" s="79" t="n"/>
      <c r="F41" s="79" t="n"/>
      <c r="G41" s="88" t="n"/>
      <c r="H41" s="88" t="n"/>
      <c r="I41" s="78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9" t="n"/>
      <c r="T41" s="79" t="n"/>
      <c r="U41" s="79" t="n"/>
      <c r="V41" s="79" t="n"/>
      <c r="W41" s="78" t="n"/>
      <c r="X41" s="77" t="n"/>
      <c r="Y41" s="77" t="n"/>
    </row>
    <row r="42" ht="14.25" customHeight="1" s="60">
      <c r="B42" s="79" t="n"/>
      <c r="C42" s="79" t="n"/>
      <c r="D42" s="75" t="n"/>
      <c r="E42" s="79" t="n"/>
      <c r="F42" s="79" t="n"/>
      <c r="G42" s="88" t="n"/>
      <c r="H42" s="88" t="n"/>
      <c r="I42" s="78" t="n"/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9" t="n"/>
      <c r="T42" s="79" t="n"/>
      <c r="U42" s="79" t="n"/>
      <c r="V42" s="79" t="n"/>
      <c r="W42" s="78" t="n"/>
      <c r="X42" s="77" t="n"/>
      <c r="Y42" s="77" t="n"/>
    </row>
    <row r="43" ht="14.25" customHeight="1" s="60">
      <c r="B43" s="79" t="n"/>
      <c r="C43" s="79" t="n"/>
      <c r="D43" s="75" t="n"/>
      <c r="E43" s="79" t="n"/>
      <c r="F43" s="79" t="n"/>
      <c r="G43" s="88" t="n"/>
      <c r="H43" s="88" t="n"/>
      <c r="I43" s="78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9" t="n"/>
      <c r="T43" s="79" t="n"/>
      <c r="U43" s="79" t="n"/>
      <c r="V43" s="79" t="n"/>
      <c r="W43" s="78" t="n"/>
      <c r="X43" s="77" t="n"/>
      <c r="Y43" s="77" t="n"/>
    </row>
    <row r="44" ht="14.25" customHeight="1" s="60">
      <c r="B44" s="79" t="n"/>
      <c r="C44" s="79" t="n"/>
      <c r="D44" s="75" t="n"/>
      <c r="E44" s="79" t="n"/>
      <c r="F44" s="79" t="n"/>
      <c r="G44" s="88" t="n"/>
      <c r="H44" s="88" t="n"/>
      <c r="I44" s="78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9" t="n"/>
      <c r="T44" s="79" t="n"/>
      <c r="U44" s="79" t="n"/>
      <c r="V44" s="79" t="n"/>
      <c r="W44" s="78" t="n"/>
      <c r="X44" s="77" t="n"/>
      <c r="Y44" s="77" t="n"/>
    </row>
    <row r="45" ht="14.25" customHeight="1" s="60">
      <c r="B45" s="79" t="n"/>
      <c r="C45" s="79" t="n"/>
      <c r="D45" s="75" t="n"/>
      <c r="E45" s="79" t="n"/>
      <c r="F45" s="79" t="n"/>
      <c r="G45" s="88" t="n"/>
      <c r="H45" s="88" t="n"/>
      <c r="I45" s="78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9" t="n"/>
      <c r="T45" s="79" t="n"/>
      <c r="U45" s="79" t="n"/>
      <c r="V45" s="79" t="n"/>
      <c r="W45" s="78" t="n"/>
      <c r="X45" s="77" t="n"/>
      <c r="Y45" s="77" t="n"/>
    </row>
    <row r="46" ht="14.25" customHeight="1" s="60">
      <c r="B46" s="79" t="n"/>
      <c r="C46" s="79" t="n"/>
      <c r="D46" s="75" t="n"/>
      <c r="E46" s="79" t="n"/>
      <c r="F46" s="79" t="n"/>
      <c r="G46" s="88" t="n"/>
      <c r="H46" s="88" t="n"/>
      <c r="I46" s="78" t="n"/>
      <c r="J46" s="79" t="n"/>
      <c r="K46" s="79" t="n"/>
      <c r="L46" s="79" t="n"/>
      <c r="M46" s="79" t="n"/>
      <c r="N46" s="79" t="n"/>
      <c r="O46" s="79" t="n"/>
      <c r="P46" s="79" t="n"/>
      <c r="Q46" s="79" t="n"/>
      <c r="R46" s="79" t="n"/>
      <c r="S46" s="79" t="n"/>
      <c r="T46" s="79" t="n"/>
      <c r="U46" s="79" t="n"/>
      <c r="V46" s="79" t="n"/>
      <c r="W46" s="78" t="n"/>
      <c r="X46" s="77" t="n"/>
      <c r="Y46" s="77" t="n"/>
    </row>
    <row r="47" ht="14.25" customHeight="1" s="60">
      <c r="B47" s="79" t="n"/>
      <c r="C47" s="79" t="n"/>
      <c r="D47" s="75" t="n"/>
      <c r="E47" s="79" t="n"/>
      <c r="F47" s="79" t="n"/>
      <c r="G47" s="88" t="n"/>
      <c r="H47" s="88" t="n"/>
      <c r="I47" s="78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9" t="n"/>
      <c r="T47" s="79" t="n"/>
      <c r="U47" s="79" t="n"/>
      <c r="V47" s="79" t="n"/>
      <c r="W47" s="78" t="n"/>
      <c r="X47" s="77" t="n"/>
      <c r="Y47" s="77" t="n"/>
    </row>
    <row r="48" ht="14.25" customHeight="1" s="60">
      <c r="B48" s="79" t="n"/>
      <c r="C48" s="79" t="n"/>
      <c r="D48" s="75" t="n"/>
      <c r="E48" s="79" t="n"/>
      <c r="F48" s="79" t="n"/>
      <c r="G48" s="88" t="n"/>
      <c r="H48" s="88" t="n"/>
      <c r="I48" s="78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9" t="n"/>
      <c r="T48" s="79" t="n"/>
      <c r="U48" s="79" t="n"/>
      <c r="V48" s="79" t="n"/>
      <c r="W48" s="78" t="n"/>
      <c r="X48" s="77" t="n"/>
      <c r="Y48" s="77" t="n"/>
    </row>
    <row r="49" ht="14.25" customHeight="1" s="60">
      <c r="B49" s="79" t="n"/>
      <c r="C49" s="79" t="n"/>
      <c r="D49" s="75" t="n"/>
      <c r="E49" s="79" t="n"/>
      <c r="F49" s="79" t="n"/>
      <c r="G49" s="88" t="n"/>
      <c r="H49" s="88" t="n"/>
      <c r="I49" s="78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79" t="n"/>
      <c r="V49" s="79" t="n"/>
      <c r="W49" s="78" t="n"/>
      <c r="X49" s="77" t="n"/>
      <c r="Y49" s="77" t="n"/>
    </row>
    <row r="50" ht="14.25" customHeight="1" s="60">
      <c r="B50" s="79" t="n"/>
      <c r="C50" s="79" t="n"/>
      <c r="D50" s="75" t="n"/>
      <c r="E50" s="79" t="n"/>
      <c r="F50" s="79" t="n"/>
      <c r="G50" s="88" t="n"/>
      <c r="H50" s="88" t="n"/>
      <c r="I50" s="78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9" t="n"/>
      <c r="T50" s="79" t="n"/>
      <c r="U50" s="79" t="n"/>
      <c r="V50" s="79" t="n"/>
      <c r="W50" s="78" t="n"/>
      <c r="X50" s="77" t="n"/>
      <c r="Y50" s="77" t="n"/>
    </row>
    <row r="51" ht="14.25" customHeight="1" s="60">
      <c r="B51" s="79" t="n"/>
      <c r="C51" s="79" t="n"/>
      <c r="D51" s="75" t="n"/>
      <c r="E51" s="79" t="n"/>
      <c r="F51" s="79" t="n"/>
      <c r="G51" s="88" t="n"/>
      <c r="H51" s="88" t="n"/>
      <c r="I51" s="78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9" t="n"/>
      <c r="T51" s="79" t="n"/>
      <c r="U51" s="79" t="n"/>
      <c r="V51" s="79" t="n"/>
      <c r="W51" s="78" t="n"/>
      <c r="X51" s="77" t="n"/>
      <c r="Y51" s="77" t="n"/>
    </row>
    <row r="52" ht="14.25" customHeight="1" s="60">
      <c r="B52" s="79" t="n"/>
      <c r="C52" s="79" t="n"/>
      <c r="D52" s="75" t="n"/>
      <c r="E52" s="79" t="n"/>
      <c r="F52" s="79" t="n"/>
      <c r="G52" s="88" t="n"/>
      <c r="H52" s="88" t="n"/>
      <c r="I52" s="78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9" t="n"/>
      <c r="T52" s="79" t="n"/>
      <c r="U52" s="79" t="n"/>
      <c r="V52" s="79" t="n"/>
      <c r="W52" s="78" t="n"/>
      <c r="X52" s="77" t="n"/>
      <c r="Y52" s="77" t="n"/>
    </row>
    <row r="53" ht="14.25" customHeight="1" s="60">
      <c r="B53" s="79" t="n"/>
      <c r="C53" s="79" t="n"/>
      <c r="D53" s="75" t="n"/>
      <c r="E53" s="79" t="n"/>
      <c r="F53" s="79" t="n"/>
      <c r="G53" s="88" t="n"/>
      <c r="H53" s="88" t="n"/>
      <c r="I53" s="78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9" t="n"/>
      <c r="V53" s="79" t="n"/>
      <c r="W53" s="78" t="n"/>
      <c r="X53" s="77" t="n"/>
      <c r="Y53" s="77" t="n"/>
    </row>
    <row r="54" ht="14.25" customHeight="1" s="60">
      <c r="B54" s="79" t="n"/>
      <c r="C54" s="79" t="n"/>
      <c r="D54" s="75" t="n"/>
      <c r="E54" s="79" t="n"/>
      <c r="F54" s="79" t="n"/>
      <c r="G54" s="88" t="n"/>
      <c r="H54" s="88" t="n"/>
      <c r="I54" s="78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79" t="n"/>
      <c r="V54" s="79" t="n"/>
      <c r="W54" s="78" t="n"/>
      <c r="X54" s="77" t="n"/>
      <c r="Y54" s="77" t="n"/>
    </row>
    <row r="55" ht="14.25" customHeight="1" s="60">
      <c r="B55" s="79" t="n"/>
      <c r="C55" s="79" t="n"/>
      <c r="D55" s="75" t="n"/>
      <c r="E55" s="79" t="n"/>
      <c r="F55" s="79" t="n"/>
      <c r="G55" s="88" t="n"/>
      <c r="H55" s="88" t="n"/>
      <c r="I55" s="78" t="n"/>
      <c r="J55" s="79" t="n"/>
      <c r="K55" s="79" t="n"/>
      <c r="L55" s="79" t="n"/>
      <c r="M55" s="79" t="n"/>
      <c r="N55" s="79" t="n"/>
      <c r="O55" s="79" t="n"/>
      <c r="P55" s="79" t="n"/>
      <c r="Q55" s="79" t="n"/>
      <c r="R55" s="79" t="n"/>
      <c r="S55" s="79" t="n"/>
      <c r="T55" s="79" t="n"/>
      <c r="U55" s="79" t="n"/>
      <c r="V55" s="79" t="n"/>
      <c r="W55" s="78" t="n"/>
      <c r="X55" s="77" t="n"/>
      <c r="Y55" s="77" t="n"/>
    </row>
  </sheetData>
  <mergeCells count="12">
    <mergeCell ref="W18:W19"/>
    <mergeCell ref="I18:I19"/>
    <mergeCell ref="D18:D19"/>
    <mergeCell ref="B18:B19"/>
    <mergeCell ref="G18:G19"/>
    <mergeCell ref="E18:E19"/>
    <mergeCell ref="H18:H19"/>
    <mergeCell ref="C18:C19"/>
    <mergeCell ref="K18:V18"/>
    <mergeCell ref="X18:X19"/>
    <mergeCell ref="Y18:Y19"/>
    <mergeCell ref="F18:F19"/>
  </mergeCells>
  <dataValidations count="2">
    <dataValidation sqref="D21:D220" showDropDown="0" showInputMessage="0" showErrorMessage="0" allowBlank="0" type="list" errorStyle="stop" operator="between">
      <formula1>"도로,해상,항공,철도"</formula1>
      <formula2>0</formula2>
    </dataValidation>
    <dataValidation sqref="F21:F220" showDropDown="0" showInputMessage="0" showErrorMessage="0" allowBlank="0" type="list" errorStyle="stop" operator="between">
      <formula1>"kg,ton"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V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59" min="2" max="2"/>
    <col width="16" customWidth="1" style="59" min="3" max="3"/>
    <col width="12" customWidth="1" style="59" min="4" max="4"/>
    <col width="20" customWidth="1" style="59" min="5" max="5"/>
    <col width="16" customWidth="1" style="59" min="6" max="7"/>
    <col width="8" customWidth="1" style="59" min="8" max="19"/>
    <col width="18" customWidth="1" style="59" min="20" max="20"/>
    <col width="20.75" customWidth="1" style="59" min="21" max="21"/>
    <col width="16" customWidth="1" style="59" min="22" max="22"/>
  </cols>
  <sheetData>
    <row r="1"/>
    <row r="2" ht="20.25" customHeight="1" s="60">
      <c r="B2" s="61" t="inlineStr">
        <is>
          <t>C9. 다운스트림 운송·배송 2안. 운송금액 기반</t>
        </is>
      </c>
    </row>
    <row r="3"/>
    <row r="4" ht="14.25" customHeight="1" s="60">
      <c r="B4" s="62" t="inlineStr">
        <is>
          <t>카테고리 정의</t>
        </is>
      </c>
    </row>
    <row r="5" ht="14.25" customHeight="1" s="60">
      <c r="B5" s="63" t="inlineStr">
        <is>
          <t>- 보고년도에 판매한 제품의 하류 운송·배송 비용을 기준으로 산정하는 온실가스 배출량</t>
        </is>
      </c>
    </row>
    <row r="6" ht="14.25" customHeight="1" s="60">
      <c r="B6" s="63" t="inlineStr">
        <is>
          <t>- 출발지, 도착지, 운송거리, 화물중량을 알 수 없고 운송비 또는 물류비만 확인 가능한 경우 작성</t>
        </is>
      </c>
    </row>
    <row r="7"/>
    <row r="8"/>
    <row r="9" ht="14.25" customHeight="1" s="60">
      <c r="B9" s="62" t="inlineStr">
        <is>
          <t>작성 기준</t>
        </is>
      </c>
    </row>
    <row r="10" ht="14.25" customHeight="1" s="60">
      <c r="B10" s="63" t="inlineStr">
        <is>
          <t>1) 온실가스 산정 식: Σ(운송지출금액 × 운송/물류 지출기반 배출계수)</t>
        </is>
      </c>
    </row>
    <row r="11" ht="14.25" customHeight="1" s="60">
      <c r="B11" s="63" t="inlineStr">
        <is>
          <t xml:space="preserve"> - 배출계수는 US EPA Supply Chain Greenhouse Gas Emission Factors v1.3 등 지출기반 배출계수 활용</t>
        </is>
      </c>
    </row>
    <row r="12" ht="14.25" customHeight="1" s="60">
      <c r="B12" s="63" t="inlineStr">
        <is>
          <t>2) 운송수단은 도로, 해상, 항공, 철도 중 실제 주요 운송수단을 선택</t>
        </is>
      </c>
    </row>
    <row r="13" ht="14.25" customHeight="1" s="60">
      <c r="B13" s="63" t="inlineStr">
        <is>
          <t>3) C4 업스트림 운송·배송에 이미 포함된 운송비는 중복 작성하지 않음</t>
        </is>
      </c>
    </row>
    <row r="14"/>
    <row r="15"/>
    <row r="16" ht="14.25" customHeight="1" s="60">
      <c r="B16" s="64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0">
      <c r="B17" s="64" t="inlineStr">
        <is>
          <t>※ 주황색으로 표시된 필수 입력칸은 반드시 작성해야 합니다.</t>
        </is>
      </c>
    </row>
    <row r="18" ht="15" customHeight="1" s="60">
      <c r="B18" s="65" t="inlineStr">
        <is>
          <t>*국가</t>
        </is>
      </c>
      <c r="C18" s="65" t="inlineStr">
        <is>
          <t>*사업장</t>
        </is>
      </c>
      <c r="D18" s="65" t="inlineStr">
        <is>
          <t>*운송수단</t>
        </is>
      </c>
      <c r="E18" s="65" t="inlineStr">
        <is>
          <t>*제품명</t>
        </is>
      </c>
      <c r="F18" s="66" t="inlineStr">
        <is>
          <t>거래처명(선택)</t>
        </is>
      </c>
      <c r="G18" s="67" t="inlineStr">
        <is>
          <t>연간 입력</t>
        </is>
      </c>
      <c r="H18" s="67" t="inlineStr">
        <is>
          <t>월별 운송금액</t>
        </is>
      </c>
      <c r="I18" s="68" t="n"/>
      <c r="J18" s="68" t="n"/>
      <c r="K18" s="68" t="n"/>
      <c r="L18" s="68" t="n"/>
      <c r="M18" s="68" t="n"/>
      <c r="N18" s="68" t="n"/>
      <c r="O18" s="68" t="n"/>
      <c r="P18" s="68" t="n"/>
      <c r="Q18" s="68" t="n"/>
      <c r="R18" s="68" t="n"/>
      <c r="S18" s="69" t="n"/>
      <c r="T18" s="66" t="inlineStr">
        <is>
          <t>비고(선택)</t>
        </is>
      </c>
      <c r="U18" s="66" t="inlineStr">
        <is>
          <t>배출계수(kgCO2e/원)</t>
        </is>
      </c>
      <c r="V18" s="66" t="inlineStr">
        <is>
          <t>배출량(tCO2e)</t>
        </is>
      </c>
    </row>
    <row r="19" ht="15.75" customHeight="1" s="60">
      <c r="B19" s="70" t="n"/>
      <c r="C19" s="70" t="n"/>
      <c r="D19" s="70" t="n"/>
      <c r="E19" s="70" t="n"/>
      <c r="F19" s="70" t="n"/>
      <c r="G19" s="66" t="inlineStr">
        <is>
          <t>연간운송금액(원)</t>
        </is>
      </c>
      <c r="H19" s="65" t="inlineStr">
        <is>
          <t>1월</t>
        </is>
      </c>
      <c r="I19" s="65" t="inlineStr">
        <is>
          <t>2월</t>
        </is>
      </c>
      <c r="J19" s="65" t="inlineStr">
        <is>
          <t>3월</t>
        </is>
      </c>
      <c r="K19" s="65" t="inlineStr">
        <is>
          <t>4월</t>
        </is>
      </c>
      <c r="L19" s="65" t="inlineStr">
        <is>
          <t>5월</t>
        </is>
      </c>
      <c r="M19" s="65" t="inlineStr">
        <is>
          <t>6월</t>
        </is>
      </c>
      <c r="N19" s="65" t="inlineStr">
        <is>
          <t>7월</t>
        </is>
      </c>
      <c r="O19" s="65" t="inlineStr">
        <is>
          <t>8월</t>
        </is>
      </c>
      <c r="P19" s="65" t="inlineStr">
        <is>
          <t>9월</t>
        </is>
      </c>
      <c r="Q19" s="65" t="inlineStr">
        <is>
          <t>10월</t>
        </is>
      </c>
      <c r="R19" s="65" t="inlineStr">
        <is>
          <t>11월</t>
        </is>
      </c>
      <c r="S19" s="65" t="inlineStr">
        <is>
          <t>12월</t>
        </is>
      </c>
      <c r="T19" s="70" t="n"/>
      <c r="U19" s="70" t="n"/>
      <c r="V19" s="70" t="n"/>
    </row>
    <row r="20" ht="16.5" customHeight="1" s="60">
      <c r="B20" s="71" t="inlineStr">
        <is>
          <t>대한민국</t>
        </is>
      </c>
      <c r="C20" s="71" t="inlineStr">
        <is>
          <t>본사</t>
        </is>
      </c>
      <c r="D20" s="71" t="inlineStr">
        <is>
          <t>도로</t>
        </is>
      </c>
      <c r="E20" s="71" t="inlineStr">
        <is>
          <t>제품 A</t>
        </is>
      </c>
      <c r="F20" s="73" t="inlineStr">
        <is>
          <t>물류업체</t>
        </is>
      </c>
      <c r="G20" s="71" t="n">
        <v>6000000</v>
      </c>
      <c r="H20" s="71" t="n"/>
      <c r="I20" s="71" t="n"/>
      <c r="J20" s="71" t="n"/>
      <c r="K20" s="71" t="n"/>
      <c r="L20" s="71" t="n"/>
      <c r="M20" s="71" t="n"/>
      <c r="N20" s="71" t="n"/>
      <c r="O20" s="71" t="n"/>
      <c r="P20" s="71" t="n"/>
      <c r="Q20" s="71" t="n"/>
      <c r="R20" s="71" t="n"/>
      <c r="S20" s="71" t="n"/>
      <c r="T20" s="73" t="inlineStr">
        <is>
          <t>연간 배송비 기준</t>
        </is>
      </c>
      <c r="U20" s="74" t="n">
        <v>0.0007338429464906</v>
      </c>
      <c r="V20" s="74" t="n">
        <v>4.4030576789436</v>
      </c>
    </row>
    <row r="21" ht="16.5" customHeight="1" s="60">
      <c r="B21" s="75" t="inlineStr">
        <is>
          <t>대한민국</t>
        </is>
      </c>
      <c r="C21" s="75" t="inlineStr">
        <is>
          <t>온라인몰</t>
        </is>
      </c>
      <c r="D21" s="75" t="inlineStr">
        <is>
          <t>택배</t>
        </is>
      </c>
      <c r="E21" s="75" t="inlineStr">
        <is>
          <t>소형 제품</t>
        </is>
      </c>
      <c r="F21" s="76" t="inlineStr">
        <is>
          <t>택배사</t>
        </is>
      </c>
      <c r="G21" s="75" t="n"/>
      <c r="H21" s="75" t="n">
        <v>760000</v>
      </c>
      <c r="I21" s="75" t="n">
        <v>760000</v>
      </c>
      <c r="J21" s="75" t="n">
        <v>760000</v>
      </c>
      <c r="K21" s="75" t="n">
        <v>760000</v>
      </c>
      <c r="L21" s="75" t="n">
        <v>760000</v>
      </c>
      <c r="M21" s="75" t="n">
        <v>760000</v>
      </c>
      <c r="N21" s="75" t="n">
        <v>760000</v>
      </c>
      <c r="O21" s="75" t="n">
        <v>760000</v>
      </c>
      <c r="P21" s="75" t="n">
        <v>760000</v>
      </c>
      <c r="Q21" s="75" t="n">
        <v>760000</v>
      </c>
      <c r="R21" s="75" t="n">
        <v>760000</v>
      </c>
      <c r="S21" s="75" t="n">
        <v>760000</v>
      </c>
      <c r="T21" s="76" t="inlineStr">
        <is>
          <t>월별 택배비 기준</t>
        </is>
      </c>
      <c r="U21" s="77" t="n">
        <v>0.0003280055594162</v>
      </c>
      <c r="V21" s="77" t="n">
        <v>2.991410701875744</v>
      </c>
    </row>
    <row r="22" ht="32.25" customHeight="1" s="60">
      <c r="B22" s="75" t="inlineStr">
        <is>
          <t>일본</t>
        </is>
      </c>
      <c r="C22" s="75" t="inlineStr">
        <is>
          <t>일본판매법인</t>
        </is>
      </c>
      <c r="D22" s="75" t="inlineStr">
        <is>
          <t>해상</t>
        </is>
      </c>
      <c r="E22" s="75" t="inlineStr">
        <is>
          <t>수출 제품</t>
        </is>
      </c>
      <c r="F22" s="76" t="inlineStr">
        <is>
          <t>포워더</t>
        </is>
      </c>
      <c r="G22" s="75" t="n">
        <v>14500000</v>
      </c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6" t="inlineStr">
        <is>
          <t>일본 수출 포워딩 비용</t>
        </is>
      </c>
      <c r="U22" s="77" t="n">
        <v>0.0003280055594162</v>
      </c>
      <c r="V22" s="77" t="n">
        <v>4.756080611534901</v>
      </c>
    </row>
    <row r="23" ht="16.5" customHeight="1" s="60">
      <c r="B23" s="75" t="inlineStr">
        <is>
          <t>미국</t>
        </is>
      </c>
      <c r="C23" s="75" t="inlineStr">
        <is>
          <t>미국판매법인</t>
        </is>
      </c>
      <c r="D23" s="75" t="inlineStr">
        <is>
          <t>도로</t>
        </is>
      </c>
      <c r="E23" s="75" t="inlineStr">
        <is>
          <t>제품 B</t>
        </is>
      </c>
      <c r="F23" s="76" t="inlineStr">
        <is>
          <t>현지 운송사</t>
        </is>
      </c>
      <c r="G23" s="75" t="n"/>
      <c r="H23" s="75" t="n">
        <v>1250000</v>
      </c>
      <c r="I23" s="75" t="n">
        <v>1250000</v>
      </c>
      <c r="J23" s="75" t="n">
        <v>1250000</v>
      </c>
      <c r="K23" s="75" t="n">
        <v>1250000</v>
      </c>
      <c r="L23" s="75" t="n">
        <v>1250000</v>
      </c>
      <c r="M23" s="75" t="n">
        <v>1250000</v>
      </c>
      <c r="N23" s="75" t="n">
        <v>1250000</v>
      </c>
      <c r="O23" s="75" t="n">
        <v>1250000</v>
      </c>
      <c r="P23" s="75" t="n">
        <v>1250000</v>
      </c>
      <c r="Q23" s="75" t="n">
        <v>1250000</v>
      </c>
      <c r="R23" s="75" t="n">
        <v>1250000</v>
      </c>
      <c r="S23" s="75" t="n">
        <v>1250000</v>
      </c>
      <c r="T23" s="76" t="inlineStr">
        <is>
          <t>미국 내 최종 배송비</t>
        </is>
      </c>
      <c r="U23" s="77" t="n">
        <v>0.0007338429464906</v>
      </c>
      <c r="V23" s="77" t="n">
        <v>11.007644197359</v>
      </c>
    </row>
    <row r="24" ht="16.5" customHeight="1" s="60">
      <c r="B24" s="75" t="inlineStr">
        <is>
          <t>대한민국</t>
        </is>
      </c>
      <c r="C24" s="75" t="inlineStr">
        <is>
          <t>대구공장</t>
        </is>
      </c>
      <c r="D24" s="75" t="inlineStr">
        <is>
          <t>도로</t>
        </is>
      </c>
      <c r="E24" s="75" t="inlineStr">
        <is>
          <t>산업용 부품</t>
        </is>
      </c>
      <c r="F24" s="76" t="inlineStr">
        <is>
          <t>대구물류</t>
        </is>
      </c>
      <c r="G24" s="79" t="n">
        <v>5400000</v>
      </c>
      <c r="H24" s="79" t="n"/>
      <c r="I24" s="79" t="n"/>
      <c r="J24" s="79" t="n"/>
      <c r="K24" s="79" t="n"/>
      <c r="L24" s="79" t="n"/>
      <c r="M24" s="79" t="n"/>
      <c r="N24" s="79" t="n"/>
      <c r="O24" s="79" t="n"/>
      <c r="P24" s="79" t="n"/>
      <c r="Q24" s="79" t="n"/>
      <c r="R24" s="79" t="n"/>
      <c r="S24" s="79" t="n"/>
      <c r="T24" s="76" t="inlineStr">
        <is>
          <t>대리점 정기 배송비</t>
        </is>
      </c>
      <c r="U24" s="77" t="n">
        <v>0.0007338429464906</v>
      </c>
      <c r="V24" s="77" t="n">
        <v>3.96275191104924</v>
      </c>
    </row>
    <row r="25" ht="16.5" customHeight="1" s="60">
      <c r="B25" s="75" t="inlineStr">
        <is>
          <t>중국</t>
        </is>
      </c>
      <c r="C25" s="75" t="inlineStr">
        <is>
          <t>상하이공장</t>
        </is>
      </c>
      <c r="D25" s="75" t="inlineStr">
        <is>
          <t>항공</t>
        </is>
      </c>
      <c r="E25" s="75" t="inlineStr">
        <is>
          <t>긴급 주문 제품</t>
        </is>
      </c>
      <c r="F25" s="76" t="inlineStr">
        <is>
          <t>국제특송사</t>
        </is>
      </c>
      <c r="G25" s="79" t="n">
        <v>4200000</v>
      </c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6" t="inlineStr">
        <is>
          <t>긴급 항공 배송비</t>
        </is>
      </c>
      <c r="U25" s="77" t="n">
        <v>0.0015031271716469</v>
      </c>
      <c r="V25" s="77" t="n">
        <v>6.313134120916979</v>
      </c>
    </row>
    <row r="26" ht="16.5" customHeight="1" s="60">
      <c r="B26" s="75" t="inlineStr">
        <is>
          <t>미국</t>
        </is>
      </c>
      <c r="C26" s="75" t="inlineStr">
        <is>
          <t>미국판매법인</t>
        </is>
      </c>
      <c r="D26" s="75" t="inlineStr">
        <is>
          <t>도로</t>
        </is>
      </c>
      <c r="E26" s="75" t="inlineStr">
        <is>
          <t>제품 C</t>
        </is>
      </c>
      <c r="F26" s="76" t="inlineStr">
        <is>
          <t>미국물류사</t>
        </is>
      </c>
      <c r="G26" s="79" t="n"/>
      <c r="H26" s="79" t="n">
        <v>980000</v>
      </c>
      <c r="I26" s="79" t="n">
        <v>980000</v>
      </c>
      <c r="J26" s="79" t="n">
        <v>980000</v>
      </c>
      <c r="K26" s="79" t="n">
        <v>980000</v>
      </c>
      <c r="L26" s="79" t="n">
        <v>980000</v>
      </c>
      <c r="M26" s="79" t="n">
        <v>980000</v>
      </c>
      <c r="N26" s="79" t="n">
        <v>980000</v>
      </c>
      <c r="O26" s="79" t="n">
        <v>980000</v>
      </c>
      <c r="P26" s="79" t="n">
        <v>980000</v>
      </c>
      <c r="Q26" s="79" t="n">
        <v>980000</v>
      </c>
      <c r="R26" s="79" t="n">
        <v>980000</v>
      </c>
      <c r="S26" s="79" t="n">
        <v>980000</v>
      </c>
      <c r="T26" s="76" t="inlineStr">
        <is>
          <t>미국 내륙 배송비</t>
        </is>
      </c>
      <c r="U26" s="77" t="n">
        <v>0.0007338429464906</v>
      </c>
      <c r="V26" s="77" t="n">
        <v>8.629993050729455</v>
      </c>
    </row>
    <row r="27" ht="16.5" customHeight="1" s="60">
      <c r="B27" s="75" t="inlineStr">
        <is>
          <t>대한민국</t>
        </is>
      </c>
      <c r="C27" s="75" t="inlineStr">
        <is>
          <t>부산지사</t>
        </is>
      </c>
      <c r="D27" s="75" t="inlineStr">
        <is>
          <t>해상</t>
        </is>
      </c>
      <c r="E27" s="75" t="inlineStr">
        <is>
          <t>수출 부품</t>
        </is>
      </c>
      <c r="F27" s="76" t="inlineStr">
        <is>
          <t>부산해운</t>
        </is>
      </c>
      <c r="G27" s="79" t="n">
        <v>8900000</v>
      </c>
      <c r="H27" s="79" t="n"/>
      <c r="I27" s="79" t="n"/>
      <c r="J27" s="79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79" t="n"/>
      <c r="T27" s="76" t="inlineStr">
        <is>
          <t>수출 해상 운송비</t>
        </is>
      </c>
      <c r="U27" s="77" t="n">
        <v>0.0003280055594162</v>
      </c>
      <c r="V27" s="77" t="n">
        <v>2.919249478804181</v>
      </c>
    </row>
    <row r="28" ht="16.5" customHeight="1" s="60">
      <c r="B28" s="75" t="inlineStr">
        <is>
          <t>베트남</t>
        </is>
      </c>
      <c r="C28" s="75" t="inlineStr">
        <is>
          <t>베트남공장</t>
        </is>
      </c>
      <c r="D28" s="75" t="inlineStr">
        <is>
          <t>도로</t>
        </is>
      </c>
      <c r="E28" s="75" t="inlineStr">
        <is>
          <t>완제품</t>
        </is>
      </c>
      <c r="F28" s="76" t="inlineStr">
        <is>
          <t>베트남물류</t>
        </is>
      </c>
      <c r="G28" s="79" t="n"/>
      <c r="H28" s="79" t="n">
        <v>1100000</v>
      </c>
      <c r="I28" s="79" t="n">
        <v>1100000</v>
      </c>
      <c r="J28" s="79" t="n">
        <v>1100000</v>
      </c>
      <c r="K28" s="79" t="n">
        <v>1100000</v>
      </c>
      <c r="L28" s="79" t="n">
        <v>1100000</v>
      </c>
      <c r="M28" s="79" t="n">
        <v>1100000</v>
      </c>
      <c r="N28" s="79" t="n">
        <v>1100000</v>
      </c>
      <c r="O28" s="79" t="n">
        <v>1100000</v>
      </c>
      <c r="P28" s="79" t="n">
        <v>1100000</v>
      </c>
      <c r="Q28" s="79" t="n">
        <v>1100000</v>
      </c>
      <c r="R28" s="79" t="n">
        <v>1100000</v>
      </c>
      <c r="S28" s="79" t="n">
        <v>1100000</v>
      </c>
      <c r="T28" s="76" t="inlineStr">
        <is>
          <t>국내 완제품 배송비</t>
        </is>
      </c>
      <c r="U28" s="77" t="n">
        <v>0.0007338429464906</v>
      </c>
      <c r="V28" s="77" t="n">
        <v>9.686726893675921</v>
      </c>
    </row>
    <row r="29" ht="16.5" customHeight="1" s="60">
      <c r="B29" s="75" t="inlineStr">
        <is>
          <t>일본</t>
        </is>
      </c>
      <c r="C29" s="75" t="inlineStr">
        <is>
          <t>도쿄지점</t>
        </is>
      </c>
      <c r="D29" s="75" t="inlineStr">
        <is>
          <t>택배</t>
        </is>
      </c>
      <c r="E29" s="75" t="inlineStr">
        <is>
          <t>소형 부품</t>
        </is>
      </c>
      <c r="F29" s="76" t="inlineStr">
        <is>
          <t>일본택배사</t>
        </is>
      </c>
      <c r="G29" s="79" t="n">
        <v>3200000</v>
      </c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6" t="inlineStr">
        <is>
          <t>소포 배송비</t>
        </is>
      </c>
      <c r="U29" s="77" t="n">
        <v>0.0003280055594162</v>
      </c>
      <c r="V29" s="77" t="n">
        <v>1.04961779013184</v>
      </c>
    </row>
    <row r="30" ht="14.25" customHeight="1" s="60">
      <c r="B30" s="75" t="inlineStr">
        <is>
          <t>대한민국</t>
        </is>
      </c>
      <c r="C30" s="75" t="inlineStr">
        <is>
          <t>대구공장</t>
        </is>
      </c>
      <c r="D30" s="75" t="inlineStr">
        <is>
          <t>도로</t>
        </is>
      </c>
      <c r="E30" s="75" t="inlineStr">
        <is>
          <t>산업용부품</t>
        </is>
      </c>
      <c r="F30" s="78" t="n"/>
      <c r="G30" s="79" t="n">
        <v>5180000</v>
      </c>
      <c r="H30" s="79" t="n"/>
      <c r="I30" s="79" t="n"/>
      <c r="J30" s="79" t="n"/>
      <c r="K30" s="79" t="n"/>
      <c r="L30" s="79" t="n"/>
      <c r="M30" s="79" t="n"/>
      <c r="N30" s="79" t="n"/>
      <c r="O30" s="79" t="n"/>
      <c r="P30" s="79" t="n"/>
      <c r="Q30" s="79" t="n"/>
      <c r="R30" s="79" t="n"/>
      <c r="S30" s="79" t="n"/>
      <c r="T30" s="78" t="n"/>
      <c r="U30" s="77" t="n">
        <v>0.0007338429464906</v>
      </c>
      <c r="V30" s="77" t="n">
        <v>3.801306462821308</v>
      </c>
    </row>
    <row r="31" ht="14.25" customHeight="1" s="60">
      <c r="B31" s="75" t="inlineStr">
        <is>
          <t>중국</t>
        </is>
      </c>
      <c r="C31" s="75" t="inlineStr">
        <is>
          <t>상하이공장</t>
        </is>
      </c>
      <c r="D31" s="75" t="inlineStr">
        <is>
          <t>항공</t>
        </is>
      </c>
      <c r="E31" s="75" t="inlineStr">
        <is>
          <t>긴급주문 배송비</t>
        </is>
      </c>
      <c r="F31" s="78" t="n"/>
      <c r="G31" s="79" t="n">
        <v>3980000</v>
      </c>
      <c r="H31" s="79" t="n"/>
      <c r="I31" s="79" t="n"/>
      <c r="J31" s="79" t="n"/>
      <c r="K31" s="79" t="n"/>
      <c r="L31" s="79" t="n"/>
      <c r="M31" s="79" t="n"/>
      <c r="N31" s="79" t="n"/>
      <c r="O31" s="79" t="n"/>
      <c r="P31" s="79" t="n"/>
      <c r="Q31" s="79" t="n"/>
      <c r="R31" s="79" t="n"/>
      <c r="S31" s="79" t="n"/>
      <c r="T31" s="78" t="inlineStr">
        <is>
          <t>DHL이라고 브랜드명으로 씀</t>
        </is>
      </c>
      <c r="U31" s="77" t="n">
        <v>0.0015031271716469</v>
      </c>
      <c r="V31" s="77" t="n">
        <v>5.982446143154662</v>
      </c>
    </row>
    <row r="32" ht="14.25" customHeight="1" s="60">
      <c r="B32" s="75" t="inlineStr">
        <is>
          <t>미국</t>
        </is>
      </c>
      <c r="C32" s="75" t="inlineStr">
        <is>
          <t>미국판매법인</t>
        </is>
      </c>
      <c r="D32" s="75" t="inlineStr">
        <is>
          <t>도로</t>
        </is>
      </c>
      <c r="E32" s="75" t="inlineStr">
        <is>
          <t>제품C 이동비용</t>
        </is>
      </c>
      <c r="F32" s="78" t="n"/>
      <c r="G32" s="79" t="n"/>
      <c r="H32" s="79" t="n">
        <v>940000</v>
      </c>
      <c r="I32" s="79" t="n">
        <v>940000</v>
      </c>
      <c r="J32" s="79" t="n">
        <v>940000</v>
      </c>
      <c r="K32" s="79" t="n">
        <v>940000</v>
      </c>
      <c r="L32" s="79" t="n">
        <v>940000</v>
      </c>
      <c r="M32" s="79" t="n">
        <v>940000</v>
      </c>
      <c r="N32" s="79" t="n">
        <v>940000</v>
      </c>
      <c r="O32" s="79" t="n">
        <v>940000</v>
      </c>
      <c r="P32" s="79" t="n">
        <v>940000</v>
      </c>
      <c r="Q32" s="79" t="n">
        <v>940000</v>
      </c>
      <c r="R32" s="79" t="n">
        <v>940000</v>
      </c>
      <c r="S32" s="79" t="n">
        <v>940000</v>
      </c>
      <c r="T32" s="76" t="inlineStr">
        <is>
          <t>미국법인 제품C 이동비용(월별)</t>
        </is>
      </c>
      <c r="U32" s="77" t="n">
        <v>0.0007338429464906</v>
      </c>
      <c r="V32" s="77" t="n">
        <v>8.277748436413969</v>
      </c>
    </row>
    <row r="33" ht="14.25" customHeight="1" s="60">
      <c r="B33" s="75" t="inlineStr">
        <is>
          <t>베트남</t>
        </is>
      </c>
      <c r="C33" s="75" t="inlineStr">
        <is>
          <t>베트남공장</t>
        </is>
      </c>
      <c r="D33" s="75" t="inlineStr">
        <is>
          <t>도로</t>
        </is>
      </c>
      <c r="E33" s="75" t="inlineStr">
        <is>
          <t>완제품 출하운송</t>
        </is>
      </c>
      <c r="F33" s="78" t="n"/>
      <c r="G33" s="79" t="n"/>
      <c r="H33" s="79" t="n">
        <v>1080000</v>
      </c>
      <c r="I33" s="79" t="n">
        <v>1080000</v>
      </c>
      <c r="J33" s="79" t="n">
        <v>1080000</v>
      </c>
      <c r="K33" s="79" t="n">
        <v>1080000</v>
      </c>
      <c r="L33" s="79" t="n">
        <v>1080000</v>
      </c>
      <c r="M33" s="79" t="n">
        <v>1080000</v>
      </c>
      <c r="N33" s="79" t="n">
        <v>1080000</v>
      </c>
      <c r="O33" s="79" t="n">
        <v>1080000</v>
      </c>
      <c r="P33" s="79" t="n">
        <v>1080000</v>
      </c>
      <c r="Q33" s="79" t="n">
        <v>1080000</v>
      </c>
      <c r="R33" s="79" t="n">
        <v>1080000</v>
      </c>
      <c r="S33" s="79" t="n">
        <v>1080000</v>
      </c>
      <c r="T33" s="78" t="inlineStr">
        <is>
          <t>JSC=주식회사 뜻, 현지법인표기</t>
        </is>
      </c>
      <c r="U33" s="77" t="n">
        <v>0.0007338429464906</v>
      </c>
      <c r="V33" s="77" t="n">
        <v>9.510604586518177</v>
      </c>
    </row>
    <row r="34" ht="14.25" customHeight="1" s="60">
      <c r="B34" s="79" t="n"/>
      <c r="C34" s="79" t="n"/>
      <c r="D34" s="75" t="n"/>
      <c r="E34" s="79" t="n"/>
      <c r="F34" s="78" t="n"/>
      <c r="G34" s="79" t="n"/>
      <c r="H34" s="79" t="n"/>
      <c r="I34" s="79" t="n"/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9" t="n"/>
      <c r="T34" s="78" t="n"/>
      <c r="U34" s="77" t="n"/>
      <c r="V34" s="77" t="n"/>
    </row>
    <row r="35" ht="14.25" customHeight="1" s="60">
      <c r="B35" s="79" t="n"/>
      <c r="C35" s="79" t="n"/>
      <c r="D35" s="75" t="n"/>
      <c r="E35" s="79" t="n"/>
      <c r="F35" s="78" t="n"/>
      <c r="G35" s="79" t="n"/>
      <c r="H35" s="79" t="n"/>
      <c r="I35" s="79" t="n"/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9" t="n"/>
      <c r="T35" s="78" t="n"/>
      <c r="U35" s="77" t="n"/>
      <c r="V35" s="77" t="n"/>
    </row>
    <row r="36" ht="14.25" customHeight="1" s="60">
      <c r="B36" s="79" t="n"/>
      <c r="C36" s="79" t="n"/>
      <c r="D36" s="75" t="n"/>
      <c r="E36" s="79" t="n"/>
      <c r="F36" s="78" t="n"/>
      <c r="G36" s="79" t="n"/>
      <c r="H36" s="79" t="n"/>
      <c r="I36" s="79" t="n"/>
      <c r="J36" s="79" t="n"/>
      <c r="K36" s="79" t="n"/>
      <c r="L36" s="79" t="n"/>
      <c r="M36" s="79" t="n"/>
      <c r="N36" s="79" t="n"/>
      <c r="O36" s="79" t="n"/>
      <c r="P36" s="79" t="n"/>
      <c r="Q36" s="79" t="n"/>
      <c r="R36" s="79" t="n"/>
      <c r="S36" s="79" t="n"/>
      <c r="T36" s="78" t="n"/>
      <c r="U36" s="77" t="n"/>
      <c r="V36" s="77" t="n"/>
    </row>
    <row r="37" ht="14.25" customHeight="1" s="60">
      <c r="B37" s="79" t="n"/>
      <c r="C37" s="79" t="n"/>
      <c r="D37" s="75" t="n"/>
      <c r="E37" s="79" t="n"/>
      <c r="F37" s="78" t="n"/>
      <c r="G37" s="79" t="n"/>
      <c r="H37" s="79" t="n"/>
      <c r="I37" s="79" t="n"/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9" t="n"/>
      <c r="T37" s="78" t="n"/>
      <c r="U37" s="77" t="n"/>
      <c r="V37" s="77" t="n"/>
    </row>
    <row r="38" ht="14.25" customHeight="1" s="60">
      <c r="B38" s="79" t="n"/>
      <c r="C38" s="79" t="n"/>
      <c r="D38" s="75" t="n"/>
      <c r="E38" s="79" t="n"/>
      <c r="F38" s="78" t="n"/>
      <c r="G38" s="79" t="n"/>
      <c r="H38" s="79" t="n"/>
      <c r="I38" s="79" t="n"/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9" t="n"/>
      <c r="T38" s="78" t="n"/>
      <c r="U38" s="77" t="n"/>
      <c r="V38" s="77" t="n"/>
    </row>
    <row r="39" ht="14.25" customHeight="1" s="60">
      <c r="B39" s="79" t="n"/>
      <c r="C39" s="79" t="n"/>
      <c r="D39" s="75" t="n"/>
      <c r="E39" s="79" t="n"/>
      <c r="F39" s="78" t="n"/>
      <c r="G39" s="79" t="n"/>
      <c r="H39" s="79" t="n"/>
      <c r="I39" s="79" t="n"/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8" t="n"/>
      <c r="U39" s="77" t="n"/>
      <c r="V39" s="77" t="n"/>
    </row>
    <row r="40" ht="14.25" customHeight="1" s="60">
      <c r="B40" s="79" t="n"/>
      <c r="C40" s="79" t="n"/>
      <c r="D40" s="75" t="n"/>
      <c r="E40" s="79" t="n"/>
      <c r="F40" s="78" t="n"/>
      <c r="G40" s="79" t="n"/>
      <c r="H40" s="79" t="n"/>
      <c r="I40" s="79" t="n"/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9" t="n"/>
      <c r="T40" s="78" t="n"/>
      <c r="U40" s="77" t="n"/>
      <c r="V40" s="77" t="n"/>
    </row>
    <row r="41" ht="14.25" customHeight="1" s="60">
      <c r="B41" s="79" t="n"/>
      <c r="C41" s="79" t="n"/>
      <c r="D41" s="75" t="n"/>
      <c r="E41" s="79" t="n"/>
      <c r="F41" s="78" t="n"/>
      <c r="G41" s="79" t="n"/>
      <c r="H41" s="79" t="n"/>
      <c r="I41" s="79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9" t="n"/>
      <c r="T41" s="78" t="n"/>
      <c r="U41" s="77" t="n"/>
      <c r="V41" s="77" t="n"/>
    </row>
    <row r="42" ht="14.25" customHeight="1" s="60">
      <c r="B42" s="79" t="n"/>
      <c r="C42" s="79" t="n"/>
      <c r="D42" s="75" t="n"/>
      <c r="E42" s="79" t="n"/>
      <c r="F42" s="78" t="n"/>
      <c r="G42" s="79" t="n"/>
      <c r="H42" s="79" t="n"/>
      <c r="I42" s="79" t="n"/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9" t="n"/>
      <c r="T42" s="78" t="n"/>
      <c r="U42" s="77" t="n"/>
      <c r="V42" s="77" t="n"/>
    </row>
    <row r="43" ht="14.25" customHeight="1" s="60">
      <c r="B43" s="79" t="n"/>
      <c r="C43" s="79" t="n"/>
      <c r="D43" s="75" t="n"/>
      <c r="E43" s="79" t="n"/>
      <c r="F43" s="78" t="n"/>
      <c r="G43" s="79" t="n"/>
      <c r="H43" s="79" t="n"/>
      <c r="I43" s="7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9" t="n"/>
      <c r="T43" s="78" t="n"/>
      <c r="U43" s="77" t="n"/>
      <c r="V43" s="77" t="n"/>
    </row>
    <row r="44" ht="14.25" customHeight="1" s="60">
      <c r="B44" s="79" t="n"/>
      <c r="C44" s="79" t="n"/>
      <c r="D44" s="75" t="n"/>
      <c r="E44" s="79" t="n"/>
      <c r="F44" s="78" t="n"/>
      <c r="G44" s="79" t="n"/>
      <c r="H44" s="79" t="n"/>
      <c r="I44" s="79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9" t="n"/>
      <c r="T44" s="78" t="n"/>
      <c r="U44" s="77" t="n"/>
      <c r="V44" s="77" t="n"/>
    </row>
    <row r="45" ht="14.25" customHeight="1" s="60">
      <c r="B45" s="79" t="n"/>
      <c r="C45" s="79" t="n"/>
      <c r="D45" s="75" t="n"/>
      <c r="E45" s="79" t="n"/>
      <c r="F45" s="78" t="n"/>
      <c r="G45" s="79" t="n"/>
      <c r="H45" s="79" t="n"/>
      <c r="I45" s="79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9" t="n"/>
      <c r="T45" s="78" t="n"/>
      <c r="U45" s="77" t="n"/>
      <c r="V45" s="77" t="n"/>
    </row>
    <row r="46" ht="14.25" customHeight="1" s="60">
      <c r="B46" s="79" t="n"/>
      <c r="C46" s="79" t="n"/>
      <c r="D46" s="75" t="n"/>
      <c r="E46" s="79" t="n"/>
      <c r="F46" s="78" t="n"/>
      <c r="G46" s="79" t="n"/>
      <c r="H46" s="79" t="n"/>
      <c r="I46" s="79" t="n"/>
      <c r="J46" s="79" t="n"/>
      <c r="K46" s="79" t="n"/>
      <c r="L46" s="79" t="n"/>
      <c r="M46" s="79" t="n"/>
      <c r="N46" s="79" t="n"/>
      <c r="O46" s="79" t="n"/>
      <c r="P46" s="79" t="n"/>
      <c r="Q46" s="79" t="n"/>
      <c r="R46" s="79" t="n"/>
      <c r="S46" s="79" t="n"/>
      <c r="T46" s="78" t="n"/>
      <c r="U46" s="77" t="n"/>
      <c r="V46" s="77" t="n"/>
    </row>
    <row r="47" ht="14.25" customHeight="1" s="60">
      <c r="B47" s="79" t="n"/>
      <c r="C47" s="79" t="n"/>
      <c r="D47" s="75" t="n"/>
      <c r="E47" s="79" t="n"/>
      <c r="F47" s="78" t="n"/>
      <c r="G47" s="79" t="n"/>
      <c r="H47" s="79" t="n"/>
      <c r="I47" s="79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9" t="n"/>
      <c r="T47" s="78" t="n"/>
      <c r="U47" s="77" t="n"/>
      <c r="V47" s="77" t="n"/>
    </row>
    <row r="48" ht="14.25" customHeight="1" s="60">
      <c r="B48" s="79" t="n"/>
      <c r="C48" s="79" t="n"/>
      <c r="D48" s="75" t="n"/>
      <c r="E48" s="79" t="n"/>
      <c r="F48" s="78" t="n"/>
      <c r="G48" s="79" t="n"/>
      <c r="H48" s="79" t="n"/>
      <c r="I48" s="79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9" t="n"/>
      <c r="T48" s="78" t="n"/>
      <c r="U48" s="77" t="n"/>
      <c r="V48" s="77" t="n"/>
    </row>
    <row r="49" ht="14.25" customHeight="1" s="60">
      <c r="B49" s="79" t="n"/>
      <c r="C49" s="79" t="n"/>
      <c r="D49" s="75" t="n"/>
      <c r="E49" s="79" t="n"/>
      <c r="F49" s="78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8" t="n"/>
      <c r="U49" s="77" t="n"/>
      <c r="V49" s="77" t="n"/>
    </row>
    <row r="50" ht="14.25" customHeight="1" s="60">
      <c r="B50" s="79" t="n"/>
      <c r="C50" s="79" t="n"/>
      <c r="D50" s="75" t="n"/>
      <c r="E50" s="79" t="n"/>
      <c r="F50" s="78" t="n"/>
      <c r="G50" s="79" t="n"/>
      <c r="H50" s="79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9" t="n"/>
      <c r="T50" s="78" t="n"/>
      <c r="U50" s="77" t="n"/>
      <c r="V50" s="77" t="n"/>
    </row>
    <row r="51" ht="14.25" customHeight="1" s="60">
      <c r="B51" s="79" t="n"/>
      <c r="C51" s="79" t="n"/>
      <c r="D51" s="75" t="n"/>
      <c r="E51" s="79" t="n"/>
      <c r="F51" s="78" t="n"/>
      <c r="G51" s="79" t="n"/>
      <c r="H51" s="79" t="n"/>
      <c r="I51" s="79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9" t="n"/>
      <c r="T51" s="78" t="n"/>
      <c r="U51" s="77" t="n"/>
      <c r="V51" s="77" t="n"/>
    </row>
    <row r="52" ht="14.25" customHeight="1" s="60">
      <c r="B52" s="79" t="n"/>
      <c r="C52" s="79" t="n"/>
      <c r="D52" s="75" t="n"/>
      <c r="E52" s="79" t="n"/>
      <c r="F52" s="78" t="n"/>
      <c r="G52" s="79" t="n"/>
      <c r="H52" s="79" t="n"/>
      <c r="I52" s="79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9" t="n"/>
      <c r="T52" s="78" t="n"/>
      <c r="U52" s="77" t="n"/>
      <c r="V52" s="77" t="n"/>
    </row>
    <row r="53" ht="14.25" customHeight="1" s="60">
      <c r="B53" s="79" t="n"/>
      <c r="C53" s="79" t="n"/>
      <c r="D53" s="75" t="n"/>
      <c r="E53" s="79" t="n"/>
      <c r="F53" s="78" t="n"/>
      <c r="G53" s="79" t="n"/>
      <c r="H53" s="79" t="n"/>
      <c r="I53" s="79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9" t="n"/>
      <c r="T53" s="78" t="n"/>
      <c r="U53" s="77" t="n"/>
      <c r="V53" s="77" t="n"/>
    </row>
    <row r="54" ht="14.25" customHeight="1" s="60">
      <c r="B54" s="79" t="n"/>
      <c r="C54" s="79" t="n"/>
      <c r="D54" s="75" t="n"/>
      <c r="E54" s="79" t="n"/>
      <c r="F54" s="78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8" t="n"/>
      <c r="U54" s="77" t="n"/>
      <c r="V54" s="77" t="n"/>
    </row>
    <row r="55" ht="14.25" customHeight="1" s="60">
      <c r="B55" s="79" t="n"/>
      <c r="C55" s="79" t="n"/>
      <c r="D55" s="75" t="n"/>
      <c r="E55" s="79" t="n"/>
      <c r="F55" s="78" t="n"/>
      <c r="G55" s="79" t="n"/>
      <c r="H55" s="79" t="n"/>
      <c r="I55" s="79" t="n"/>
      <c r="J55" s="79" t="n"/>
      <c r="K55" s="79" t="n"/>
      <c r="L55" s="79" t="n"/>
      <c r="M55" s="79" t="n"/>
      <c r="N55" s="79" t="n"/>
      <c r="O55" s="79" t="n"/>
      <c r="P55" s="79" t="n"/>
      <c r="Q55" s="79" t="n"/>
      <c r="R55" s="79" t="n"/>
      <c r="S55" s="79" t="n"/>
      <c r="T55" s="78" t="n"/>
      <c r="U55" s="77" t="n"/>
      <c r="V55" s="77" t="n"/>
    </row>
  </sheetData>
  <mergeCells count="9">
    <mergeCell ref="U18:U19"/>
    <mergeCell ref="D18:D19"/>
    <mergeCell ref="B18:B19"/>
    <mergeCell ref="E18:E19"/>
    <mergeCell ref="H18:S18"/>
    <mergeCell ref="C18:C19"/>
    <mergeCell ref="T18:T19"/>
    <mergeCell ref="V18:V19"/>
    <mergeCell ref="F18:F19"/>
  </mergeCells>
  <dataValidations count="1">
    <dataValidation sqref="D21:D220" showDropDown="0" showInputMessage="0" showErrorMessage="0" allowBlank="0" type="list" errorStyle="stop" operator="between">
      <formula1>"도로,해상,항공,철도"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M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59" min="2" max="2"/>
    <col width="16" customWidth="1" style="59" min="3" max="3"/>
    <col width="12" customWidth="1" style="59" min="4" max="4"/>
    <col width="20" customWidth="1" style="59" min="5" max="5"/>
    <col width="12" customWidth="1" style="59" min="6" max="6"/>
    <col width="16" customWidth="1" style="59" min="7" max="7"/>
    <col width="24" customWidth="1" style="59" min="8" max="8"/>
    <col width="10" customWidth="1" style="59" min="9" max="9"/>
    <col width="28" customWidth="1" style="59" min="10" max="10"/>
    <col width="24" customWidth="1" style="59" min="11" max="11"/>
    <col width="20" customWidth="1" style="59" min="12" max="12"/>
    <col width="16" customWidth="1" style="59" min="13" max="13"/>
  </cols>
  <sheetData>
    <row r="1"/>
    <row r="2" ht="20.25" customHeight="1" s="60">
      <c r="B2" s="61" t="inlineStr">
        <is>
          <t>C11. 판매제품 사용</t>
        </is>
      </c>
    </row>
    <row r="3"/>
    <row r="4" ht="14.25" customHeight="1" s="60">
      <c r="B4" s="62" t="inlineStr">
        <is>
          <t>카테고리 정의</t>
        </is>
      </c>
    </row>
    <row r="5" ht="14.25" customHeight="1" s="60">
      <c r="B5" s="63" t="inlineStr">
        <is>
          <t>- 보고년도에 판매된 제품이 최종소비자에게 사용되는 과정에서 발생하는 온실가스 배출량</t>
        </is>
      </c>
    </row>
    <row r="6" ht="14.25" customHeight="1" s="60">
      <c r="B6" s="63" t="inlineStr">
        <is>
          <t>- 에너지를 직접 소비하는 제품, 연료를 사용하는 제품, 사용 단계 배출이 중요한 제품이 대상</t>
        </is>
      </c>
    </row>
    <row r="7"/>
    <row r="8"/>
    <row r="9" ht="14.25" customHeight="1" s="60">
      <c r="B9" s="62" t="inlineStr">
        <is>
          <t>작성 기준</t>
        </is>
      </c>
    </row>
    <row r="10" ht="14.25" customHeight="1" s="60">
      <c r="B10" s="63" t="inlineStr">
        <is>
          <t>1) 온실가스 산정 식: Σ(판매수량 × 제품당 연간 에너지 사용량 × 평균 사용기간 × 에너지원별 배출계수)</t>
        </is>
      </c>
    </row>
    <row r="11" ht="14.25" customHeight="1" s="60">
      <c r="B11" s="63" t="inlineStr">
        <is>
          <t xml:space="preserve"> - 온실가스 배출계수는 환경부-환경성적표지(EPD) 평가계수를 활용</t>
        </is>
      </c>
    </row>
    <row r="12" ht="14.25" customHeight="1" s="60">
      <c r="B12" s="63" t="inlineStr">
        <is>
          <t>2) 제품별 판매량, 에너지명, 사용량, 사용기간은 반드시 작성</t>
        </is>
      </c>
    </row>
    <row r="13" ht="14.25" customHeight="1" s="60">
      <c r="B13" s="63" t="inlineStr">
        <is>
          <t>3) 제품 사용 단계 배출이 없는 제품은 작성하지 않음</t>
        </is>
      </c>
    </row>
    <row r="14"/>
    <row r="15"/>
    <row r="16" ht="14.25" customHeight="1" s="60">
      <c r="B16" s="64" t="inlineStr">
        <is>
          <t>※ 사용 기준: 제품/자산별 기초정보를 기준으로 작성합니다.</t>
        </is>
      </c>
    </row>
    <row r="17" ht="14.25" customHeight="1" s="60">
      <c r="B17" s="64" t="inlineStr">
        <is>
          <t>※ 주황색으로 표시된 필수 입력칸은 반드시 작성해야 합니다.</t>
        </is>
      </c>
    </row>
    <row r="18" ht="14.25" customHeight="1" s="60">
      <c r="B18" s="65" t="inlineStr">
        <is>
          <t>*국가</t>
        </is>
      </c>
      <c r="C18" s="66" t="inlineStr">
        <is>
          <t>그룹(선택)</t>
        </is>
      </c>
      <c r="D18" s="65" t="inlineStr">
        <is>
          <t>*보고연도</t>
        </is>
      </c>
      <c r="E18" s="65" t="inlineStr">
        <is>
          <t>*제품명</t>
        </is>
      </c>
      <c r="F18" s="65" t="inlineStr">
        <is>
          <t>*제품수량</t>
        </is>
      </c>
      <c r="G18" s="65" t="inlineStr">
        <is>
          <t>*에너지명</t>
        </is>
      </c>
      <c r="H18" s="65" t="inlineStr">
        <is>
          <t>*제품당 연간 에너지 사용량</t>
        </is>
      </c>
      <c r="I18" s="65" t="inlineStr">
        <is>
          <t>*단위</t>
        </is>
      </c>
      <c r="J18" s="65" t="inlineStr">
        <is>
          <t>*수명(개월) 혹은 평균 사용기간(개월)</t>
        </is>
      </c>
      <c r="K18" s="66" t="inlineStr">
        <is>
          <t>설명/적요(선택)</t>
        </is>
      </c>
      <c r="L18" s="66" t="inlineStr">
        <is>
          <t>배출계수(tCO2e/단위)</t>
        </is>
      </c>
      <c r="M18" s="66" t="inlineStr">
        <is>
          <t>배출량(tCO2e)</t>
        </is>
      </c>
    </row>
    <row r="19" ht="15" customHeight="1" s="60">
      <c r="B19" s="70" t="n"/>
      <c r="C19" s="70" t="n"/>
      <c r="D19" s="70" t="n"/>
      <c r="E19" s="70" t="n"/>
      <c r="F19" s="70" t="n"/>
      <c r="G19" s="70" t="n"/>
      <c r="H19" s="70" t="n"/>
      <c r="I19" s="70" t="n"/>
      <c r="J19" s="70" t="n"/>
      <c r="K19" s="70" t="n"/>
      <c r="L19" s="70" t="n"/>
      <c r="M19" s="70" t="n"/>
    </row>
    <row r="20" ht="16.5" customHeight="1" s="60">
      <c r="B20" s="71" t="inlineStr">
        <is>
          <t>대한민국</t>
        </is>
      </c>
      <c r="C20" s="73" t="inlineStr">
        <is>
          <t>소형가전</t>
        </is>
      </c>
      <c r="D20" s="71" t="n">
        <v>2025</v>
      </c>
      <c r="E20" s="71" t="inlineStr">
        <is>
          <t>전기제품 A</t>
        </is>
      </c>
      <c r="F20" s="71" t="n">
        <v>1000</v>
      </c>
      <c r="G20" s="71" t="inlineStr">
        <is>
          <t>전기</t>
        </is>
      </c>
      <c r="H20" s="71" t="n">
        <v>150</v>
      </c>
      <c r="I20" s="72" t="inlineStr">
        <is>
          <t>kWh</t>
        </is>
      </c>
      <c r="J20" s="71" t="n">
        <v>60</v>
      </c>
      <c r="K20" s="73" t="inlineStr">
        <is>
          <t>제품 사용 전력</t>
        </is>
      </c>
      <c r="L20" s="74" t="n">
        <v>0.0004173</v>
      </c>
      <c r="M20" s="74" t="n">
        <v>312.975</v>
      </c>
    </row>
    <row r="21" ht="16.5" customHeight="1" s="60">
      <c r="B21" s="75" t="inlineStr">
        <is>
          <t>대한민국</t>
        </is>
      </c>
      <c r="C21" s="76" t="inlineStr">
        <is>
          <t>산업장비</t>
        </is>
      </c>
      <c r="D21" s="75" t="n">
        <v>2025</v>
      </c>
      <c r="E21" s="75" t="inlineStr">
        <is>
          <t>모터 구동 장비</t>
        </is>
      </c>
      <c r="F21" s="75" t="n">
        <v>120</v>
      </c>
      <c r="G21" s="75" t="inlineStr">
        <is>
          <t>전기</t>
        </is>
      </c>
      <c r="H21" s="75" t="n">
        <v>2400</v>
      </c>
      <c r="I21" s="79" t="inlineStr">
        <is>
          <t>kWh</t>
        </is>
      </c>
      <c r="J21" s="75" t="n">
        <v>84</v>
      </c>
      <c r="K21" s="76" t="inlineStr">
        <is>
          <t>고객 사용단계 전력 소비</t>
        </is>
      </c>
      <c r="L21" s="77" t="n">
        <v>0.0004173</v>
      </c>
      <c r="M21" s="77" t="n">
        <v>841.2768000000001</v>
      </c>
    </row>
    <row r="22" ht="16.5" customHeight="1" s="60">
      <c r="B22" s="75" t="inlineStr">
        <is>
          <t>미국</t>
        </is>
      </c>
      <c r="C22" s="76" t="n"/>
      <c r="D22" s="75" t="n">
        <v>2025</v>
      </c>
      <c r="E22" s="75" t="inlineStr">
        <is>
          <t>가스식 조리기기</t>
        </is>
      </c>
      <c r="F22" s="75" t="n">
        <v>350</v>
      </c>
      <c r="G22" s="75" t="inlineStr">
        <is>
          <t>천연가스</t>
        </is>
      </c>
      <c r="H22" s="75" t="n">
        <v>180</v>
      </c>
      <c r="I22" s="79" t="inlineStr">
        <is>
          <t>Nm³</t>
        </is>
      </c>
      <c r="J22" s="75" t="n">
        <v>72</v>
      </c>
      <c r="K22" s="76" t="inlineStr">
        <is>
          <t>제품 수명기간 연료 사용</t>
        </is>
      </c>
      <c r="L22" s="77" t="n">
        <v>0.0021621</v>
      </c>
      <c r="M22" s="77" t="n">
        <v>817.2738000000001</v>
      </c>
    </row>
    <row r="23" ht="16.5" customHeight="1" s="60">
      <c r="B23" s="75" t="inlineStr">
        <is>
          <t>일본</t>
        </is>
      </c>
      <c r="C23" s="76" t="inlineStr">
        <is>
          <t>전자기기</t>
        </is>
      </c>
      <c r="D23" s="75" t="n">
        <v>2025</v>
      </c>
      <c r="E23" s="75" t="inlineStr">
        <is>
          <t>충전식 기기 B</t>
        </is>
      </c>
      <c r="F23" s="75" t="n">
        <v>5000</v>
      </c>
      <c r="G23" s="75" t="inlineStr">
        <is>
          <t>전기</t>
        </is>
      </c>
      <c r="H23" s="75" t="n">
        <v>18</v>
      </c>
      <c r="I23" s="79" t="inlineStr">
        <is>
          <t>kWh</t>
        </is>
      </c>
      <c r="J23" s="75" t="n">
        <v>36</v>
      </c>
      <c r="K23" s="76" t="inlineStr">
        <is>
          <t>충전 전력 사용량</t>
        </is>
      </c>
      <c r="L23" s="77" t="n">
        <v>0.0004173</v>
      </c>
      <c r="M23" s="77" t="n">
        <v>112.671</v>
      </c>
    </row>
    <row r="24" ht="16.5" customHeight="1" s="60">
      <c r="B24" s="75" t="inlineStr">
        <is>
          <t>대한민국</t>
        </is>
      </c>
      <c r="C24" s="76" t="inlineStr">
        <is>
          <t>생활가전</t>
        </is>
      </c>
      <c r="D24" s="79" t="n">
        <v>2025</v>
      </c>
      <c r="E24" s="75" t="inlineStr">
        <is>
          <t>공기청정기</t>
        </is>
      </c>
      <c r="F24" s="79" t="n">
        <v>3200</v>
      </c>
      <c r="G24" s="75" t="inlineStr">
        <is>
          <t>전기</t>
        </is>
      </c>
      <c r="H24" s="79" t="n">
        <v>95</v>
      </c>
      <c r="I24" s="79" t="inlineStr">
        <is>
          <t>kWh</t>
        </is>
      </c>
      <c r="J24" s="79" t="n">
        <v>60</v>
      </c>
      <c r="K24" s="76" t="inlineStr">
        <is>
          <t>보일러 제품 사용 가스</t>
        </is>
      </c>
      <c r="L24" s="77" t="n">
        <v>0.0004173</v>
      </c>
      <c r="M24" s="77" t="n">
        <v>634.296</v>
      </c>
    </row>
    <row r="25" ht="16.5" customHeight="1" s="60">
      <c r="B25" s="75" t="inlineStr">
        <is>
          <t>대한민국</t>
        </is>
      </c>
      <c r="C25" s="76" t="inlineStr">
        <is>
          <t>산업장비</t>
        </is>
      </c>
      <c r="D25" s="79" t="n">
        <v>2025</v>
      </c>
      <c r="E25" s="75" t="inlineStr">
        <is>
          <t>컴프레서</t>
        </is>
      </c>
      <c r="F25" s="79" t="n">
        <v>85</v>
      </c>
      <c r="G25" s="75" t="inlineStr">
        <is>
          <t>전기</t>
        </is>
      </c>
      <c r="H25" s="79" t="n">
        <v>4800</v>
      </c>
      <c r="I25" s="79" t="inlineStr">
        <is>
          <t>kWh</t>
        </is>
      </c>
      <c r="J25" s="79" t="n">
        <v>96</v>
      </c>
      <c r="K25" s="76" t="inlineStr">
        <is>
          <t>산업설비 전력 소비</t>
        </is>
      </c>
      <c r="L25" s="77" t="n">
        <v>0.0004173</v>
      </c>
      <c r="M25" s="77" t="n">
        <v>1362.0672</v>
      </c>
    </row>
    <row r="26" ht="16.5" customHeight="1" s="60">
      <c r="B26" s="75" t="inlineStr">
        <is>
          <t>미국</t>
        </is>
      </c>
      <c r="C26" s="76" t="inlineStr">
        <is>
          <t>주방기기</t>
        </is>
      </c>
      <c r="D26" s="79" t="n">
        <v>2025</v>
      </c>
      <c r="E26" s="75" t="inlineStr">
        <is>
          <t>전기오븐</t>
        </is>
      </c>
      <c r="F26" s="79" t="n">
        <v>620</v>
      </c>
      <c r="G26" s="75" t="inlineStr">
        <is>
          <t>전기</t>
        </is>
      </c>
      <c r="H26" s="79" t="n">
        <v>210</v>
      </c>
      <c r="I26" s="79" t="inlineStr">
        <is>
          <t>kWh</t>
        </is>
      </c>
      <c r="J26" s="79" t="n">
        <v>72</v>
      </c>
      <c r="K26" s="76" t="inlineStr">
        <is>
          <t>매장 판매 제품 전력</t>
        </is>
      </c>
      <c r="L26" s="77" t="n">
        <v>0.0004173</v>
      </c>
      <c r="M26" s="77" t="n">
        <v>325.99476</v>
      </c>
    </row>
    <row r="27" ht="16.5" customHeight="1" s="60">
      <c r="B27" s="75" t="inlineStr">
        <is>
          <t>일본</t>
        </is>
      </c>
      <c r="C27" s="76" t="n"/>
      <c r="D27" s="79" t="n">
        <v>2025</v>
      </c>
      <c r="E27" s="75" t="inlineStr">
        <is>
          <t>전기포트</t>
        </is>
      </c>
      <c r="F27" s="79" t="n">
        <v>8000</v>
      </c>
      <c r="G27" s="75" t="inlineStr">
        <is>
          <t>전기</t>
        </is>
      </c>
      <c r="H27" s="79" t="n">
        <v>12</v>
      </c>
      <c r="I27" s="79" t="inlineStr">
        <is>
          <t>kWh</t>
        </is>
      </c>
      <c r="J27" s="79" t="n">
        <v>48</v>
      </c>
      <c r="K27" s="76" t="inlineStr">
        <is>
          <t>소형가전 전력 소비</t>
        </is>
      </c>
      <c r="L27" s="77" t="n">
        <v>0.0004173</v>
      </c>
      <c r="M27" s="77" t="n">
        <v>160.2432</v>
      </c>
    </row>
    <row r="28" ht="16.5" customHeight="1" s="60">
      <c r="B28" s="75" t="inlineStr">
        <is>
          <t>대한민국</t>
        </is>
      </c>
      <c r="C28" s="76" t="inlineStr">
        <is>
          <t>냉난방기기</t>
        </is>
      </c>
      <c r="D28" s="79" t="n">
        <v>2025</v>
      </c>
      <c r="E28" s="75" t="inlineStr">
        <is>
          <t>가정용 보일러</t>
        </is>
      </c>
      <c r="F28" s="79" t="n">
        <v>450</v>
      </c>
      <c r="G28" s="75" t="inlineStr">
        <is>
          <t>도시가스(LNG)</t>
        </is>
      </c>
      <c r="H28" s="79" t="n">
        <v>850</v>
      </c>
      <c r="I28" s="79" t="inlineStr">
        <is>
          <t>Nm³</t>
        </is>
      </c>
      <c r="J28" s="79" t="n">
        <v>120</v>
      </c>
      <c r="K28" s="76" t="inlineStr">
        <is>
          <t>보일러 연료 사용</t>
        </is>
      </c>
      <c r="L28" s="77" t="n">
        <v>0.0021621</v>
      </c>
      <c r="M28" s="77" t="n">
        <v>8270.032500000001</v>
      </c>
    </row>
    <row r="29" ht="16.5" customHeight="1" s="60">
      <c r="B29" s="75" t="inlineStr">
        <is>
          <t>베트남</t>
        </is>
      </c>
      <c r="C29" s="76" t="inlineStr">
        <is>
          <t>산업장비</t>
        </is>
      </c>
      <c r="D29" s="79" t="n">
        <v>2025</v>
      </c>
      <c r="E29" s="75" t="inlineStr">
        <is>
          <t>산업용 펌프</t>
        </is>
      </c>
      <c r="F29" s="79" t="n">
        <v>60</v>
      </c>
      <c r="G29" s="75" t="inlineStr">
        <is>
          <t>전기</t>
        </is>
      </c>
      <c r="H29" s="79" t="n">
        <v>3600</v>
      </c>
      <c r="I29" s="79" t="inlineStr">
        <is>
          <t>kWh</t>
        </is>
      </c>
      <c r="J29" s="79" t="n">
        <v>84</v>
      </c>
      <c r="K29" s="76" t="inlineStr">
        <is>
          <t>현지 판매 설비 전력</t>
        </is>
      </c>
      <c r="L29" s="77" t="n">
        <v>0.0004173</v>
      </c>
      <c r="M29" s="77" t="n">
        <v>630.9576</v>
      </c>
    </row>
    <row r="30" ht="14.25" customHeight="1" s="60">
      <c r="B30" s="75" t="inlineStr">
        <is>
          <t>대한민국</t>
        </is>
      </c>
      <c r="C30" s="76" t="inlineStr">
        <is>
          <t>생활가전</t>
        </is>
      </c>
      <c r="D30" s="79" t="n">
        <v>2025</v>
      </c>
      <c r="E30" s="75" t="inlineStr">
        <is>
          <t>공기청정기 CX-500 (신모델)</t>
        </is>
      </c>
      <c r="F30" s="79" t="n">
        <v>2980</v>
      </c>
      <c r="G30" s="75" t="inlineStr">
        <is>
          <t>전기</t>
        </is>
      </c>
      <c r="H30" s="79" t="n">
        <v>91</v>
      </c>
      <c r="I30" s="79" t="inlineStr">
        <is>
          <t>kWh</t>
        </is>
      </c>
      <c r="J30" s="79" t="n">
        <v>60</v>
      </c>
      <c r="K30" s="76" t="inlineStr">
        <is>
          <t>구모델 대비 소비전력 소폭감소</t>
        </is>
      </c>
      <c r="L30" s="77" t="n">
        <v>0.0004173</v>
      </c>
      <c r="M30" s="77" t="n">
        <v>565.8170699999999</v>
      </c>
    </row>
    <row r="31" ht="14.25" customHeight="1" s="60">
      <c r="B31" s="75" t="inlineStr">
        <is>
          <t>대한민국</t>
        </is>
      </c>
      <c r="C31" s="76" t="inlineStr">
        <is>
          <t>산업장비</t>
        </is>
      </c>
      <c r="D31" s="79" t="n">
        <v>2025</v>
      </c>
      <c r="E31" s="75" t="inlineStr">
        <is>
          <t>컴프레서-2type</t>
        </is>
      </c>
      <c r="F31" s="79" t="n">
        <v>78</v>
      </c>
      <c r="G31" s="75" t="inlineStr">
        <is>
          <t>전기</t>
        </is>
      </c>
      <c r="H31" s="79" t="n">
        <v>4750</v>
      </c>
      <c r="I31" s="79" t="inlineStr">
        <is>
          <t>kWh</t>
        </is>
      </c>
      <c r="J31" s="79" t="n">
        <v>96</v>
      </c>
      <c r="K31" s="76" t="inlineStr">
        <is>
          <t>판매량 정확치 아니고 출하량기준</t>
        </is>
      </c>
      <c r="L31" s="77" t="n">
        <v>0.0004173</v>
      </c>
      <c r="M31" s="77" t="n">
        <v>1236.8772</v>
      </c>
    </row>
    <row r="32" ht="14.25" customHeight="1" s="60">
      <c r="B32" s="75" t="inlineStr">
        <is>
          <t>미국</t>
        </is>
      </c>
      <c r="C32" s="76" t="n"/>
      <c r="D32" s="79" t="n">
        <v>2025</v>
      </c>
      <c r="E32" s="79" t="inlineStr">
        <is>
          <t>electric oven (US export)</t>
        </is>
      </c>
      <c r="F32" s="79" t="n">
        <v>610</v>
      </c>
      <c r="G32" s="75" t="inlineStr">
        <is>
          <t>전기</t>
        </is>
      </c>
      <c r="H32" s="79" t="n">
        <v>205</v>
      </c>
      <c r="I32" s="79" t="inlineStr">
        <is>
          <t>kWh</t>
        </is>
      </c>
      <c r="J32" s="79" t="n">
        <v>72</v>
      </c>
      <c r="K32" s="76" t="inlineStr">
        <is>
          <t>미국향 수출모델, 전압사양다름-동일EF적용</t>
        </is>
      </c>
      <c r="L32" s="77" t="n">
        <v>0.0004173</v>
      </c>
      <c r="M32" s="77" t="n">
        <v>313.10019</v>
      </c>
    </row>
    <row r="33" ht="14.25" customHeight="1" s="60">
      <c r="B33" s="75" t="inlineStr">
        <is>
          <t>일본</t>
        </is>
      </c>
      <c r="C33" s="76" t="inlineStr">
        <is>
          <t>소형가전</t>
        </is>
      </c>
      <c r="D33" s="79" t="n">
        <v>2025</v>
      </c>
      <c r="E33" s="75" t="inlineStr">
        <is>
          <t>전기포트(1.0L)</t>
        </is>
      </c>
      <c r="F33" s="79" t="n">
        <v>7850</v>
      </c>
      <c r="G33" s="75" t="inlineStr">
        <is>
          <t>전기</t>
        </is>
      </c>
      <c r="H33" s="79" t="n">
        <v>12</v>
      </c>
      <c r="I33" s="79" t="inlineStr">
        <is>
          <t>kwh</t>
        </is>
      </c>
      <c r="J33" s="79" t="n">
        <v>48</v>
      </c>
      <c r="K33" s="78" t="n"/>
      <c r="L33" s="77" t="n">
        <v>0.0004173</v>
      </c>
      <c r="M33" s="77" t="n">
        <v>157.23864</v>
      </c>
    </row>
    <row r="34" ht="14.25" customHeight="1" s="60">
      <c r="B34" s="75" t="inlineStr">
        <is>
          <t>대한민국</t>
        </is>
      </c>
      <c r="C34" s="76" t="inlineStr">
        <is>
          <t>냉난방기기</t>
        </is>
      </c>
      <c r="D34" s="79" t="n">
        <v>2025</v>
      </c>
      <c r="E34" s="75" t="inlineStr">
        <is>
          <t>보일러(콘덴싱)</t>
        </is>
      </c>
      <c r="F34" s="79" t="n">
        <v>440</v>
      </c>
      <c r="G34" s="75" t="inlineStr">
        <is>
          <t>도시가스(LNG)</t>
        </is>
      </c>
      <c r="H34" s="79" t="n">
        <v>810</v>
      </c>
      <c r="I34" s="79" t="inlineStr">
        <is>
          <t>Nm3</t>
        </is>
      </c>
      <c r="J34" s="79" t="n">
        <v>120</v>
      </c>
      <c r="K34" s="76" t="inlineStr">
        <is>
          <t>구형 보일러보다 효율 좋아서 사용량 하향조정</t>
        </is>
      </c>
      <c r="L34" s="77" t="n">
        <v>0.0021621</v>
      </c>
      <c r="M34" s="77" t="n">
        <v>7705.7244</v>
      </c>
    </row>
    <row r="35" ht="14.25" customHeight="1" s="60">
      <c r="B35" s="79" t="n"/>
      <c r="C35" s="78" t="n"/>
      <c r="D35" s="79" t="n"/>
      <c r="E35" s="79" t="n"/>
      <c r="F35" s="79" t="n"/>
      <c r="G35" s="75" t="n"/>
      <c r="H35" s="79" t="n"/>
      <c r="I35" s="79" t="n"/>
      <c r="J35" s="79" t="n"/>
      <c r="K35" s="78" t="n"/>
      <c r="L35" s="77" t="n"/>
      <c r="M35" s="77" t="n"/>
    </row>
    <row r="36" ht="14.25" customHeight="1" s="60">
      <c r="B36" s="79" t="n"/>
      <c r="C36" s="78" t="n"/>
      <c r="D36" s="79" t="n"/>
      <c r="E36" s="79" t="n"/>
      <c r="F36" s="79" t="n"/>
      <c r="G36" s="75" t="n"/>
      <c r="H36" s="79" t="n"/>
      <c r="I36" s="79" t="n"/>
      <c r="J36" s="79" t="n"/>
      <c r="K36" s="78" t="n"/>
      <c r="L36" s="77" t="n"/>
      <c r="M36" s="77" t="n"/>
    </row>
    <row r="37" ht="14.25" customHeight="1" s="60">
      <c r="B37" s="79" t="n"/>
      <c r="C37" s="78" t="n"/>
      <c r="D37" s="79" t="n"/>
      <c r="E37" s="79" t="n"/>
      <c r="F37" s="79" t="n"/>
      <c r="G37" s="75" t="n"/>
      <c r="H37" s="79" t="n"/>
      <c r="I37" s="79" t="n"/>
      <c r="J37" s="79" t="n"/>
      <c r="K37" s="78" t="n"/>
      <c r="L37" s="77" t="n"/>
      <c r="M37" s="77" t="n"/>
    </row>
    <row r="38" ht="14.25" customHeight="1" s="60">
      <c r="B38" s="79" t="n"/>
      <c r="C38" s="78" t="n"/>
      <c r="D38" s="79" t="n"/>
      <c r="E38" s="79" t="n"/>
      <c r="F38" s="79" t="n"/>
      <c r="G38" s="75" t="n"/>
      <c r="H38" s="79" t="n"/>
      <c r="I38" s="79" t="n"/>
      <c r="J38" s="79" t="n"/>
      <c r="K38" s="78" t="n"/>
      <c r="L38" s="77" t="n"/>
      <c r="M38" s="77" t="n"/>
    </row>
    <row r="39" ht="14.25" customHeight="1" s="60">
      <c r="B39" s="79" t="n"/>
      <c r="C39" s="78" t="n"/>
      <c r="D39" s="79" t="n"/>
      <c r="E39" s="79" t="n"/>
      <c r="F39" s="79" t="n"/>
      <c r="G39" s="75" t="n"/>
      <c r="H39" s="79" t="n"/>
      <c r="I39" s="79" t="n"/>
      <c r="J39" s="79" t="n"/>
      <c r="K39" s="78" t="n"/>
      <c r="L39" s="77" t="n"/>
      <c r="M39" s="77" t="n"/>
    </row>
    <row r="40" ht="14.25" customHeight="1" s="60">
      <c r="B40" s="79" t="n"/>
      <c r="C40" s="78" t="n"/>
      <c r="D40" s="79" t="n"/>
      <c r="E40" s="79" t="n"/>
      <c r="F40" s="79" t="n"/>
      <c r="G40" s="75" t="n"/>
      <c r="H40" s="79" t="n"/>
      <c r="I40" s="79" t="n"/>
      <c r="J40" s="79" t="n"/>
      <c r="K40" s="78" t="n"/>
      <c r="L40" s="77" t="n"/>
      <c r="M40" s="77" t="n"/>
    </row>
    <row r="41" ht="14.25" customHeight="1" s="60">
      <c r="B41" s="79" t="n"/>
      <c r="C41" s="78" t="n"/>
      <c r="D41" s="79" t="n"/>
      <c r="E41" s="79" t="n"/>
      <c r="F41" s="79" t="n"/>
      <c r="G41" s="75" t="n"/>
      <c r="H41" s="79" t="n"/>
      <c r="I41" s="79" t="n"/>
      <c r="J41" s="79" t="n"/>
      <c r="K41" s="78" t="n"/>
      <c r="L41" s="77" t="n"/>
      <c r="M41" s="77" t="n"/>
    </row>
    <row r="42" ht="14.25" customHeight="1" s="60">
      <c r="B42" s="79" t="n"/>
      <c r="C42" s="78" t="n"/>
      <c r="D42" s="79" t="n"/>
      <c r="E42" s="79" t="n"/>
      <c r="F42" s="79" t="n"/>
      <c r="G42" s="75" t="n"/>
      <c r="H42" s="79" t="n"/>
      <c r="I42" s="79" t="n"/>
      <c r="J42" s="79" t="n"/>
      <c r="K42" s="78" t="n"/>
      <c r="L42" s="77" t="n"/>
      <c r="M42" s="77" t="n"/>
    </row>
    <row r="43" ht="14.25" customHeight="1" s="60">
      <c r="B43" s="79" t="n"/>
      <c r="C43" s="78" t="n"/>
      <c r="D43" s="79" t="n"/>
      <c r="E43" s="79" t="n"/>
      <c r="F43" s="79" t="n"/>
      <c r="G43" s="75" t="n"/>
      <c r="H43" s="79" t="n"/>
      <c r="I43" s="79" t="n"/>
      <c r="J43" s="79" t="n"/>
      <c r="K43" s="78" t="n"/>
      <c r="L43" s="77" t="n"/>
      <c r="M43" s="77" t="n"/>
    </row>
    <row r="44" ht="14.25" customHeight="1" s="60">
      <c r="B44" s="79" t="n"/>
      <c r="C44" s="78" t="n"/>
      <c r="D44" s="79" t="n"/>
      <c r="E44" s="79" t="n"/>
      <c r="F44" s="79" t="n"/>
      <c r="G44" s="75" t="n"/>
      <c r="H44" s="79" t="n"/>
      <c r="I44" s="79" t="n"/>
      <c r="J44" s="79" t="n"/>
      <c r="K44" s="78" t="n"/>
      <c r="L44" s="77" t="n"/>
      <c r="M44" s="77" t="n"/>
    </row>
    <row r="45" ht="14.25" customHeight="1" s="60">
      <c r="B45" s="79" t="n"/>
      <c r="C45" s="78" t="n"/>
      <c r="D45" s="79" t="n"/>
      <c r="E45" s="79" t="n"/>
      <c r="F45" s="79" t="n"/>
      <c r="G45" s="75" t="n"/>
      <c r="H45" s="79" t="n"/>
      <c r="I45" s="79" t="n"/>
      <c r="J45" s="79" t="n"/>
      <c r="K45" s="78" t="n"/>
      <c r="L45" s="77" t="n"/>
      <c r="M45" s="77" t="n"/>
    </row>
    <row r="46" ht="14.25" customHeight="1" s="60">
      <c r="B46" s="79" t="n"/>
      <c r="C46" s="78" t="n"/>
      <c r="D46" s="79" t="n"/>
      <c r="E46" s="79" t="n"/>
      <c r="F46" s="79" t="n"/>
      <c r="G46" s="75" t="n"/>
      <c r="H46" s="79" t="n"/>
      <c r="I46" s="79" t="n"/>
      <c r="J46" s="79" t="n"/>
      <c r="K46" s="78" t="n"/>
      <c r="L46" s="77" t="n"/>
      <c r="M46" s="77" t="n"/>
    </row>
    <row r="47" ht="14.25" customHeight="1" s="60">
      <c r="B47" s="79" t="n"/>
      <c r="C47" s="78" t="n"/>
      <c r="D47" s="79" t="n"/>
      <c r="E47" s="79" t="n"/>
      <c r="F47" s="79" t="n"/>
      <c r="G47" s="75" t="n"/>
      <c r="H47" s="79" t="n"/>
      <c r="I47" s="79" t="n"/>
      <c r="J47" s="79" t="n"/>
      <c r="K47" s="78" t="n"/>
      <c r="L47" s="77" t="n"/>
      <c r="M47" s="77" t="n"/>
    </row>
    <row r="48" ht="14.25" customHeight="1" s="60">
      <c r="B48" s="79" t="n"/>
      <c r="C48" s="78" t="n"/>
      <c r="D48" s="79" t="n"/>
      <c r="E48" s="79" t="n"/>
      <c r="F48" s="79" t="n"/>
      <c r="G48" s="75" t="n"/>
      <c r="H48" s="79" t="n"/>
      <c r="I48" s="79" t="n"/>
      <c r="J48" s="79" t="n"/>
      <c r="K48" s="78" t="n"/>
      <c r="L48" s="77" t="n"/>
      <c r="M48" s="77" t="n"/>
    </row>
    <row r="49" ht="14.25" customHeight="1" s="60">
      <c r="B49" s="79" t="n"/>
      <c r="C49" s="78" t="n"/>
      <c r="D49" s="79" t="n"/>
      <c r="E49" s="79" t="n"/>
      <c r="F49" s="79" t="n"/>
      <c r="G49" s="75" t="n"/>
      <c r="H49" s="79" t="n"/>
      <c r="I49" s="79" t="n"/>
      <c r="J49" s="79" t="n"/>
      <c r="K49" s="78" t="n"/>
      <c r="L49" s="77" t="n"/>
      <c r="M49" s="77" t="n"/>
    </row>
    <row r="50" ht="14.25" customHeight="1" s="60">
      <c r="B50" s="79" t="n"/>
      <c r="C50" s="78" t="n"/>
      <c r="D50" s="79" t="n"/>
      <c r="E50" s="79" t="n"/>
      <c r="F50" s="79" t="n"/>
      <c r="G50" s="75" t="n"/>
      <c r="H50" s="79" t="n"/>
      <c r="I50" s="79" t="n"/>
      <c r="J50" s="79" t="n"/>
      <c r="K50" s="78" t="n"/>
      <c r="L50" s="77" t="n"/>
      <c r="M50" s="77" t="n"/>
    </row>
    <row r="51" ht="14.25" customHeight="1" s="60">
      <c r="B51" s="79" t="n"/>
      <c r="C51" s="78" t="n"/>
      <c r="D51" s="79" t="n"/>
      <c r="E51" s="79" t="n"/>
      <c r="F51" s="79" t="n"/>
      <c r="G51" s="75" t="n"/>
      <c r="H51" s="79" t="n"/>
      <c r="I51" s="79" t="n"/>
      <c r="J51" s="79" t="n"/>
      <c r="K51" s="78" t="n"/>
      <c r="L51" s="77" t="n"/>
      <c r="M51" s="77" t="n"/>
    </row>
    <row r="52" ht="14.25" customHeight="1" s="60">
      <c r="B52" s="79" t="n"/>
      <c r="C52" s="78" t="n"/>
      <c r="D52" s="79" t="n"/>
      <c r="E52" s="79" t="n"/>
      <c r="F52" s="79" t="n"/>
      <c r="G52" s="75" t="n"/>
      <c r="H52" s="79" t="n"/>
      <c r="I52" s="79" t="n"/>
      <c r="J52" s="79" t="n"/>
      <c r="K52" s="78" t="n"/>
      <c r="L52" s="77" t="n"/>
      <c r="M52" s="77" t="n"/>
    </row>
    <row r="53" ht="14.25" customHeight="1" s="60">
      <c r="B53" s="79" t="n"/>
      <c r="C53" s="78" t="n"/>
      <c r="D53" s="79" t="n"/>
      <c r="E53" s="79" t="n"/>
      <c r="F53" s="79" t="n"/>
      <c r="G53" s="75" t="n"/>
      <c r="H53" s="79" t="n"/>
      <c r="I53" s="79" t="n"/>
      <c r="J53" s="79" t="n"/>
      <c r="K53" s="78" t="n"/>
      <c r="L53" s="77" t="n"/>
      <c r="M53" s="77" t="n"/>
    </row>
    <row r="54" ht="14.25" customHeight="1" s="60">
      <c r="B54" s="79" t="n"/>
      <c r="C54" s="78" t="n"/>
      <c r="D54" s="79" t="n"/>
      <c r="E54" s="79" t="n"/>
      <c r="F54" s="79" t="n"/>
      <c r="G54" s="75" t="n"/>
      <c r="H54" s="79" t="n"/>
      <c r="I54" s="79" t="n"/>
      <c r="J54" s="79" t="n"/>
      <c r="K54" s="78" t="n"/>
      <c r="L54" s="77" t="n"/>
      <c r="M54" s="77" t="n"/>
    </row>
    <row r="55" ht="14.25" customHeight="1" s="60">
      <c r="B55" s="79" t="n"/>
      <c r="C55" s="78" t="n"/>
      <c r="D55" s="79" t="n"/>
      <c r="E55" s="79" t="n"/>
      <c r="F55" s="79" t="n"/>
      <c r="G55" s="75" t="n"/>
      <c r="H55" s="79" t="n"/>
      <c r="I55" s="79" t="n"/>
      <c r="J55" s="79" t="n"/>
      <c r="K55" s="78" t="n"/>
      <c r="L55" s="77" t="n"/>
      <c r="M55" s="77" t="n"/>
    </row>
  </sheetData>
  <mergeCells count="12">
    <mergeCell ref="L18:L19"/>
    <mergeCell ref="I18:I19"/>
    <mergeCell ref="D18:D19"/>
    <mergeCell ref="B18:B19"/>
    <mergeCell ref="J18:J19"/>
    <mergeCell ref="E18:E19"/>
    <mergeCell ref="M18:M19"/>
    <mergeCell ref="C18:C19"/>
    <mergeCell ref="G18:G19"/>
    <mergeCell ref="K18:K19"/>
    <mergeCell ref="H18:H19"/>
    <mergeCell ref="F18:F19"/>
  </mergeCells>
  <dataValidations count="2">
    <dataValidation sqref="G21:G220" showDropDown="0" showInputMessage="0" showErrorMessage="0" allowBlank="0" type="list" errorStyle="stop" operator="between">
      <formula1>"경유,전기,무연탄,벙커C유,석탄,천연가스,액화석유가스,휘발유,등유,LPG,기타"</formula1>
      <formula2>0</formula2>
    </dataValidation>
    <dataValidation sqref="I21:I220" showDropDown="0" showInputMessage="0" showErrorMessage="0" allowBlank="0" type="list" errorStyle="stop" operator="between">
      <formula1>"kWh,MJ,kg,L,m3,Nm3,ton"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G3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4" customWidth="1" style="59" min="2" max="2"/>
    <col width="34" customWidth="1" style="59" min="3" max="3"/>
    <col width="32" customWidth="1" style="59" min="4" max="4"/>
    <col width="38" customWidth="1" style="59" min="5" max="5"/>
    <col width="18" customWidth="1" style="59" min="6" max="6"/>
    <col width="12" customWidth="1" style="59" min="7" max="7"/>
    <col width="14" customWidth="1" style="59" min="8" max="8"/>
    <col width="16" customWidth="1" style="59" min="9" max="9"/>
    <col width="20.25" customWidth="1" style="59" min="10" max="10"/>
    <col width="18.13" customWidth="1" style="59" min="11" max="13"/>
    <col width="28" customWidth="1" style="59" min="14" max="14"/>
    <col width="18" customWidth="1" style="59" min="15" max="15"/>
    <col width="16" customWidth="1" style="59" min="16" max="16"/>
    <col hidden="1" width="1" customWidth="1" style="59" min="27" max="33"/>
  </cols>
  <sheetData>
    <row r="1" ht="20.25" customHeight="1" s="60">
      <c r="AA1" s="95" t="inlineStr">
        <is>
          <t>대분류목록</t>
        </is>
      </c>
      <c r="AB1" s="61" t="n"/>
      <c r="AC1" s="95" t="inlineStr">
        <is>
          <t>대분류_매핑</t>
        </is>
      </c>
      <c r="AD1" s="95" t="inlineStr">
        <is>
          <t>중분류목록</t>
        </is>
      </c>
      <c r="AE1" s="61" t="n"/>
      <c r="AF1" s="95" t="inlineStr">
        <is>
          <t>중분류_매핑</t>
        </is>
      </c>
      <c r="AG1" s="95" t="inlineStr">
        <is>
          <t>소분류목록</t>
        </is>
      </c>
    </row>
    <row r="2" ht="20.25" customHeight="1" s="60">
      <c r="B2" s="61" t="inlineStr">
        <is>
          <t>C12. 판매제품 폐기</t>
        </is>
      </c>
      <c r="AA2" s="95" t="inlineStr">
        <is>
          <t>선택안함</t>
        </is>
      </c>
      <c r="AC2" s="95" t="inlineStr">
        <is>
          <t>선택안함</t>
        </is>
      </c>
      <c r="AD2" s="95" t="inlineStr">
        <is>
          <t>선택안함</t>
        </is>
      </c>
      <c r="AF2" s="95" t="inlineStr">
        <is>
          <t>선택안함</t>
        </is>
      </c>
      <c r="AG2" s="95" t="inlineStr">
        <is>
          <t>선택안함</t>
        </is>
      </c>
    </row>
    <row r="3" ht="20.25" customHeight="1" s="60">
      <c r="AA3" s="95" t="inlineStr">
        <is>
          <t>지정 1 | 특정시설에서 발생하는 폐기물</t>
        </is>
      </c>
      <c r="AC3" s="95" t="inlineStr">
        <is>
          <t>지정 1 | 특정시설에서 발생하는 폐기물</t>
        </is>
      </c>
      <c r="AD3" s="95" t="inlineStr">
        <is>
          <t>선택안함</t>
        </is>
      </c>
      <c r="AF3" s="95" t="inlineStr">
        <is>
          <t>해당없음</t>
        </is>
      </c>
      <c r="AG3" s="95" t="inlineStr">
        <is>
          <t>해당없음</t>
        </is>
      </c>
    </row>
    <row r="4" ht="20.25" customHeight="1" s="60">
      <c r="B4" s="62" t="inlineStr">
        <is>
          <t>카테고리 정의</t>
        </is>
      </c>
      <c r="AA4" s="95" t="inlineStr">
        <is>
          <t>사업장일반 51 | 사업장일반폐기물</t>
        </is>
      </c>
      <c r="AC4" s="95" t="inlineStr">
        <is>
          <t>지정 1 | 특정시설에서 발생하는 폐기물</t>
        </is>
      </c>
      <c r="AD4" s="61" t="inlineStr">
        <is>
          <t>01-01 | 폐합성고분자화합물</t>
        </is>
      </c>
      <c r="AF4" s="61" t="inlineStr">
        <is>
          <t>01-01 | 폐합성고분자화합물</t>
        </is>
      </c>
      <c r="AG4" s="95" t="inlineStr">
        <is>
          <t>선택안함</t>
        </is>
      </c>
    </row>
    <row r="5" ht="15" customHeight="1" s="60">
      <c r="B5" s="63" t="inlineStr">
        <is>
          <t>- 보고년도에 판매된 제품이 수명 종료 후 폐기 및 처리되는 과정에서 발생하는 온실가스 배출량</t>
        </is>
      </c>
      <c r="AA5" s="95" t="inlineStr">
        <is>
          <t>생활 91 | 생활폐기물</t>
        </is>
      </c>
      <c r="AC5" s="95" t="inlineStr">
        <is>
          <t>지정 1 | 특정시설에서 발생하는 폐기물</t>
        </is>
      </c>
      <c r="AD5" s="61" t="inlineStr">
        <is>
          <t>01-02 | 오니류</t>
        </is>
      </c>
      <c r="AF5" s="61" t="inlineStr">
        <is>
          <t>01-01 | 폐합성고분자화합물</t>
        </is>
      </c>
      <c r="AG5" s="61" t="inlineStr">
        <is>
          <t>01-01-01 | 폐폴리에틸렌</t>
        </is>
      </c>
    </row>
    <row r="6" ht="14.25" customHeight="1" s="60">
      <c r="B6" s="63" t="inlineStr">
        <is>
          <t>- 판매 제품의 폐기, 소각, 재활용, 매립 등 최종 처리 단계 배출량 산정</t>
        </is>
      </c>
      <c r="AA6" s="95" t="inlineStr">
        <is>
          <t>지정 2 | 부식성 폐기물</t>
        </is>
      </c>
      <c r="AC6" s="95" t="inlineStr">
        <is>
          <t>지정 1 | 특정시설에서 발생하는 폐기물</t>
        </is>
      </c>
      <c r="AD6" s="61" t="inlineStr">
        <is>
          <t>01-03 | 폐농약</t>
        </is>
      </c>
      <c r="AF6" s="61" t="inlineStr">
        <is>
          <t>01-01 | 폐합성고분자화합물</t>
        </is>
      </c>
      <c r="AG6" s="61" t="inlineStr">
        <is>
          <t>01-01-02 | 폐폴리프로필렌</t>
        </is>
      </c>
    </row>
    <row r="7" ht="16.5" customHeight="1" s="60">
      <c r="AA7" s="95" t="inlineStr">
        <is>
          <t>지정 3 | 유해물질 함유 폐기물</t>
        </is>
      </c>
      <c r="AC7" s="95" t="inlineStr">
        <is>
          <t>사업장일반 51 | 사업장일반폐기물</t>
        </is>
      </c>
      <c r="AD7" s="95" t="inlineStr">
        <is>
          <t>선택안함</t>
        </is>
      </c>
      <c r="AF7" s="61" t="inlineStr">
        <is>
          <t>01-01 | 폐합성고분자화합물</t>
        </is>
      </c>
      <c r="AG7" s="61" t="inlineStr">
        <is>
          <t>01-01-03 | 폐폴리염화비닐수지</t>
        </is>
      </c>
    </row>
    <row r="8" ht="15.75" customHeight="1" s="60">
      <c r="AA8" s="95" t="inlineStr">
        <is>
          <t>지정 4 | 폐유기용제</t>
        </is>
      </c>
      <c r="AC8" s="95" t="inlineStr">
        <is>
          <t>사업장일반 51 | 사업장일반폐기물</t>
        </is>
      </c>
      <c r="AD8" s="61" t="inlineStr">
        <is>
          <t>51-01 | 유기성오니류</t>
        </is>
      </c>
      <c r="AF8" s="61" t="inlineStr">
        <is>
          <t>01-01 | 폐합성고분자화합물</t>
        </is>
      </c>
      <c r="AG8" s="61" t="inlineStr">
        <is>
          <t>01-01-04 | 폐폴리에틸렌테레프탈레이트</t>
        </is>
      </c>
    </row>
    <row r="9" ht="15.75" customHeight="1" s="60">
      <c r="B9" s="62" t="inlineStr">
        <is>
          <t>작성 기준</t>
        </is>
      </c>
      <c r="AA9" s="95" t="inlineStr">
        <is>
          <t>지정 5 | 폐페인트 및 폐래커</t>
        </is>
      </c>
      <c r="AC9" s="95" t="inlineStr">
        <is>
          <t>사업장일반 51 | 사업장일반폐기물</t>
        </is>
      </c>
      <c r="AD9" s="61" t="inlineStr">
        <is>
          <t>51-02 | 무기성오니류</t>
        </is>
      </c>
      <c r="AF9" s="61" t="inlineStr">
        <is>
          <t>01-01 | 폐합성고분자화합물</t>
        </is>
      </c>
      <c r="AG9" s="61" t="inlineStr">
        <is>
          <t>01-01-05 | 폐페놀수지</t>
        </is>
      </c>
    </row>
    <row r="10" ht="18" customHeight="1" s="60">
      <c r="B10" s="63" t="inlineStr">
        <is>
          <t>1) 온실가스 산정 식: Σ(판매수량 × 제품중량 × 폐기방식 비율 × 폐기방식별 배출계수)</t>
        </is>
      </c>
      <c r="AA10" s="95" t="inlineStr">
        <is>
          <t>지정 6 | 폐유</t>
        </is>
      </c>
      <c r="AC10" s="95" t="inlineStr">
        <is>
          <t>사업장일반 51 | 사업장일반폐기물</t>
        </is>
      </c>
      <c r="AD10" s="61" t="inlineStr">
        <is>
          <t>51-03 | 폐지류</t>
        </is>
      </c>
      <c r="AF10" s="61" t="inlineStr">
        <is>
          <t>01-01 | 폐합성고분자화합물</t>
        </is>
      </c>
      <c r="AG10" s="61" t="inlineStr">
        <is>
          <t>01-01-06 | 폐폴리우레탄</t>
        </is>
      </c>
    </row>
    <row r="11" ht="18" customHeight="1" s="60">
      <c r="B11" s="63" t="inlineStr">
        <is>
          <t xml:space="preserve"> - 온실가스 배출계수는 환경부-환경성적표지(EPD) 평가계수를 활용하며, 사용자가 선택한 폐기물 분류를 내부 EPD 분류로 매핑합니다.</t>
        </is>
      </c>
      <c r="AA11" s="95" t="inlineStr">
        <is>
          <t>지정 7 | 폐석면</t>
        </is>
      </c>
      <c r="AC11" s="95" t="inlineStr">
        <is>
          <t>사업장일반 51 | 사업장일반폐기물</t>
        </is>
      </c>
      <c r="AD11" s="61" t="inlineStr">
        <is>
          <t>51-04 | 폐목재류</t>
        </is>
      </c>
      <c r="AF11" s="61" t="inlineStr">
        <is>
          <t>01-01 | 폐합성고분자화합물</t>
        </is>
      </c>
      <c r="AG11" s="61" t="inlineStr">
        <is>
          <t>01-01-07 | 폐합성고무</t>
        </is>
      </c>
    </row>
    <row r="12" ht="18" customHeight="1" s="60">
      <c r="B12" s="63" t="inlineStr">
        <is>
          <t>2) 폐기물 분류는 국립환경과학원 「폐기물 분류체계 및 분류방법 설명서」(2023) 및 폐기물관리법 시행규칙 [별표4](2023.8.11. 개정) 기준입니다.</t>
        </is>
      </c>
      <c r="AA12" s="95" t="inlineStr">
        <is>
          <t>지정 8 | 폴리클로리네이티드비페닐(PCBs) 함유 폐기물</t>
        </is>
      </c>
      <c r="AC12" s="95" t="inlineStr">
        <is>
          <t>사업장일반 51 | 사업장일반폐기물</t>
        </is>
      </c>
      <c r="AD12" s="61" t="inlineStr">
        <is>
          <t>51-05 | 폐합성수지류</t>
        </is>
      </c>
      <c r="AF12" s="61" t="inlineStr">
        <is>
          <t>01-01 | 폐합성고분자화합물</t>
        </is>
      </c>
      <c r="AG12" s="61" t="inlineStr">
        <is>
          <t>01-01-08 | 폐폴리스티렌</t>
        </is>
      </c>
    </row>
    <row r="13" ht="15.75" customHeight="1" s="60">
      <c r="B13" s="63" t="inlineStr">
        <is>
          <t xml:space="preserve"> - 폐기물 대분류를 먼저 선택하면, 해당 대분류에 맞는 중분류만 드롭다운에 표시됩니다. 폐기물 중분류를 선택하면, 해당 중분류에 맞는 소분류만 드롭다운에 표시됩니다. </t>
        </is>
      </c>
      <c r="AA13" s="95" t="inlineStr">
        <is>
          <t>지정 9 | 의료폐기물</t>
        </is>
      </c>
      <c r="AC13" s="95" t="inlineStr">
        <is>
          <t>사업장일반 51 | 사업장일반폐기물</t>
        </is>
      </c>
      <c r="AD13" s="61" t="inlineStr">
        <is>
          <t>51-06 | 폐금속류</t>
        </is>
      </c>
      <c r="AF13" s="61" t="inlineStr">
        <is>
          <t>01-01 | 폐합성고분자화합물</t>
        </is>
      </c>
      <c r="AG13" s="61" t="inlineStr">
        <is>
          <t>01-01-09 | 폐아크리로니트릴브타디엔스티렌(ABS 수지)</t>
        </is>
      </c>
    </row>
    <row r="14" ht="17.25" customHeight="1" s="60">
      <c r="B14" s="63" t="inlineStr">
        <is>
          <t xml:space="preserve"> - 모르면 비워두거나 선택안함을 선택합니다.</t>
        </is>
      </c>
      <c r="AA14" s="95" t="inlineStr">
        <is>
          <t>지정 10 | 폐배터리 및 폐태양광패널 등</t>
        </is>
      </c>
      <c r="AC14" s="95" t="inlineStr">
        <is>
          <t>사업장일반 51 | 사업장일반폐기물</t>
        </is>
      </c>
      <c r="AD14" s="61" t="inlineStr">
        <is>
          <t>51-07 | 폐유리류</t>
        </is>
      </c>
      <c r="AF14" s="61" t="inlineStr">
        <is>
          <t>01-01 | 폐합성고분자화합물</t>
        </is>
      </c>
      <c r="AG14" s="61" t="inlineStr">
        <is>
          <t>01-01-99 | 그 밖의 폐합성고분자화합물</t>
        </is>
      </c>
    </row>
    <row r="15" ht="16.5" customHeight="1" s="60">
      <c r="B15" s="63" t="inlineStr">
        <is>
          <t>3) 제품중량과 제품중량 단위는 반드시 작성합니다.</t>
        </is>
      </c>
      <c r="AA15" s="95" t="inlineStr">
        <is>
          <t>지정 11 | 수은폐기물</t>
        </is>
      </c>
      <c r="AC15" s="95" t="inlineStr">
        <is>
          <t>사업장일반 51 | 사업장일반폐기물</t>
        </is>
      </c>
      <c r="AD15" s="61" t="inlineStr">
        <is>
          <t>51-08 | 폐콘크리트류</t>
        </is>
      </c>
      <c r="AF15" s="61" t="inlineStr">
        <is>
          <t>51-01 | 유기성오니류</t>
        </is>
      </c>
      <c r="AG15" s="95" t="inlineStr">
        <is>
          <t>선택안함</t>
        </is>
      </c>
    </row>
    <row r="16" ht="15.75" customHeight="1" s="60">
      <c r="B16" s="63" t="inlineStr">
        <is>
          <t>4) 재활용, 소각, 매립, 기타 비중 합계는 100%가 되도록 작성합니다. 비율을 알 수 없는 경우에는 국가통계 기반 평균 비율을 추정하여 계산합니다.</t>
        </is>
      </c>
      <c r="AA16" s="95" t="inlineStr">
        <is>
          <t>지정 12 | 천연방사성제품폐기물</t>
        </is>
      </c>
      <c r="AC16" s="95" t="inlineStr">
        <is>
          <t>사업장일반 51 | 사업장일반폐기물</t>
        </is>
      </c>
      <c r="AD16" s="61" t="inlineStr">
        <is>
          <t>51-09 | 폐고무류</t>
        </is>
      </c>
      <c r="AF16" s="61" t="inlineStr">
        <is>
          <t>51-01 | 유기성오니류</t>
        </is>
      </c>
      <c r="AG16" s="61" t="inlineStr">
        <is>
          <t>51-01-01 | 정수처리오니</t>
        </is>
      </c>
    </row>
    <row r="17" ht="16.5" customHeight="1" s="60">
      <c r="B17" s="64" t="inlineStr">
        <is>
          <t>※ 사용 기준: 판매 제품이 수명 종료 후 주로 어떤 폐기물로 처리되는지를 기준으로 작성합니다.</t>
        </is>
      </c>
      <c r="AA17" s="95" t="inlineStr">
        <is>
          <t>지정 30 | 그 밖에 환경부장관이 정하여 고시하는 폐기물</t>
        </is>
      </c>
      <c r="AC17" s="95" t="inlineStr">
        <is>
          <t>사업장일반 51 | 사업장일반폐기물</t>
        </is>
      </c>
      <c r="AD17" s="61" t="inlineStr">
        <is>
          <t>51-10 | 폐섬유류</t>
        </is>
      </c>
      <c r="AF17" s="61" t="inlineStr">
        <is>
          <t>51-01 | 유기성오니류</t>
        </is>
      </c>
      <c r="AG17" s="61" t="inlineStr">
        <is>
          <t>51-01-02 | 하수처리오니</t>
        </is>
      </c>
    </row>
    <row r="18" ht="16.5" customHeight="1" s="60">
      <c r="B18" s="64" t="inlineStr">
        <is>
          <t>※ 주황색으로 표시된 필수 입력칸은 반드시 작성해야 합니다.</t>
        </is>
      </c>
      <c r="AA18" s="61" t="n"/>
      <c r="AC18" s="61" t="n"/>
      <c r="AD18" s="61" t="n"/>
      <c r="AF18" s="61" t="n"/>
      <c r="AG18" s="61" t="n"/>
    </row>
    <row r="19" ht="20.25" customHeight="1" s="60">
      <c r="B19" s="65" t="inlineStr">
        <is>
          <t>*국가</t>
        </is>
      </c>
      <c r="C19" s="66" t="inlineStr">
        <is>
          <t>폐기물 대분류(선택)</t>
        </is>
      </c>
      <c r="D19" s="66" t="inlineStr">
        <is>
          <t>폐기물 중분류(선택)</t>
        </is>
      </c>
      <c r="E19" s="66" t="inlineStr">
        <is>
          <t>폐기물 소분류(선택)</t>
        </is>
      </c>
      <c r="F19" s="65" t="inlineStr">
        <is>
          <t>*제품명</t>
        </is>
      </c>
      <c r="G19" s="65" t="inlineStr">
        <is>
          <t>*판매량</t>
        </is>
      </c>
      <c r="H19" s="65" t="inlineStr">
        <is>
          <t>*제품중량</t>
        </is>
      </c>
      <c r="I19" s="65" t="inlineStr">
        <is>
          <t>*제품중량 단위</t>
        </is>
      </c>
      <c r="J19" s="66" t="inlineStr">
        <is>
          <t>재활용 비중(%)(선택)</t>
        </is>
      </c>
      <c r="K19" s="66" t="inlineStr">
        <is>
          <t>소각 비중(%)(선택)</t>
        </is>
      </c>
      <c r="L19" s="66" t="inlineStr">
        <is>
          <t>매립 비중(%)(선택)</t>
        </is>
      </c>
      <c r="M19" s="66" t="inlineStr">
        <is>
          <t>기타 비중(%)(선택)</t>
        </is>
      </c>
      <c r="N19" s="66" t="inlineStr">
        <is>
          <t>설명/적요(선택)</t>
        </is>
      </c>
      <c r="O19" s="66" t="inlineStr">
        <is>
          <t>배출계수(tCO2e/단위)</t>
        </is>
      </c>
      <c r="P19" s="66" t="inlineStr">
        <is>
          <t>배출량(tCO2e)</t>
        </is>
      </c>
      <c r="AC19" s="95" t="inlineStr">
        <is>
          <t>사업장일반 51 | 사업장일반폐기물</t>
        </is>
      </c>
      <c r="AD19" s="61" t="inlineStr">
        <is>
          <t>51-11 | 폐토사류</t>
        </is>
      </c>
      <c r="AF19" s="61" t="inlineStr">
        <is>
          <t>51-01 | 유기성오니류</t>
        </is>
      </c>
      <c r="AG19" s="61" t="inlineStr">
        <is>
          <t>51-01-03 | 분뇨처리오니</t>
        </is>
      </c>
    </row>
    <row r="20" ht="15" customHeight="1" s="60">
      <c r="B20" s="70" t="n"/>
      <c r="C20" s="70" t="n"/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M20" s="70" t="n"/>
      <c r="N20" s="70" t="n"/>
      <c r="O20" s="70" t="n"/>
      <c r="P20" s="70" t="n"/>
      <c r="AC20" s="95" t="inlineStr">
        <is>
          <t>사업장일반 51 | 사업장일반폐기물</t>
        </is>
      </c>
      <c r="AD20" s="61" t="inlineStr">
        <is>
          <t>51-12 | 광재·분진·소각재류</t>
        </is>
      </c>
      <c r="AF20" s="61" t="inlineStr">
        <is>
          <t>51-01 | 유기성오니류</t>
        </is>
      </c>
      <c r="AG20" s="61" t="inlineStr">
        <is>
          <t>51-01-04 | 가축분뇨처리오니</t>
        </is>
      </c>
    </row>
    <row r="21" ht="20.25" customHeight="1" s="60">
      <c r="B21" s="71" t="inlineStr">
        <is>
          <t>대한민국</t>
        </is>
      </c>
      <c r="C21" s="73" t="inlineStr">
        <is>
          <t>지정 1 | 특정시설에서 발생하는 폐기물</t>
        </is>
      </c>
      <c r="D21" s="81" t="inlineStr">
        <is>
          <t>01-01 | 폐합성고분자화합물</t>
        </is>
      </c>
      <c r="E21" s="81" t="inlineStr">
        <is>
          <t>01-01-02 | 폐폴리프로필렌</t>
        </is>
      </c>
      <c r="F21" s="71" t="inlineStr">
        <is>
          <t>소형 전자제품</t>
        </is>
      </c>
      <c r="G21" s="71" t="n">
        <v>1000</v>
      </c>
      <c r="H21" s="71" t="n">
        <v>0.3</v>
      </c>
      <c r="I21" s="72" t="inlineStr">
        <is>
          <t>kg</t>
        </is>
      </c>
      <c r="J21" s="81" t="n">
        <v>60</v>
      </c>
      <c r="K21" s="81" t="n">
        <v>20</v>
      </c>
      <c r="L21" s="81" t="n">
        <v>15</v>
      </c>
      <c r="M21" s="81" t="n">
        <v>5</v>
      </c>
      <c r="N21" s="71" t="inlineStr">
        <is>
          <t>폐기 비율 기준</t>
        </is>
      </c>
      <c r="O21" s="74" t="n">
        <v>0.0006956513386500001</v>
      </c>
      <c r="P21" s="74" t="n">
        <v>0.208695401595</v>
      </c>
      <c r="AC21" s="95" t="inlineStr">
        <is>
          <t>사업장일반 51 | 사업장일반폐기물</t>
        </is>
      </c>
      <c r="AD21" s="61" t="inlineStr">
        <is>
          <t>51-13 | 폐촉매류</t>
        </is>
      </c>
      <c r="AF21" s="61" t="inlineStr">
        <is>
          <t>51-01 | 유기성오니류</t>
        </is>
      </c>
      <c r="AG21" s="61" t="inlineStr">
        <is>
          <t>51-01-05 | 펄프·제지공정오니</t>
        </is>
      </c>
    </row>
    <row r="22" ht="20.25" customHeight="1" s="60">
      <c r="B22" s="75" t="inlineStr">
        <is>
          <t>대한민국</t>
        </is>
      </c>
      <c r="C22" s="76" t="inlineStr">
        <is>
          <t>사업장일반 51 | 사업장일반폐기물</t>
        </is>
      </c>
      <c r="D22" s="78" t="inlineStr">
        <is>
          <t>51-18 | 폐전기전자제품류</t>
        </is>
      </c>
      <c r="E22" s="76" t="inlineStr">
        <is>
          <t>선택안함</t>
        </is>
      </c>
      <c r="F22" s="75" t="inlineStr">
        <is>
          <t>충전식 기기 B</t>
        </is>
      </c>
      <c r="G22" s="75" t="n">
        <v>5000</v>
      </c>
      <c r="H22" s="75" t="n">
        <v>0.45</v>
      </c>
      <c r="I22" s="79" t="inlineStr">
        <is>
          <t>kg</t>
        </is>
      </c>
      <c r="J22" s="78" t="n">
        <v>45</v>
      </c>
      <c r="K22" s="78" t="n">
        <v>25</v>
      </c>
      <c r="L22" s="78" t="n">
        <v>20</v>
      </c>
      <c r="M22" s="78" t="n">
        <v>10</v>
      </c>
      <c r="N22" s="75" t="inlineStr">
        <is>
          <t>폐전기전자제품 처리 가정</t>
        </is>
      </c>
      <c r="O22" s="77" t="n">
        <v>0.00030471082785</v>
      </c>
      <c r="P22" s="77" t="n">
        <v>0.6855993626625001</v>
      </c>
      <c r="AC22" s="95" t="inlineStr">
        <is>
          <t>사업장일반 51 | 사업장일반폐기물</t>
        </is>
      </c>
      <c r="AD22" s="61" t="inlineStr">
        <is>
          <t>51-14 | 폐전지류</t>
        </is>
      </c>
      <c r="AF22" s="61" t="inlineStr">
        <is>
          <t>51-01 | 유기성오니류</t>
        </is>
      </c>
      <c r="AG22" s="61" t="inlineStr">
        <is>
          <t>51-01-06 | 그 밖의 공정오니</t>
        </is>
      </c>
    </row>
    <row r="23" ht="20.25" customHeight="1" s="60">
      <c r="B23" s="75" t="inlineStr">
        <is>
          <t>대한민국</t>
        </is>
      </c>
      <c r="C23" s="76" t="n"/>
      <c r="D23" s="78" t="n"/>
      <c r="E23" s="76" t="n"/>
      <c r="F23" s="75" t="inlineStr">
        <is>
          <t>고무 부품 세트</t>
        </is>
      </c>
      <c r="G23" s="75" t="n">
        <v>8000</v>
      </c>
      <c r="H23" s="75" t="n">
        <v>0.12</v>
      </c>
      <c r="I23" s="79" t="inlineStr">
        <is>
          <t>kg</t>
        </is>
      </c>
      <c r="J23" s="78" t="n">
        <v>30</v>
      </c>
      <c r="K23" s="78" t="n">
        <v>40</v>
      </c>
      <c r="L23" s="78" t="n">
        <v>25</v>
      </c>
      <c r="M23" s="78" t="n">
        <v>5</v>
      </c>
      <c r="N23" s="75" t="inlineStr">
        <is>
          <t>소모성 부품 폐기</t>
        </is>
      </c>
      <c r="O23" s="77" t="n">
        <v>0.00052326542975</v>
      </c>
      <c r="P23" s="77" t="n">
        <v>0.50233481256</v>
      </c>
      <c r="AC23" s="95" t="inlineStr">
        <is>
          <t>사업장일반 51 | 사업장일반폐기물</t>
        </is>
      </c>
      <c r="AD23" s="61" t="inlineStr">
        <is>
          <t>51-15 | 폐형광등류</t>
        </is>
      </c>
      <c r="AF23" s="61" t="inlineStr">
        <is>
          <t>51-01 | 유기성오니류</t>
        </is>
      </c>
      <c r="AG23" s="61" t="inlineStr">
        <is>
          <t>51-01-07 | 펄프·제지폐수처리오니</t>
        </is>
      </c>
    </row>
    <row r="24" ht="20.25" customHeight="1" s="60">
      <c r="B24" s="75" t="inlineStr">
        <is>
          <t>일본</t>
        </is>
      </c>
      <c r="C24" s="76" t="inlineStr">
        <is>
          <t>사업장일반 51 | 사업장일반폐기물</t>
        </is>
      </c>
      <c r="D24" s="78" t="inlineStr">
        <is>
          <t>51-10 | 폐섬유류</t>
        </is>
      </c>
      <c r="E24" s="76" t="inlineStr">
        <is>
          <t>선택안함</t>
        </is>
      </c>
      <c r="F24" s="75" t="inlineStr">
        <is>
          <t>섬유 포장재</t>
        </is>
      </c>
      <c r="G24" s="75" t="n">
        <v>12000</v>
      </c>
      <c r="H24" s="75" t="n">
        <v>0.05</v>
      </c>
      <c r="I24" s="79" t="inlineStr">
        <is>
          <t>kg</t>
        </is>
      </c>
      <c r="J24" s="78" t="n">
        <v>50</v>
      </c>
      <c r="K24" s="78" t="n">
        <v>30</v>
      </c>
      <c r="L24" s="78" t="n">
        <v>15</v>
      </c>
      <c r="M24" s="78" t="n">
        <v>5</v>
      </c>
      <c r="N24" s="75" t="inlineStr">
        <is>
          <t>해외 판매제품 포장재 폐기</t>
        </is>
      </c>
      <c r="O24" s="77" t="n">
        <v>0.00037016060165</v>
      </c>
      <c r="P24" s="77" t="n">
        <v>0.22209636099</v>
      </c>
      <c r="AC24" s="95" t="inlineStr">
        <is>
          <t>사업장일반 51 | 사업장일반폐기물</t>
        </is>
      </c>
      <c r="AD24" s="61" t="inlineStr">
        <is>
          <t>51-16 | 폐의약품류</t>
        </is>
      </c>
      <c r="AF24" s="61" t="inlineStr">
        <is>
          <t>51-01 | 유기성오니류</t>
        </is>
      </c>
      <c r="AG24" s="61" t="inlineStr">
        <is>
          <t>51-01-08 | 그 밖의 폐수처리오니</t>
        </is>
      </c>
    </row>
    <row r="25" ht="20.25" customHeight="1" s="60">
      <c r="B25" s="75" t="inlineStr">
        <is>
          <t>대한민국</t>
        </is>
      </c>
      <c r="C25" s="76" t="inlineStr">
        <is>
          <t>지정 1 | 특정시설에서 발생하는 폐기물</t>
        </is>
      </c>
      <c r="D25" s="78" t="inlineStr">
        <is>
          <t>01-01 | 폐합성고분자화합물</t>
        </is>
      </c>
      <c r="E25" s="78" t="inlineStr">
        <is>
          <t>01-01-02 | 폐폴리프로필렌</t>
        </is>
      </c>
      <c r="F25" s="75" t="inlineStr">
        <is>
          <t>산업용 부품 케이스</t>
        </is>
      </c>
      <c r="G25" s="79" t="n">
        <v>3000</v>
      </c>
      <c r="H25" s="79" t="n">
        <v>0.25</v>
      </c>
      <c r="I25" s="79" t="inlineStr">
        <is>
          <t>kg</t>
        </is>
      </c>
      <c r="J25" s="78" t="n">
        <v>55</v>
      </c>
      <c r="K25" s="78" t="n">
        <v>20</v>
      </c>
      <c r="L25" s="78" t="n">
        <v>20</v>
      </c>
      <c r="M25" s="78" t="n">
        <v>5</v>
      </c>
      <c r="N25" s="75" t="inlineStr">
        <is>
          <t>부품 케이스 폐기</t>
        </is>
      </c>
      <c r="O25" s="77" t="n">
        <v>0.0006953815156000001</v>
      </c>
      <c r="P25" s="77" t="n">
        <v>0.5215361367000001</v>
      </c>
      <c r="AC25" s="95" t="inlineStr">
        <is>
          <t>사업장일반 51 | 사업장일반폐기물</t>
        </is>
      </c>
      <c r="AD25" s="61" t="inlineStr">
        <is>
          <t>51-17 | 폐화학약품류</t>
        </is>
      </c>
      <c r="AF25" s="61" t="inlineStr">
        <is>
          <t>51-01 | 유기성오니류</t>
        </is>
      </c>
      <c r="AG25" s="61" t="inlineStr">
        <is>
          <t>51-01-99 | 그 밖의 유기성오니</t>
        </is>
      </c>
    </row>
    <row r="26" ht="20.25" customHeight="1" s="60">
      <c r="B26" s="75" t="inlineStr">
        <is>
          <t>대한민국</t>
        </is>
      </c>
      <c r="C26" s="76" t="inlineStr">
        <is>
          <t>사업장일반 51 | 사업장일반폐기물</t>
        </is>
      </c>
      <c r="D26" s="78" t="inlineStr">
        <is>
          <t>51-18 | 폐전기전자제품류</t>
        </is>
      </c>
      <c r="E26" s="76" t="inlineStr">
        <is>
          <t>선택안함</t>
        </is>
      </c>
      <c r="F26" s="75" t="inlineStr">
        <is>
          <t>공기청정기</t>
        </is>
      </c>
      <c r="G26" s="79" t="n">
        <v>3200</v>
      </c>
      <c r="H26" s="79" t="n">
        <v>4.2</v>
      </c>
      <c r="I26" s="79" t="inlineStr">
        <is>
          <t>kg</t>
        </is>
      </c>
      <c r="J26" s="78" t="n">
        <v>40</v>
      </c>
      <c r="K26" s="78" t="n">
        <v>30</v>
      </c>
      <c r="L26" s="78" t="n">
        <v>20</v>
      </c>
      <c r="M26" s="78" t="n">
        <v>10</v>
      </c>
      <c r="N26" s="75" t="inlineStr">
        <is>
          <t>폐가전 처리</t>
        </is>
      </c>
      <c r="O26" s="77" t="n">
        <v>0.0003629051933</v>
      </c>
      <c r="P26" s="77" t="n">
        <v>4.877445797952</v>
      </c>
      <c r="AC26" s="95" t="inlineStr">
        <is>
          <t>사업장일반 51 | 사업장일반폐기물</t>
        </is>
      </c>
      <c r="AD26" s="61" t="inlineStr">
        <is>
          <t>51-18 | 폐전기전자제품류</t>
        </is>
      </c>
      <c r="AF26" s="61" t="inlineStr">
        <is>
          <t>91-01 | 음식물류 폐기물</t>
        </is>
      </c>
      <c r="AG26" s="95" t="inlineStr">
        <is>
          <t>선택안함</t>
        </is>
      </c>
    </row>
    <row r="27" ht="20.25" customHeight="1" s="60">
      <c r="B27" s="75" t="inlineStr">
        <is>
          <t>대한민국</t>
        </is>
      </c>
      <c r="C27" s="76" t="inlineStr">
        <is>
          <t>사업장일반 51 | 사업장일반폐기물</t>
        </is>
      </c>
      <c r="D27" s="78" t="inlineStr">
        <is>
          <t>51-09 | 폐고무류</t>
        </is>
      </c>
      <c r="E27" s="76" t="inlineStr">
        <is>
          <t>선택안함</t>
        </is>
      </c>
      <c r="F27" s="75" t="inlineStr">
        <is>
          <t>컴프레서 부품</t>
        </is>
      </c>
      <c r="G27" s="79" t="n">
        <v>85</v>
      </c>
      <c r="H27" s="79" t="n">
        <v>8.5</v>
      </c>
      <c r="I27" s="79" t="inlineStr">
        <is>
          <t>kg</t>
        </is>
      </c>
      <c r="J27" s="78" t="n">
        <v>25</v>
      </c>
      <c r="K27" s="78" t="n">
        <v>35</v>
      </c>
      <c r="L27" s="78" t="n">
        <v>30</v>
      </c>
      <c r="M27" s="78" t="n">
        <v>10</v>
      </c>
      <c r="N27" s="75" t="inlineStr">
        <is>
          <t>고무 부품 폐기</t>
        </is>
      </c>
      <c r="O27" s="77" t="n">
        <v>0.00117207228165</v>
      </c>
      <c r="P27" s="77" t="n">
        <v>0.846822223492125</v>
      </c>
      <c r="AC27" s="95" t="inlineStr">
        <is>
          <t>사업장일반 51 | 사업장일반폐기물</t>
        </is>
      </c>
      <c r="AD27" s="61" t="inlineStr">
        <is>
          <t>51-20 | 폐목재류(원목의 용도 그대로 사용하는 나무뿌리·가지 등을 제거한 원줄기는 제외)</t>
        </is>
      </c>
      <c r="AF27" s="61" t="inlineStr">
        <is>
          <t>91-01 | 음식물류 폐기물</t>
        </is>
      </c>
      <c r="AG27" s="61" t="inlineStr">
        <is>
          <t>91-01-00 | 음식물류 폐기물</t>
        </is>
      </c>
    </row>
    <row r="28" ht="20.25" customHeight="1" s="60">
      <c r="B28" s="75" t="inlineStr">
        <is>
          <t>미국</t>
        </is>
      </c>
      <c r="C28" s="76" t="inlineStr">
        <is>
          <t>사업장일반 51 | 사업장일반폐기물</t>
        </is>
      </c>
      <c r="D28" s="78" t="inlineStr">
        <is>
          <t>51-10 | 폐섬유류</t>
        </is>
      </c>
      <c r="E28" s="76" t="inlineStr">
        <is>
          <t>선택안함</t>
        </is>
      </c>
      <c r="F28" s="75" t="inlineStr">
        <is>
          <t>매장 포장재</t>
        </is>
      </c>
      <c r="G28" s="79" t="n">
        <v>620</v>
      </c>
      <c r="H28" s="79" t="n">
        <v>0.08</v>
      </c>
      <c r="I28" s="79" t="inlineStr">
        <is>
          <t>kg</t>
        </is>
      </c>
      <c r="J28" s="78" t="n">
        <v>50</v>
      </c>
      <c r="K28" s="78" t="n">
        <v>25</v>
      </c>
      <c r="L28" s="78" t="n">
        <v>20</v>
      </c>
      <c r="M28" s="78" t="n">
        <v>5</v>
      </c>
      <c r="N28" s="75" t="inlineStr">
        <is>
          <t>매장 포장재 폐기</t>
        </is>
      </c>
      <c r="O28" s="77" t="n">
        <v>0.00031139598635</v>
      </c>
      <c r="P28" s="77" t="n">
        <v>0.01544524092296</v>
      </c>
      <c r="AC28" s="95" t="inlineStr">
        <is>
          <t>사업장일반 51 | 사업장일반폐기물</t>
        </is>
      </c>
      <c r="AD28" s="61" t="inlineStr">
        <is>
          <t>51-21 | 음식물류 폐기물</t>
        </is>
      </c>
      <c r="AF28" s="61" t="inlineStr">
        <is>
          <t>91-02 | 폐지류</t>
        </is>
      </c>
      <c r="AG28" s="95" t="inlineStr">
        <is>
          <t>선택안함</t>
        </is>
      </c>
    </row>
    <row r="29" ht="20.25" customHeight="1" s="60">
      <c r="B29" s="75" t="inlineStr">
        <is>
          <t>일본</t>
        </is>
      </c>
      <c r="C29" s="76" t="n"/>
      <c r="D29" s="78" t="n"/>
      <c r="E29" s="76" t="n"/>
      <c r="F29" s="75" t="inlineStr">
        <is>
          <t>전기포트</t>
        </is>
      </c>
      <c r="G29" s="79" t="n">
        <v>8000</v>
      </c>
      <c r="H29" s="79" t="n">
        <v>0.6</v>
      </c>
      <c r="I29" s="79" t="inlineStr">
        <is>
          <t>kg</t>
        </is>
      </c>
      <c r="J29" s="78" t="n">
        <v>45</v>
      </c>
      <c r="K29" s="78" t="n">
        <v>25</v>
      </c>
      <c r="L29" s="78" t="n">
        <v>20</v>
      </c>
      <c r="M29" s="78" t="n">
        <v>10</v>
      </c>
      <c r="N29" s="75" t="inlineStr">
        <is>
          <t>소형가전 폐기</t>
        </is>
      </c>
      <c r="O29" s="77" t="n">
        <v>0.0003424543612</v>
      </c>
      <c r="P29" s="77" t="n">
        <v>1.64378093376</v>
      </c>
      <c r="AC29" s="95" t="inlineStr">
        <is>
          <t>사업장일반 51 | 사업장일반폐기물</t>
        </is>
      </c>
      <c r="AD29" s="61" t="inlineStr">
        <is>
          <t>51-19 | 51-19</t>
        </is>
      </c>
      <c r="AF29" s="61" t="inlineStr">
        <is>
          <t>91-02 | 폐지류</t>
        </is>
      </c>
      <c r="AG29" s="61" t="inlineStr">
        <is>
          <t>91-02-01 | 신문지류</t>
        </is>
      </c>
    </row>
    <row r="30" ht="20.25" customHeight="1" s="60">
      <c r="B30" s="75" t="inlineStr">
        <is>
          <t>대한민국</t>
        </is>
      </c>
      <c r="C30" s="76" t="inlineStr">
        <is>
          <t>지정 1 | 특정시설에서 발생하는 폐기물</t>
        </is>
      </c>
      <c r="D30" s="78" t="inlineStr">
        <is>
          <t>01-01 | 폐합성고분자화합물</t>
        </is>
      </c>
      <c r="E30" s="78" t="inlineStr">
        <is>
          <t>01-01-02 | 폐폴리프로필렌</t>
        </is>
      </c>
      <c r="F30" s="75" t="inlineStr">
        <is>
          <t>보일러 부품</t>
        </is>
      </c>
      <c r="G30" s="79" t="n">
        <v>450</v>
      </c>
      <c r="H30" s="79" t="n">
        <v>1.1</v>
      </c>
      <c r="I30" s="79" t="inlineStr">
        <is>
          <t>kg</t>
        </is>
      </c>
      <c r="J30" s="78" t="n">
        <v>60</v>
      </c>
      <c r="K30" s="78" t="n">
        <v>15</v>
      </c>
      <c r="L30" s="78" t="n">
        <v>20</v>
      </c>
      <c r="M30" s="78" t="n">
        <v>5</v>
      </c>
      <c r="N30" s="75" t="inlineStr">
        <is>
          <t>보일러 부품 폐기</t>
        </is>
      </c>
      <c r="O30" s="77" t="n">
        <v>0.0005256838136499999</v>
      </c>
      <c r="P30" s="77" t="n">
        <v>0.26021348775675</v>
      </c>
      <c r="AC30" s="95" t="inlineStr">
        <is>
          <t>사업장일반 51 | 사업장일반폐기물</t>
        </is>
      </c>
      <c r="AD30" s="61" t="inlineStr">
        <is>
          <t>51-99 | 51-99</t>
        </is>
      </c>
      <c r="AF30" s="61" t="inlineStr">
        <is>
          <t>91-02 | 폐지류</t>
        </is>
      </c>
      <c r="AG30" s="61" t="inlineStr">
        <is>
          <t>91-02-02 | 골판지류</t>
        </is>
      </c>
    </row>
    <row r="31" ht="20.25" customHeight="1" s="60">
      <c r="B31" s="75" t="inlineStr">
        <is>
          <t>대한민국</t>
        </is>
      </c>
      <c r="C31" s="76" t="inlineStr">
        <is>
          <t>지정 1 | 특정시설에서 발생하는 폐기물</t>
        </is>
      </c>
      <c r="D31" s="78" t="inlineStr">
        <is>
          <t>01-01 | 폐합성고분자화합물</t>
        </is>
      </c>
      <c r="E31" s="78" t="inlineStr">
        <is>
          <t>01-01-02 | 폐폴리프로필렌</t>
        </is>
      </c>
      <c r="F31" s="75" t="inlineStr">
        <is>
          <t>부품케이스(재고분)</t>
        </is>
      </c>
      <c r="G31" s="79" t="n">
        <v>2850</v>
      </c>
      <c r="H31" s="79" t="n">
        <v>0.24</v>
      </c>
      <c r="I31" s="79" t="inlineStr">
        <is>
          <t>kg</t>
        </is>
      </c>
      <c r="J31" s="78" t="n">
        <v>58</v>
      </c>
      <c r="K31" s="78" t="n">
        <v>19</v>
      </c>
      <c r="L31" s="78" t="n">
        <v>18</v>
      </c>
      <c r="M31" s="78" t="n">
        <v>5</v>
      </c>
      <c r="N31" s="75" t="inlineStr">
        <is>
          <t>폐기율은 작년실적 참고치, 정확X</t>
        </is>
      </c>
      <c r="O31" s="77" t="n">
        <v>0.0006615499044300001</v>
      </c>
      <c r="P31" s="77" t="n">
        <v>0.4525001346301201</v>
      </c>
      <c r="AC31" s="95" t="inlineStr">
        <is>
          <t>생활 91 | 생활폐기물</t>
        </is>
      </c>
      <c r="AD31" s="95" t="inlineStr">
        <is>
          <t>선택안함</t>
        </is>
      </c>
      <c r="AF31" s="61" t="inlineStr">
        <is>
          <t>91-02 | 폐지류</t>
        </is>
      </c>
      <c r="AG31" s="61" t="inlineStr">
        <is>
          <t>91-02-99 | 그 밖의 폐지류</t>
        </is>
      </c>
    </row>
    <row r="32" ht="20.25" customHeight="1" s="60">
      <c r="B32" s="75" t="inlineStr">
        <is>
          <t>대한민국</t>
        </is>
      </c>
      <c r="C32" s="76" t="inlineStr">
        <is>
          <t>사업장일반 51 | 사업장일반폐기물</t>
        </is>
      </c>
      <c r="D32" s="78" t="inlineStr">
        <is>
          <t>51-18 | 폐전기전자제품류</t>
        </is>
      </c>
      <c r="E32" s="76" t="inlineStr">
        <is>
          <t>선택안함</t>
        </is>
      </c>
      <c r="F32" s="75" t="inlineStr">
        <is>
          <t>공기청정기 CX-500</t>
        </is>
      </c>
      <c r="G32" s="79" t="n">
        <v>2980</v>
      </c>
      <c r="H32" s="79" t="n">
        <v>4.1</v>
      </c>
      <c r="I32" s="79" t="inlineStr">
        <is>
          <t>kg</t>
        </is>
      </c>
      <c r="J32" s="78" t="n">
        <v>42</v>
      </c>
      <c r="K32" s="78" t="n">
        <v>28</v>
      </c>
      <c r="L32" s="78" t="n">
        <v>22</v>
      </c>
      <c r="M32" s="78" t="n">
        <v>8</v>
      </c>
      <c r="N32" s="79" t="n"/>
      <c r="O32" s="77" t="n">
        <v>0.00033975534718</v>
      </c>
      <c r="P32" s="77" t="n">
        <v>4.151130831845239</v>
      </c>
      <c r="AC32" s="95" t="inlineStr">
        <is>
          <t>생활 91 | 생활폐기물</t>
        </is>
      </c>
      <c r="AD32" s="61" t="inlineStr">
        <is>
          <t>91-01 | 음식물류 폐기물</t>
        </is>
      </c>
      <c r="AF32" s="61" t="inlineStr">
        <is>
          <t>91-03 | 폐금속캔류</t>
        </is>
      </c>
      <c r="AG32" s="95" t="inlineStr">
        <is>
          <t>선택안함</t>
        </is>
      </c>
    </row>
    <row r="33" ht="20.25" customHeight="1" s="60">
      <c r="B33" s="75" t="inlineStr">
        <is>
          <t>미국</t>
        </is>
      </c>
      <c r="C33" s="76" t="inlineStr">
        <is>
          <t>사업장일반 51 | 사업장일반폐기물</t>
        </is>
      </c>
      <c r="D33" s="78" t="inlineStr">
        <is>
          <t>51-09 | 폐고무류</t>
        </is>
      </c>
      <c r="E33" s="76" t="inlineStr">
        <is>
          <t>선택안함</t>
        </is>
      </c>
      <c r="F33" s="75" t="inlineStr">
        <is>
          <t>컴프레서부품(수출반품분)</t>
        </is>
      </c>
      <c r="G33" s="79" t="n">
        <v>78</v>
      </c>
      <c r="H33" s="79" t="n">
        <v>8.199999999999999</v>
      </c>
      <c r="I33" s="79" t="inlineStr">
        <is>
          <t>kg</t>
        </is>
      </c>
      <c r="J33" s="78" t="n">
        <v>22</v>
      </c>
      <c r="K33" s="78" t="n">
        <v>38</v>
      </c>
      <c r="L33" s="78" t="n">
        <v>32</v>
      </c>
      <c r="M33" s="78" t="n">
        <v>8</v>
      </c>
      <c r="N33" s="75" t="inlineStr">
        <is>
          <t>반품제품이라 처리방식 국내와 다를수있음</t>
        </is>
      </c>
      <c r="O33" s="77" t="n">
        <v>0.00126206748686</v>
      </c>
      <c r="P33" s="77" t="n">
        <v>0.8072183645956559</v>
      </c>
      <c r="AC33" s="95" t="inlineStr">
        <is>
          <t>생활 91 | 생활폐기물</t>
        </is>
      </c>
      <c r="AD33" s="61" t="inlineStr">
        <is>
          <t>91-02 | 폐지류</t>
        </is>
      </c>
      <c r="AF33" s="61" t="inlineStr">
        <is>
          <t>91-03 | 폐금속캔류</t>
        </is>
      </c>
      <c r="AG33" s="61" t="inlineStr">
        <is>
          <t>91-03-01 | 폐철캔</t>
        </is>
      </c>
    </row>
    <row r="34" ht="20.25" customHeight="1" s="60">
      <c r="B34" s="75" t="inlineStr">
        <is>
          <t>일본</t>
        </is>
      </c>
      <c r="C34" s="76" t="inlineStr">
        <is>
          <t>사업장일반 51 | 사업장일반폐기물</t>
        </is>
      </c>
      <c r="D34" s="78" t="inlineStr">
        <is>
          <t>51-18 | 폐전기전자제품류</t>
        </is>
      </c>
      <c r="E34" s="76" t="inlineStr">
        <is>
          <t>선택안함</t>
        </is>
      </c>
      <c r="F34" s="75" t="inlineStr">
        <is>
          <t>전기포트</t>
        </is>
      </c>
      <c r="G34" s="79" t="n">
        <v>7850</v>
      </c>
      <c r="H34" s="79" t="n">
        <v>0.58</v>
      </c>
      <c r="I34" s="79" t="inlineStr">
        <is>
          <t>kg</t>
        </is>
      </c>
      <c r="J34" s="78" t="n">
        <v>44</v>
      </c>
      <c r="K34" s="78" t="n">
        <v>26</v>
      </c>
      <c r="L34" s="78" t="n">
        <v>20</v>
      </c>
      <c r="M34" s="78" t="n">
        <v>10</v>
      </c>
      <c r="N34" s="75" t="inlineStr">
        <is>
          <t>일본 현지 처리기준 적용여부 미확인</t>
        </is>
      </c>
      <c r="O34" s="77" t="n">
        <v>0.00031634970094</v>
      </c>
      <c r="P34" s="77" t="n">
        <v>1.44034018837982</v>
      </c>
      <c r="AC34" s="95" t="inlineStr">
        <is>
          <t>생활 91 | 생활폐기물</t>
        </is>
      </c>
      <c r="AD34" s="61" t="inlineStr">
        <is>
          <t>91-03 | 폐금속캔류</t>
        </is>
      </c>
      <c r="AF34" s="61" t="inlineStr">
        <is>
          <t>91-03 | 폐금속캔류</t>
        </is>
      </c>
      <c r="AG34" s="61" t="inlineStr">
        <is>
          <t>91-03-02 | 폐알루미늄캔</t>
        </is>
      </c>
    </row>
    <row r="35" ht="20.25" customHeight="1" s="60">
      <c r="B35" s="79" t="n"/>
      <c r="C35" s="76" t="n"/>
      <c r="D35" s="78" t="n"/>
      <c r="E35" s="78" t="n"/>
      <c r="F35" s="79" t="n"/>
      <c r="G35" s="79" t="n"/>
      <c r="H35" s="79" t="n"/>
      <c r="I35" s="79" t="n"/>
      <c r="J35" s="78" t="n"/>
      <c r="K35" s="78" t="n"/>
      <c r="L35" s="78" t="n"/>
      <c r="M35" s="78" t="n"/>
      <c r="N35" s="79" t="n"/>
      <c r="O35" s="77" t="n"/>
      <c r="P35" s="77" t="n"/>
      <c r="AC35" s="95" t="inlineStr">
        <is>
          <t>생활 91 | 생활폐기물</t>
        </is>
      </c>
      <c r="AD35" s="61" t="inlineStr">
        <is>
          <t>91-04 | 폐유리병류</t>
        </is>
      </c>
      <c r="AF35" s="61" t="inlineStr">
        <is>
          <t>91-04 | 폐유리병류</t>
        </is>
      </c>
      <c r="AG35" s="95" t="inlineStr">
        <is>
          <t>선택안함</t>
        </is>
      </c>
    </row>
    <row r="36" ht="20.25" customHeight="1" s="60">
      <c r="B36" s="79" t="n"/>
      <c r="C36" s="76" t="n"/>
      <c r="D36" s="78" t="n"/>
      <c r="E36" s="78" t="n"/>
      <c r="F36" s="79" t="n"/>
      <c r="G36" s="79" t="n"/>
      <c r="H36" s="79" t="n"/>
      <c r="I36" s="79" t="n"/>
      <c r="J36" s="78" t="n"/>
      <c r="K36" s="78" t="n"/>
      <c r="L36" s="78" t="n"/>
      <c r="M36" s="78" t="n"/>
      <c r="N36" s="79" t="n"/>
      <c r="O36" s="77" t="n"/>
      <c r="P36" s="77" t="n"/>
      <c r="AC36" s="95" t="inlineStr">
        <is>
          <t>생활 91 | 생활폐기물</t>
        </is>
      </c>
      <c r="AD36" s="61" t="inlineStr">
        <is>
          <t>91-05 | 폐합성수지류</t>
        </is>
      </c>
      <c r="AF36" s="61" t="inlineStr">
        <is>
          <t>91-04 | 폐유리병류</t>
        </is>
      </c>
      <c r="AG36" s="61" t="inlineStr">
        <is>
          <t>91-04-01 | 폐유리병</t>
        </is>
      </c>
    </row>
    <row r="37" ht="20.25" customHeight="1" s="60">
      <c r="B37" s="79" t="n"/>
      <c r="C37" s="76" t="n"/>
      <c r="D37" s="78" t="n"/>
      <c r="E37" s="78" t="n"/>
      <c r="F37" s="79" t="n"/>
      <c r="G37" s="79" t="n"/>
      <c r="H37" s="79" t="n"/>
      <c r="I37" s="79" t="n"/>
      <c r="J37" s="78" t="n"/>
      <c r="K37" s="78" t="n"/>
      <c r="L37" s="78" t="n"/>
      <c r="M37" s="78" t="n"/>
      <c r="N37" s="79" t="n"/>
      <c r="O37" s="77" t="n"/>
      <c r="P37" s="77" t="n"/>
      <c r="AC37" s="95" t="inlineStr">
        <is>
          <t>생활 91 | 생활폐기물</t>
        </is>
      </c>
      <c r="AD37" s="61" t="inlineStr">
        <is>
          <t>91-06 | 폐의류</t>
        </is>
      </c>
      <c r="AF37" s="61" t="inlineStr">
        <is>
          <t>51-02 | 무기성오니류</t>
        </is>
      </c>
      <c r="AG37" s="95" t="inlineStr">
        <is>
          <t>선택안함</t>
        </is>
      </c>
    </row>
    <row r="38" ht="20.25" customHeight="1" s="60">
      <c r="B38" s="79" t="n"/>
      <c r="C38" s="76" t="n"/>
      <c r="D38" s="78" t="n"/>
      <c r="E38" s="78" t="n"/>
      <c r="F38" s="79" t="n"/>
      <c r="G38" s="79" t="n"/>
      <c r="H38" s="79" t="n"/>
      <c r="I38" s="79" t="n"/>
      <c r="J38" s="78" t="n"/>
      <c r="K38" s="78" t="n"/>
      <c r="L38" s="78" t="n"/>
      <c r="M38" s="78" t="n"/>
      <c r="N38" s="79" t="n"/>
      <c r="O38" s="77" t="n"/>
      <c r="P38" s="77" t="n"/>
      <c r="AC38" s="95" t="inlineStr">
        <is>
          <t>생활 91 | 생활폐기물</t>
        </is>
      </c>
      <c r="AD38" s="61" t="inlineStr">
        <is>
          <t>91-07 | 폐가전제품</t>
        </is>
      </c>
      <c r="AF38" s="61" t="inlineStr">
        <is>
          <t>51-02 | 무기성오니류</t>
        </is>
      </c>
      <c r="AG38" s="61" t="inlineStr">
        <is>
          <t>51-02-01 | 폐수처리오니</t>
        </is>
      </c>
    </row>
    <row r="39" ht="20.25" customHeight="1" s="60">
      <c r="B39" s="79" t="n"/>
      <c r="C39" s="76" t="n"/>
      <c r="D39" s="78" t="n"/>
      <c r="E39" s="78" t="n"/>
      <c r="F39" s="79" t="n"/>
      <c r="G39" s="79" t="n"/>
      <c r="H39" s="79" t="n"/>
      <c r="I39" s="79" t="n"/>
      <c r="J39" s="78" t="n"/>
      <c r="K39" s="78" t="n"/>
      <c r="L39" s="78" t="n"/>
      <c r="M39" s="78" t="n"/>
      <c r="N39" s="79" t="n"/>
      <c r="O39" s="77" t="n"/>
      <c r="P39" s="77" t="n"/>
      <c r="AC39" s="95" t="inlineStr">
        <is>
          <t>생활 91 | 생활폐기물</t>
        </is>
      </c>
      <c r="AD39" s="61" t="inlineStr">
        <is>
          <t>91-08 | 폐가구류</t>
        </is>
      </c>
      <c r="AF39" s="61" t="inlineStr">
        <is>
          <t>51-02 | 무기성오니류</t>
        </is>
      </c>
      <c r="AG39" s="61" t="inlineStr">
        <is>
          <t>51-02-02 | 정수처리오니</t>
        </is>
      </c>
    </row>
    <row r="40" ht="20.25" customHeight="1" s="60">
      <c r="B40" s="79" t="n"/>
      <c r="C40" s="76" t="n"/>
      <c r="D40" s="78" t="n"/>
      <c r="E40" s="78" t="n"/>
      <c r="F40" s="79" t="n"/>
      <c r="G40" s="79" t="n"/>
      <c r="H40" s="79" t="n"/>
      <c r="I40" s="79" t="n"/>
      <c r="J40" s="78" t="n"/>
      <c r="K40" s="78" t="n"/>
      <c r="L40" s="78" t="n"/>
      <c r="M40" s="78" t="n"/>
      <c r="N40" s="79" t="n"/>
      <c r="O40" s="77" t="n"/>
      <c r="P40" s="77" t="n"/>
      <c r="AC40" s="95" t="inlineStr">
        <is>
          <t>생활 91 | 생활폐기물</t>
        </is>
      </c>
      <c r="AD40" s="61" t="inlineStr">
        <is>
          <t>91-09 | 폐목재류</t>
        </is>
      </c>
      <c r="AF40" s="61" t="inlineStr">
        <is>
          <t>51-02 | 무기성오니류</t>
        </is>
      </c>
      <c r="AG40" s="61" t="inlineStr">
        <is>
          <t>51-02-03 | 하수처리오니</t>
        </is>
      </c>
    </row>
    <row r="41" ht="20.25" customHeight="1" s="60">
      <c r="B41" s="79" t="n"/>
      <c r="C41" s="76" t="n"/>
      <c r="D41" s="78" t="n"/>
      <c r="E41" s="78" t="n"/>
      <c r="F41" s="79" t="n"/>
      <c r="G41" s="79" t="n"/>
      <c r="H41" s="79" t="n"/>
      <c r="I41" s="79" t="n"/>
      <c r="J41" s="78" t="n"/>
      <c r="K41" s="78" t="n"/>
      <c r="L41" s="78" t="n"/>
      <c r="M41" s="78" t="n"/>
      <c r="N41" s="79" t="n"/>
      <c r="O41" s="77" t="n"/>
      <c r="P41" s="77" t="n"/>
      <c r="AC41" s="95" t="inlineStr">
        <is>
          <t>생활 91 | 생활폐기물</t>
        </is>
      </c>
      <c r="AD41" s="61" t="inlineStr">
        <is>
          <t>91-10 | 폐건전지류</t>
        </is>
      </c>
      <c r="AF41" s="61" t="inlineStr">
        <is>
          <t>51-02 | 무기성오니류</t>
        </is>
      </c>
      <c r="AG41" s="61" t="inlineStr">
        <is>
          <t>51-02-04 | 하수준설토</t>
        </is>
      </c>
    </row>
    <row r="42" ht="20.25" customHeight="1" s="60">
      <c r="B42" s="79" t="n"/>
      <c r="C42" s="76" t="n"/>
      <c r="D42" s="78" t="n"/>
      <c r="E42" s="78" t="n"/>
      <c r="F42" s="79" t="n"/>
      <c r="G42" s="79" t="n"/>
      <c r="H42" s="79" t="n"/>
      <c r="I42" s="79" t="n"/>
      <c r="J42" s="78" t="n"/>
      <c r="K42" s="78" t="n"/>
      <c r="L42" s="78" t="n"/>
      <c r="M42" s="78" t="n"/>
      <c r="N42" s="79" t="n"/>
      <c r="O42" s="77" t="n"/>
      <c r="P42" s="77" t="n"/>
      <c r="AC42" s="95" t="inlineStr">
        <is>
          <t>생활 91 | 생활폐기물</t>
        </is>
      </c>
      <c r="AD42" s="61" t="inlineStr">
        <is>
          <t>91-11 | 폐형광등류</t>
        </is>
      </c>
      <c r="AF42" s="61" t="inlineStr">
        <is>
          <t>51-02 | 무기성오니류</t>
        </is>
      </c>
      <c r="AG42" s="61" t="inlineStr">
        <is>
          <t>51-02-05 | 건설오니</t>
        </is>
      </c>
    </row>
    <row r="43" ht="20.25" customHeight="1" s="60">
      <c r="B43" s="79" t="n"/>
      <c r="C43" s="76" t="n"/>
      <c r="D43" s="78" t="n"/>
      <c r="E43" s="78" t="n"/>
      <c r="F43" s="79" t="n"/>
      <c r="G43" s="79" t="n"/>
      <c r="H43" s="79" t="n"/>
      <c r="I43" s="79" t="n"/>
      <c r="J43" s="78" t="n"/>
      <c r="K43" s="78" t="n"/>
      <c r="L43" s="78" t="n"/>
      <c r="M43" s="78" t="n"/>
      <c r="N43" s="79" t="n"/>
      <c r="O43" s="77" t="n"/>
      <c r="P43" s="77" t="n"/>
      <c r="AC43" s="95" t="inlineStr">
        <is>
          <t>생활 91 | 생활폐기물</t>
        </is>
      </c>
      <c r="AD43" s="61" t="inlineStr">
        <is>
          <t>91-12 | 폐식용유류</t>
        </is>
      </c>
      <c r="AF43" s="61" t="inlineStr">
        <is>
          <t>51-02 | 무기성오니류</t>
        </is>
      </c>
      <c r="AG43" s="61" t="inlineStr">
        <is>
          <t>51-02-06 | 석재·골재폐수처리오니</t>
        </is>
      </c>
    </row>
    <row r="44" ht="20.25" customHeight="1" s="60">
      <c r="B44" s="79" t="n"/>
      <c r="C44" s="76" t="n"/>
      <c r="D44" s="78" t="n"/>
      <c r="E44" s="78" t="n"/>
      <c r="F44" s="79" t="n"/>
      <c r="G44" s="79" t="n"/>
      <c r="H44" s="79" t="n"/>
      <c r="I44" s="79" t="n"/>
      <c r="J44" s="78" t="n"/>
      <c r="K44" s="78" t="n"/>
      <c r="L44" s="78" t="n"/>
      <c r="M44" s="78" t="n"/>
      <c r="N44" s="79" t="n"/>
      <c r="O44" s="77" t="n"/>
      <c r="P44" s="77" t="n"/>
      <c r="AC44" s="95" t="inlineStr">
        <is>
          <t>생활 91 | 생활폐기물</t>
        </is>
      </c>
      <c r="AD44" s="61" t="inlineStr">
        <is>
          <t>91-13 | 조명폐기물</t>
        </is>
      </c>
      <c r="AF44" s="61" t="inlineStr">
        <is>
          <t>51-02 | 무기성오니류</t>
        </is>
      </c>
      <c r="AG44" s="61" t="inlineStr">
        <is>
          <t>51-02-07 | 유리식각공정오니</t>
        </is>
      </c>
    </row>
    <row r="45" ht="20.25" customHeight="1" s="60">
      <c r="B45" s="79" t="n"/>
      <c r="C45" s="76" t="n"/>
      <c r="D45" s="78" t="n"/>
      <c r="E45" s="78" t="n"/>
      <c r="F45" s="79" t="n"/>
      <c r="G45" s="79" t="n"/>
      <c r="H45" s="79" t="n"/>
      <c r="I45" s="79" t="n"/>
      <c r="J45" s="78" t="n"/>
      <c r="K45" s="78" t="n"/>
      <c r="L45" s="78" t="n"/>
      <c r="M45" s="78" t="n"/>
      <c r="N45" s="79" t="n"/>
      <c r="O45" s="77" t="n"/>
      <c r="P45" s="77" t="n"/>
      <c r="AC45" s="95" t="inlineStr">
        <is>
          <t>생활 91 | 생활폐기물</t>
        </is>
      </c>
      <c r="AD45" s="61" t="inlineStr">
        <is>
          <t>91-14 | 폐전지류</t>
        </is>
      </c>
      <c r="AF45" s="61" t="inlineStr">
        <is>
          <t>51-02 | 무기성오니류</t>
        </is>
      </c>
      <c r="AG45" s="61" t="inlineStr">
        <is>
          <t>51-02-08 | 실리콘공정오니</t>
        </is>
      </c>
    </row>
    <row r="46" ht="20.25" customHeight="1" s="60">
      <c r="B46" s="79" t="n"/>
      <c r="C46" s="76" t="n"/>
      <c r="D46" s="78" t="n"/>
      <c r="E46" s="78" t="n"/>
      <c r="F46" s="79" t="n"/>
      <c r="G46" s="79" t="n"/>
      <c r="H46" s="79" t="n"/>
      <c r="I46" s="79" t="n"/>
      <c r="J46" s="78" t="n"/>
      <c r="K46" s="78" t="n"/>
      <c r="L46" s="78" t="n"/>
      <c r="M46" s="78" t="n"/>
      <c r="N46" s="79" t="n"/>
      <c r="O46" s="77" t="n"/>
      <c r="P46" s="77" t="n"/>
      <c r="AC46" s="95" t="inlineStr">
        <is>
          <t>생활 91 | 생활폐기물</t>
        </is>
      </c>
      <c r="AD46" s="61" t="inlineStr">
        <is>
          <t>91-17 | 식물성 잔재물</t>
        </is>
      </c>
      <c r="AF46" s="61" t="inlineStr">
        <is>
          <t>51-02 | 무기성오니류</t>
        </is>
      </c>
      <c r="AG46" s="61" t="inlineStr">
        <is>
          <t>51-02-09 | 보크사이트잔재물</t>
        </is>
      </c>
    </row>
    <row r="47" ht="20.25" customHeight="1" s="60">
      <c r="B47" s="79" t="n"/>
      <c r="C47" s="76" t="n"/>
      <c r="D47" s="78" t="n"/>
      <c r="E47" s="78" t="n"/>
      <c r="F47" s="79" t="n"/>
      <c r="G47" s="79" t="n"/>
      <c r="H47" s="79" t="n"/>
      <c r="I47" s="79" t="n"/>
      <c r="J47" s="78" t="n"/>
      <c r="K47" s="78" t="n"/>
      <c r="L47" s="78" t="n"/>
      <c r="M47" s="78" t="n"/>
      <c r="N47" s="79" t="n"/>
      <c r="O47" s="77" t="n"/>
      <c r="P47" s="77" t="n"/>
      <c r="AC47" s="95" t="inlineStr">
        <is>
          <t>생활 91 | 생활폐기물</t>
        </is>
      </c>
      <c r="AD47" s="61" t="inlineStr">
        <is>
          <t>91-18 | 영농폐기물</t>
        </is>
      </c>
      <c r="AF47" s="61" t="inlineStr">
        <is>
          <t>51-02 | 무기성오니류</t>
        </is>
      </c>
      <c r="AG47" s="61" t="inlineStr">
        <is>
          <t>51-02-10 | 영농폐기물(농업활동 과정에서 배출된 농업용 페플라스틱 필름·시트류에 한정한다) 폐수처리오니</t>
        </is>
      </c>
    </row>
    <row r="48" ht="20.25" customHeight="1" s="60">
      <c r="B48" s="79" t="n"/>
      <c r="C48" s="76" t="n"/>
      <c r="D48" s="78" t="n"/>
      <c r="E48" s="78" t="n"/>
      <c r="F48" s="79" t="n"/>
      <c r="G48" s="79" t="n"/>
      <c r="H48" s="79" t="n"/>
      <c r="I48" s="79" t="n"/>
      <c r="J48" s="78" t="n"/>
      <c r="K48" s="78" t="n"/>
      <c r="L48" s="78" t="n"/>
      <c r="M48" s="78" t="n"/>
      <c r="N48" s="79" t="n"/>
      <c r="O48" s="77" t="n"/>
      <c r="P48" s="77" t="n"/>
      <c r="AC48" s="95" t="inlineStr">
        <is>
          <t>생활 91 | 생활폐기물</t>
        </is>
      </c>
      <c r="AD48" s="61" t="inlineStr">
        <is>
          <t>91-21 | 1회용 컵</t>
        </is>
      </c>
      <c r="AF48" s="61" t="inlineStr">
        <is>
          <t>51-02 | 무기성오니류</t>
        </is>
      </c>
      <c r="AG48" s="61" t="inlineStr">
        <is>
          <t>51-02-11 | 영농폐기물(농업활동 과정에서 배출된 농업용 페플라스틱 필름·시트류에 한정한다)</t>
        </is>
      </c>
    </row>
    <row r="49" ht="20.25" customHeight="1" s="60">
      <c r="B49" s="79" t="n"/>
      <c r="C49" s="76" t="n"/>
      <c r="D49" s="78" t="n"/>
      <c r="E49" s="78" t="n"/>
      <c r="F49" s="79" t="n"/>
      <c r="G49" s="79" t="n"/>
      <c r="H49" s="79" t="n"/>
      <c r="I49" s="79" t="n"/>
      <c r="J49" s="78" t="n"/>
      <c r="K49" s="78" t="n"/>
      <c r="L49" s="78" t="n"/>
      <c r="M49" s="78" t="n"/>
      <c r="N49" s="79" t="n"/>
      <c r="O49" s="77" t="n"/>
      <c r="P49" s="77" t="n"/>
      <c r="AC49" s="95" t="inlineStr">
        <is>
          <t>생활 91 | 생활폐기물</t>
        </is>
      </c>
      <c r="AD49" s="61" t="inlineStr">
        <is>
          <t>91-15 | 91-15</t>
        </is>
      </c>
      <c r="AF49" s="61" t="inlineStr">
        <is>
          <t>01-02 | 오니류</t>
        </is>
      </c>
      <c r="AG49" s="95" t="inlineStr">
        <is>
          <t>선택안함</t>
        </is>
      </c>
    </row>
    <row r="50" ht="20.25" customHeight="1" s="60">
      <c r="B50" s="79" t="n"/>
      <c r="C50" s="76" t="n"/>
      <c r="D50" s="78" t="n"/>
      <c r="E50" s="78" t="n"/>
      <c r="F50" s="79" t="n"/>
      <c r="G50" s="79" t="n"/>
      <c r="H50" s="79" t="n"/>
      <c r="I50" s="79" t="n"/>
      <c r="J50" s="78" t="n"/>
      <c r="K50" s="78" t="n"/>
      <c r="L50" s="78" t="n"/>
      <c r="M50" s="78" t="n"/>
      <c r="N50" s="79" t="n"/>
      <c r="O50" s="77" t="n"/>
      <c r="P50" s="77" t="n"/>
      <c r="AC50" s="95" t="inlineStr">
        <is>
          <t>생활 91 | 생활폐기물</t>
        </is>
      </c>
      <c r="AD50" s="61" t="inlineStr">
        <is>
          <t>91-16 | 91-16</t>
        </is>
      </c>
      <c r="AF50" s="61" t="inlineStr">
        <is>
          <t>01-02 | 오니류</t>
        </is>
      </c>
      <c r="AG50" s="61" t="inlineStr">
        <is>
          <t>01-02-01 | 폐수처리오니</t>
        </is>
      </c>
    </row>
    <row r="51" ht="20.25" customHeight="1" s="60">
      <c r="B51" s="79" t="n"/>
      <c r="C51" s="76" t="n"/>
      <c r="D51" s="78" t="n"/>
      <c r="E51" s="78" t="n"/>
      <c r="F51" s="79" t="n"/>
      <c r="G51" s="79" t="n"/>
      <c r="H51" s="79" t="n"/>
      <c r="I51" s="79" t="n"/>
      <c r="J51" s="78" t="n"/>
      <c r="K51" s="78" t="n"/>
      <c r="L51" s="78" t="n"/>
      <c r="M51" s="78" t="n"/>
      <c r="N51" s="79" t="n"/>
      <c r="O51" s="77" t="n"/>
      <c r="P51" s="77" t="n"/>
      <c r="AC51" s="95" t="inlineStr">
        <is>
          <t>생활 91 | 생활폐기물</t>
        </is>
      </c>
      <c r="AD51" s="61" t="inlineStr">
        <is>
          <t>91-19 | 91-19</t>
        </is>
      </c>
      <c r="AF51" s="61" t="inlineStr">
        <is>
          <t>01-02 | 오니류</t>
        </is>
      </c>
      <c r="AG51" s="61" t="inlineStr">
        <is>
          <t>01-02-02 | 유리식각공정오니</t>
        </is>
      </c>
    </row>
    <row r="52" ht="20.25" customHeight="1" s="60">
      <c r="B52" s="79" t="n"/>
      <c r="C52" s="76" t="n"/>
      <c r="D52" s="78" t="n"/>
      <c r="E52" s="78" t="n"/>
      <c r="F52" s="79" t="n"/>
      <c r="G52" s="79" t="n"/>
      <c r="H52" s="79" t="n"/>
      <c r="I52" s="79" t="n"/>
      <c r="J52" s="78" t="n"/>
      <c r="K52" s="78" t="n"/>
      <c r="L52" s="78" t="n"/>
      <c r="M52" s="78" t="n"/>
      <c r="N52" s="79" t="n"/>
      <c r="O52" s="77" t="n"/>
      <c r="P52" s="77" t="n"/>
      <c r="AC52" s="95" t="inlineStr">
        <is>
          <t>생활 91 | 생활폐기물</t>
        </is>
      </c>
      <c r="AD52" s="61" t="inlineStr">
        <is>
          <t>91-20 | 91-20</t>
        </is>
      </c>
      <c r="AF52" s="61" t="inlineStr">
        <is>
          <t>01-02 | 오니류</t>
        </is>
      </c>
      <c r="AG52" s="61" t="inlineStr">
        <is>
          <t>01-02-03 | 제지공정오니</t>
        </is>
      </c>
    </row>
    <row r="53" ht="20.25" customHeight="1" s="60">
      <c r="B53" s="79" t="n"/>
      <c r="C53" s="76" t="n"/>
      <c r="D53" s="78" t="n"/>
      <c r="E53" s="78" t="n"/>
      <c r="F53" s="79" t="n"/>
      <c r="G53" s="79" t="n"/>
      <c r="H53" s="79" t="n"/>
      <c r="I53" s="79" t="n"/>
      <c r="J53" s="78" t="n"/>
      <c r="K53" s="78" t="n"/>
      <c r="L53" s="78" t="n"/>
      <c r="M53" s="78" t="n"/>
      <c r="N53" s="79" t="n"/>
      <c r="O53" s="77" t="n"/>
      <c r="P53" s="77" t="n"/>
      <c r="AC53" s="95" t="inlineStr">
        <is>
          <t>생활 91 | 생활폐기물</t>
        </is>
      </c>
      <c r="AD53" s="61" t="inlineStr">
        <is>
          <t>91-99 | 91-99</t>
        </is>
      </c>
      <c r="AF53" s="61" t="inlineStr">
        <is>
          <t>01-02 | 오니류</t>
        </is>
      </c>
      <c r="AG53" s="61" t="inlineStr">
        <is>
          <t>01-02-04 | 실리콘제조공정오니</t>
        </is>
      </c>
    </row>
    <row r="54" ht="20.25" customHeight="1" s="60">
      <c r="B54" s="79" t="n"/>
      <c r="C54" s="76" t="n"/>
      <c r="D54" s="78" t="n"/>
      <c r="E54" s="78" t="n"/>
      <c r="F54" s="79" t="n"/>
      <c r="G54" s="79" t="n"/>
      <c r="H54" s="79" t="n"/>
      <c r="I54" s="79" t="n"/>
      <c r="J54" s="78" t="n"/>
      <c r="K54" s="78" t="n"/>
      <c r="L54" s="78" t="n"/>
      <c r="M54" s="78" t="n"/>
      <c r="N54" s="79" t="n"/>
      <c r="O54" s="77" t="n"/>
      <c r="P54" s="77" t="n"/>
      <c r="AC54" s="95" t="inlineStr">
        <is>
          <t>지정 2 | 부식성 폐기물</t>
        </is>
      </c>
      <c r="AD54" s="95" t="inlineStr">
        <is>
          <t>선택안함</t>
        </is>
      </c>
      <c r="AF54" s="61" t="inlineStr">
        <is>
          <t>01-02 | 오니류</t>
        </is>
      </c>
      <c r="AG54" s="61" t="inlineStr">
        <is>
          <t>01-02-05 | 보크사이트잔재물</t>
        </is>
      </c>
    </row>
    <row r="55" ht="20.25" customHeight="1" s="60">
      <c r="B55" s="79" t="n"/>
      <c r="C55" s="76" t="n"/>
      <c r="D55" s="78" t="n"/>
      <c r="E55" s="78" t="n"/>
      <c r="F55" s="79" t="n"/>
      <c r="G55" s="79" t="n"/>
      <c r="H55" s="79" t="n"/>
      <c r="I55" s="79" t="n"/>
      <c r="J55" s="78" t="n"/>
      <c r="K55" s="78" t="n"/>
      <c r="L55" s="78" t="n"/>
      <c r="M55" s="78" t="n"/>
      <c r="N55" s="79" t="n"/>
      <c r="O55" s="77" t="n"/>
      <c r="P55" s="77" t="n"/>
      <c r="AC55" s="95" t="inlineStr">
        <is>
          <t>지정 2 | 부식성 폐기물</t>
        </is>
      </c>
      <c r="AD55" s="61" t="inlineStr">
        <is>
          <t>02-01 | 폐산</t>
        </is>
      </c>
      <c r="AF55" s="61" t="inlineStr">
        <is>
          <t>01-02 | 오니류</t>
        </is>
      </c>
      <c r="AG55" s="61" t="inlineStr">
        <is>
          <t>01-02-99 | 그 밖의 공정오니</t>
        </is>
      </c>
    </row>
    <row r="56" ht="20.25" customHeight="1" s="60">
      <c r="B56" s="79" t="n"/>
      <c r="C56" s="76" t="n"/>
      <c r="D56" s="78" t="n"/>
      <c r="E56" s="78" t="n"/>
      <c r="F56" s="79" t="n"/>
      <c r="G56" s="79" t="n"/>
      <c r="H56" s="79" t="n"/>
      <c r="I56" s="79" t="n"/>
      <c r="J56" s="78" t="n"/>
      <c r="K56" s="78" t="n"/>
      <c r="L56" s="78" t="n"/>
      <c r="M56" s="78" t="n"/>
      <c r="N56" s="79" t="n"/>
      <c r="O56" s="77" t="n"/>
      <c r="P56" s="77" t="n"/>
      <c r="AC56" s="95" t="inlineStr">
        <is>
          <t>지정 2 | 부식성 폐기물</t>
        </is>
      </c>
      <c r="AD56" s="61" t="inlineStr">
        <is>
          <t>02-02 | 폐알칼리</t>
        </is>
      </c>
      <c r="AF56" s="61" t="inlineStr">
        <is>
          <t>91-05 | 폐합성수지류</t>
        </is>
      </c>
      <c r="AG56" s="95" t="inlineStr">
        <is>
          <t>선택안함</t>
        </is>
      </c>
    </row>
    <row r="57" ht="20.25" customHeight="1" s="60">
      <c r="B57" s="79" t="n"/>
      <c r="C57" s="76" t="n"/>
      <c r="D57" s="78" t="n"/>
      <c r="E57" s="78" t="n"/>
      <c r="F57" s="79" t="n"/>
      <c r="G57" s="79" t="n"/>
      <c r="H57" s="79" t="n"/>
      <c r="I57" s="79" t="n"/>
      <c r="J57" s="78" t="n"/>
      <c r="K57" s="78" t="n"/>
      <c r="L57" s="78" t="n"/>
      <c r="M57" s="78" t="n"/>
      <c r="N57" s="79" t="n"/>
      <c r="O57" s="77" t="n"/>
      <c r="P57" s="77" t="n"/>
      <c r="AC57" s="95" t="inlineStr">
        <is>
          <t>지정 3 | 유해물질 함유 폐기물</t>
        </is>
      </c>
      <c r="AD57" s="95" t="inlineStr">
        <is>
          <t>선택안함</t>
        </is>
      </c>
      <c r="AF57" s="61" t="inlineStr">
        <is>
          <t>91-05 | 폐합성수지류</t>
        </is>
      </c>
      <c r="AG57" s="61" t="inlineStr">
        <is>
          <t>91-05-01 | 폐PET병</t>
        </is>
      </c>
    </row>
    <row r="58" ht="20.25" customHeight="1" s="60">
      <c r="B58" s="79" t="n"/>
      <c r="C58" s="76" t="n"/>
      <c r="D58" s="78" t="n"/>
      <c r="E58" s="78" t="n"/>
      <c r="F58" s="79" t="n"/>
      <c r="G58" s="79" t="n"/>
      <c r="H58" s="79" t="n"/>
      <c r="I58" s="79" t="n"/>
      <c r="J58" s="78" t="n"/>
      <c r="K58" s="78" t="n"/>
      <c r="L58" s="78" t="n"/>
      <c r="M58" s="78" t="n"/>
      <c r="N58" s="79" t="n"/>
      <c r="O58" s="77" t="n"/>
      <c r="P58" s="77" t="n"/>
      <c r="AC58" s="95" t="inlineStr">
        <is>
          <t>지정 3 | 유해물질 함유 폐기물</t>
        </is>
      </c>
      <c r="AD58" s="61" t="inlineStr">
        <is>
          <t>03-01 | 광재</t>
        </is>
      </c>
      <c r="AF58" s="61" t="inlineStr">
        <is>
          <t>91-05 | 폐합성수지류</t>
        </is>
      </c>
      <c r="AG58" s="61" t="inlineStr">
        <is>
          <t>91-05-99 | 그 밖의 폐합성수지류</t>
        </is>
      </c>
    </row>
    <row r="59" ht="20.25" customHeight="1" s="60">
      <c r="B59" s="79" t="n"/>
      <c r="C59" s="76" t="n"/>
      <c r="D59" s="78" t="n"/>
      <c r="E59" s="78" t="n"/>
      <c r="F59" s="79" t="n"/>
      <c r="G59" s="79" t="n"/>
      <c r="H59" s="79" t="n"/>
      <c r="I59" s="79" t="n"/>
      <c r="J59" s="78" t="n"/>
      <c r="K59" s="78" t="n"/>
      <c r="L59" s="78" t="n"/>
      <c r="M59" s="78" t="n"/>
      <c r="N59" s="79" t="n"/>
      <c r="O59" s="77" t="n"/>
      <c r="P59" s="77" t="n"/>
      <c r="AC59" s="95" t="inlineStr">
        <is>
          <t>지정 3 | 유해물질 함유 폐기물</t>
        </is>
      </c>
      <c r="AD59" s="61" t="inlineStr">
        <is>
          <t>03-02 | 분진</t>
        </is>
      </c>
      <c r="AF59" s="61" t="inlineStr">
        <is>
          <t>91-06 | 폐의류</t>
        </is>
      </c>
      <c r="AG59" s="95" t="inlineStr">
        <is>
          <t>선택안함</t>
        </is>
      </c>
    </row>
    <row r="60" ht="20.25" customHeight="1" s="60">
      <c r="B60" s="79" t="n"/>
      <c r="C60" s="76" t="n"/>
      <c r="D60" s="78" t="n"/>
      <c r="E60" s="78" t="n"/>
      <c r="F60" s="79" t="n"/>
      <c r="G60" s="79" t="n"/>
      <c r="H60" s="79" t="n"/>
      <c r="I60" s="79" t="n"/>
      <c r="J60" s="78" t="n"/>
      <c r="K60" s="78" t="n"/>
      <c r="L60" s="78" t="n"/>
      <c r="M60" s="78" t="n"/>
      <c r="N60" s="79" t="n"/>
      <c r="O60" s="77" t="n"/>
      <c r="P60" s="77" t="n"/>
      <c r="AC60" s="95" t="inlineStr">
        <is>
          <t>지정 3 | 유해물질 함유 폐기물</t>
        </is>
      </c>
      <c r="AD60" s="61" t="inlineStr">
        <is>
          <t>03-03 | 폐주물사 및 샌드블라스트 폐사</t>
        </is>
      </c>
      <c r="AF60" s="61" t="inlineStr">
        <is>
          <t>91-06 | 폐의류</t>
        </is>
      </c>
      <c r="AG60" s="61" t="inlineStr">
        <is>
          <t>91-06-00 | 폐의류</t>
        </is>
      </c>
    </row>
    <row r="61" ht="20.25" customHeight="1" s="60">
      <c r="B61" s="79" t="n"/>
      <c r="C61" s="76" t="n"/>
      <c r="D61" s="78" t="n"/>
      <c r="E61" s="78" t="n"/>
      <c r="F61" s="79" t="n"/>
      <c r="G61" s="79" t="n"/>
      <c r="H61" s="79" t="n"/>
      <c r="I61" s="79" t="n"/>
      <c r="J61" s="78" t="n"/>
      <c r="K61" s="78" t="n"/>
      <c r="L61" s="78" t="n"/>
      <c r="M61" s="78" t="n"/>
      <c r="N61" s="79" t="n"/>
      <c r="O61" s="77" t="n"/>
      <c r="P61" s="77" t="n"/>
      <c r="AC61" s="95" t="inlineStr">
        <is>
          <t>지정 3 | 유해물질 함유 폐기물</t>
        </is>
      </c>
      <c r="AD61" s="61" t="inlineStr">
        <is>
          <t>03-04 | 폐내화물 및 재벌구이 전 유약 바른 도자기 조각</t>
        </is>
      </c>
      <c r="AF61" s="61" t="inlineStr">
        <is>
          <t>91-07 | 폐가전제품</t>
        </is>
      </c>
      <c r="AG61" s="95" t="inlineStr">
        <is>
          <t>선택안함</t>
        </is>
      </c>
    </row>
    <row r="62" ht="20.25" customHeight="1" s="60">
      <c r="B62" s="79" t="n"/>
      <c r="C62" s="76" t="n"/>
      <c r="D62" s="78" t="n"/>
      <c r="E62" s="78" t="n"/>
      <c r="F62" s="79" t="n"/>
      <c r="G62" s="79" t="n"/>
      <c r="H62" s="79" t="n"/>
      <c r="I62" s="79" t="n"/>
      <c r="J62" s="78" t="n"/>
      <c r="K62" s="78" t="n"/>
      <c r="L62" s="78" t="n"/>
      <c r="M62" s="78" t="n"/>
      <c r="N62" s="79" t="n"/>
      <c r="O62" s="77" t="n"/>
      <c r="P62" s="77" t="n"/>
      <c r="AC62" s="95" t="inlineStr">
        <is>
          <t>지정 3 | 유해물질 함유 폐기물</t>
        </is>
      </c>
      <c r="AD62" s="61" t="inlineStr">
        <is>
          <t>03-05 | 소각재</t>
        </is>
      </c>
      <c r="AF62" s="61" t="inlineStr">
        <is>
          <t>91-07 | 폐가전제품</t>
        </is>
      </c>
      <c r="AG62" s="61" t="inlineStr">
        <is>
          <t>91-07-00 | 폐가전제품</t>
        </is>
      </c>
    </row>
    <row r="63" ht="20.25" customHeight="1" s="60">
      <c r="B63" s="79" t="n"/>
      <c r="C63" s="76" t="n"/>
      <c r="D63" s="78" t="n"/>
      <c r="E63" s="78" t="n"/>
      <c r="F63" s="79" t="n"/>
      <c r="G63" s="79" t="n"/>
      <c r="H63" s="79" t="n"/>
      <c r="I63" s="79" t="n"/>
      <c r="J63" s="78" t="n"/>
      <c r="K63" s="78" t="n"/>
      <c r="L63" s="78" t="n"/>
      <c r="M63" s="78" t="n"/>
      <c r="N63" s="79" t="n"/>
      <c r="O63" s="77" t="n"/>
      <c r="P63" s="77" t="n"/>
      <c r="AC63" s="95" t="inlineStr">
        <is>
          <t>지정 3 | 유해물질 함유 폐기물</t>
        </is>
      </c>
      <c r="AD63" s="61" t="inlineStr">
        <is>
          <t>03-06 | 안정화 또는 고형화·고화 처리물</t>
        </is>
      </c>
      <c r="AF63" s="61" t="inlineStr">
        <is>
          <t>01-03 | 폐농약</t>
        </is>
      </c>
      <c r="AG63" s="95" t="inlineStr">
        <is>
          <t>선택안함</t>
        </is>
      </c>
    </row>
    <row r="64" ht="20.25" customHeight="1" s="60">
      <c r="B64" s="79" t="n"/>
      <c r="C64" s="76" t="n"/>
      <c r="D64" s="78" t="n"/>
      <c r="E64" s="78" t="n"/>
      <c r="F64" s="79" t="n"/>
      <c r="G64" s="79" t="n"/>
      <c r="H64" s="79" t="n"/>
      <c r="I64" s="79" t="n"/>
      <c r="J64" s="78" t="n"/>
      <c r="K64" s="78" t="n"/>
      <c r="L64" s="78" t="n"/>
      <c r="M64" s="78" t="n"/>
      <c r="N64" s="79" t="n"/>
      <c r="O64" s="77" t="n"/>
      <c r="P64" s="77" t="n"/>
      <c r="AC64" s="95" t="inlineStr">
        <is>
          <t>지정 3 | 유해물질 함유 폐기물</t>
        </is>
      </c>
      <c r="AD64" s="61" t="inlineStr">
        <is>
          <t>03-07 | 폐촉매</t>
        </is>
      </c>
      <c r="AF64" s="61" t="inlineStr">
        <is>
          <t>01-03 | 폐농약</t>
        </is>
      </c>
      <c r="AG64" s="61" t="inlineStr">
        <is>
          <t>01-03-01 | 유기인계폐농약</t>
        </is>
      </c>
    </row>
    <row r="65" ht="20.25" customHeight="1" s="60">
      <c r="B65" s="79" t="n"/>
      <c r="C65" s="76" t="n"/>
      <c r="D65" s="78" t="n"/>
      <c r="E65" s="78" t="n"/>
      <c r="F65" s="79" t="n"/>
      <c r="G65" s="79" t="n"/>
      <c r="H65" s="79" t="n"/>
      <c r="I65" s="79" t="n"/>
      <c r="J65" s="78" t="n"/>
      <c r="K65" s="78" t="n"/>
      <c r="L65" s="78" t="n"/>
      <c r="M65" s="78" t="n"/>
      <c r="N65" s="79" t="n"/>
      <c r="O65" s="77" t="n"/>
      <c r="P65" s="77" t="n"/>
      <c r="AC65" s="95" t="inlineStr">
        <is>
          <t>지정 3 | 유해물질 함유 폐기물</t>
        </is>
      </c>
      <c r="AD65" s="61" t="inlineStr">
        <is>
          <t>03-08 | 폐흡착제 및 폐흡수제</t>
        </is>
      </c>
      <c r="AF65" s="61" t="inlineStr">
        <is>
          <t>01-03 | 폐농약</t>
        </is>
      </c>
      <c r="AG65" s="61" t="inlineStr">
        <is>
          <t>01-03-02 | 유기염소계폐농약</t>
        </is>
      </c>
    </row>
    <row r="66" ht="20.25" customHeight="1" s="60">
      <c r="B66" s="79" t="n"/>
      <c r="C66" s="76" t="n"/>
      <c r="D66" s="78" t="n"/>
      <c r="E66" s="78" t="n"/>
      <c r="F66" s="79" t="n"/>
      <c r="G66" s="79" t="n"/>
      <c r="H66" s="79" t="n"/>
      <c r="I66" s="79" t="n"/>
      <c r="J66" s="78" t="n"/>
      <c r="K66" s="78" t="n"/>
      <c r="L66" s="78" t="n"/>
      <c r="M66" s="78" t="n"/>
      <c r="N66" s="79" t="n"/>
      <c r="O66" s="77" t="n"/>
      <c r="P66" s="77" t="n"/>
      <c r="AC66" s="95" t="inlineStr">
        <is>
          <t>지정 4 | 폐유기용제</t>
        </is>
      </c>
      <c r="AD66" s="95" t="inlineStr">
        <is>
          <t>선택안함</t>
        </is>
      </c>
      <c r="AF66" s="61" t="inlineStr">
        <is>
          <t>01-03 | 폐농약</t>
        </is>
      </c>
      <c r="AG66" s="61" t="inlineStr">
        <is>
          <t>01-03-03 | 카바메이트계(Carbamate)폐농약</t>
        </is>
      </c>
    </row>
    <row r="67" ht="20.25" customHeight="1" s="60">
      <c r="B67" s="79" t="n"/>
      <c r="C67" s="76" t="n"/>
      <c r="D67" s="78" t="n"/>
      <c r="E67" s="78" t="n"/>
      <c r="F67" s="79" t="n"/>
      <c r="G67" s="79" t="n"/>
      <c r="H67" s="79" t="n"/>
      <c r="I67" s="79" t="n"/>
      <c r="J67" s="78" t="n"/>
      <c r="K67" s="78" t="n"/>
      <c r="L67" s="78" t="n"/>
      <c r="M67" s="78" t="n"/>
      <c r="N67" s="79" t="n"/>
      <c r="O67" s="77" t="n"/>
      <c r="P67" s="77" t="n"/>
      <c r="AC67" s="95" t="inlineStr">
        <is>
          <t>지정 4 | 폐유기용제</t>
        </is>
      </c>
      <c r="AD67" s="61" t="inlineStr">
        <is>
          <t>04-01 | 할로겐족 폐유기용제</t>
        </is>
      </c>
      <c r="AF67" s="61" t="inlineStr">
        <is>
          <t>01-03 | 폐농약</t>
        </is>
      </c>
      <c r="AG67" s="61" t="inlineStr">
        <is>
          <t>01-03-04 | 유기금속계폐농약</t>
        </is>
      </c>
    </row>
    <row r="68" ht="20.25" customHeight="1" s="60">
      <c r="B68" s="79" t="n"/>
      <c r="C68" s="76" t="n"/>
      <c r="D68" s="78" t="n"/>
      <c r="E68" s="78" t="n"/>
      <c r="F68" s="79" t="n"/>
      <c r="G68" s="79" t="n"/>
      <c r="H68" s="79" t="n"/>
      <c r="I68" s="79" t="n"/>
      <c r="J68" s="78" t="n"/>
      <c r="K68" s="78" t="n"/>
      <c r="L68" s="78" t="n"/>
      <c r="M68" s="78" t="n"/>
      <c r="N68" s="79" t="n"/>
      <c r="O68" s="77" t="n"/>
      <c r="P68" s="77" t="n"/>
      <c r="AC68" s="95" t="inlineStr">
        <is>
          <t>지정 4 | 폐유기용제</t>
        </is>
      </c>
      <c r="AD68" s="61" t="inlineStr">
        <is>
          <t>04-02 | 그 밖의 폐유기용제</t>
        </is>
      </c>
      <c r="AF68" s="61" t="inlineStr">
        <is>
          <t>01-03 | 폐농약</t>
        </is>
      </c>
      <c r="AG68" s="61" t="inlineStr">
        <is>
          <t>01-03-99 | 그 밖의 폐농약</t>
        </is>
      </c>
    </row>
    <row r="69" ht="20.25" customHeight="1" s="60">
      <c r="B69" s="79" t="n"/>
      <c r="C69" s="76" t="n"/>
      <c r="D69" s="78" t="n"/>
      <c r="E69" s="78" t="n"/>
      <c r="F69" s="79" t="n"/>
      <c r="G69" s="79" t="n"/>
      <c r="H69" s="79" t="n"/>
      <c r="I69" s="79" t="n"/>
      <c r="J69" s="78" t="n"/>
      <c r="K69" s="78" t="n"/>
      <c r="L69" s="78" t="n"/>
      <c r="M69" s="78" t="n"/>
      <c r="N69" s="79" t="n"/>
      <c r="O69" s="77" t="n"/>
      <c r="P69" s="77" t="n"/>
      <c r="AC69" s="95" t="inlineStr">
        <is>
          <t>지정 5 | 폐페인트 및 폐래커</t>
        </is>
      </c>
      <c r="AD69" s="95" t="inlineStr">
        <is>
          <t>선택안함</t>
        </is>
      </c>
      <c r="AF69" s="61" t="inlineStr">
        <is>
          <t>91-08 | 폐가구류</t>
        </is>
      </c>
      <c r="AG69" s="95" t="inlineStr">
        <is>
          <t>선택안함</t>
        </is>
      </c>
    </row>
    <row r="70" ht="20.25" customHeight="1" s="60">
      <c r="B70" s="79" t="n"/>
      <c r="C70" s="76" t="n"/>
      <c r="D70" s="78" t="n"/>
      <c r="E70" s="78" t="n"/>
      <c r="F70" s="79" t="n"/>
      <c r="G70" s="79" t="n"/>
      <c r="H70" s="79" t="n"/>
      <c r="I70" s="79" t="n"/>
      <c r="J70" s="78" t="n"/>
      <c r="K70" s="78" t="n"/>
      <c r="L70" s="78" t="n"/>
      <c r="M70" s="78" t="n"/>
      <c r="N70" s="79" t="n"/>
      <c r="O70" s="77" t="n"/>
      <c r="P70" s="77" t="n"/>
      <c r="AC70" s="95" t="inlineStr">
        <is>
          <t>지정 5 | 폐페인트 및 폐래커</t>
        </is>
      </c>
      <c r="AD70" s="61" t="inlineStr">
        <is>
          <t>05-01 | 폐페인트 및 폐래커</t>
        </is>
      </c>
      <c r="AF70" s="61" t="inlineStr">
        <is>
          <t>91-08 | 폐가구류</t>
        </is>
      </c>
      <c r="AG70" s="61" t="inlineStr">
        <is>
          <t>91-08-00 | 폐가구류</t>
        </is>
      </c>
    </row>
    <row r="71" ht="20.25" customHeight="1" s="60">
      <c r="B71" s="79" t="n"/>
      <c r="C71" s="76" t="n"/>
      <c r="D71" s="78" t="n"/>
      <c r="E71" s="78" t="n"/>
      <c r="F71" s="79" t="n"/>
      <c r="G71" s="79" t="n"/>
      <c r="H71" s="79" t="n"/>
      <c r="I71" s="79" t="n"/>
      <c r="J71" s="78" t="n"/>
      <c r="K71" s="78" t="n"/>
      <c r="L71" s="78" t="n"/>
      <c r="M71" s="78" t="n"/>
      <c r="N71" s="79" t="n"/>
      <c r="O71" s="77" t="n"/>
      <c r="P71" s="77" t="n"/>
      <c r="AC71" s="95" t="inlineStr">
        <is>
          <t>지정 6 | 폐유</t>
        </is>
      </c>
      <c r="AD71" s="95" t="inlineStr">
        <is>
          <t>선택안함</t>
        </is>
      </c>
      <c r="AF71" s="61" t="inlineStr">
        <is>
          <t>91-09 | 폐목재류</t>
        </is>
      </c>
      <c r="AG71" s="95" t="inlineStr">
        <is>
          <t>선택안함</t>
        </is>
      </c>
    </row>
    <row r="72" ht="20.25" customHeight="1" s="60">
      <c r="B72" s="79" t="n"/>
      <c r="C72" s="76" t="n"/>
      <c r="D72" s="78" t="n"/>
      <c r="E72" s="78" t="n"/>
      <c r="F72" s="79" t="n"/>
      <c r="G72" s="79" t="n"/>
      <c r="H72" s="79" t="n"/>
      <c r="I72" s="79" t="n"/>
      <c r="J72" s="78" t="n"/>
      <c r="K72" s="78" t="n"/>
      <c r="L72" s="78" t="n"/>
      <c r="M72" s="78" t="n"/>
      <c r="N72" s="79" t="n"/>
      <c r="O72" s="77" t="n"/>
      <c r="P72" s="77" t="n"/>
      <c r="AC72" s="95" t="inlineStr">
        <is>
          <t>지정 6 | 폐유</t>
        </is>
      </c>
      <c r="AD72" s="61" t="inlineStr">
        <is>
          <t>06-01 | 폐윤활유</t>
        </is>
      </c>
      <c r="AF72" s="61" t="inlineStr">
        <is>
          <t>91-09 | 폐목재류</t>
        </is>
      </c>
      <c r="AG72" s="61" t="inlineStr">
        <is>
          <t>91-09-00 | 폐목재류</t>
        </is>
      </c>
    </row>
    <row r="73" ht="20.25" customHeight="1" s="60">
      <c r="B73" s="79" t="n"/>
      <c r="C73" s="76" t="n"/>
      <c r="D73" s="78" t="n"/>
      <c r="E73" s="78" t="n"/>
      <c r="F73" s="79" t="n"/>
      <c r="G73" s="79" t="n"/>
      <c r="H73" s="79" t="n"/>
      <c r="I73" s="79" t="n"/>
      <c r="J73" s="78" t="n"/>
      <c r="K73" s="78" t="n"/>
      <c r="L73" s="78" t="n"/>
      <c r="M73" s="78" t="n"/>
      <c r="N73" s="79" t="n"/>
      <c r="O73" s="77" t="n"/>
      <c r="P73" s="77" t="n"/>
      <c r="AC73" s="95" t="inlineStr">
        <is>
          <t>지정 6 | 폐유</t>
        </is>
      </c>
      <c r="AD73" s="61" t="inlineStr">
        <is>
          <t>06-02 | 폐변압기유</t>
        </is>
      </c>
      <c r="AF73" s="61" t="inlineStr">
        <is>
          <t>51-03 | 폐지류</t>
        </is>
      </c>
      <c r="AG73" s="95" t="inlineStr">
        <is>
          <t>선택안함</t>
        </is>
      </c>
    </row>
    <row r="74" ht="20.25" customHeight="1" s="60">
      <c r="B74" s="79" t="n"/>
      <c r="C74" s="76" t="n"/>
      <c r="D74" s="78" t="n"/>
      <c r="E74" s="78" t="n"/>
      <c r="F74" s="79" t="n"/>
      <c r="G74" s="79" t="n"/>
      <c r="H74" s="79" t="n"/>
      <c r="I74" s="79" t="n"/>
      <c r="J74" s="78" t="n"/>
      <c r="K74" s="78" t="n"/>
      <c r="L74" s="78" t="n"/>
      <c r="M74" s="78" t="n"/>
      <c r="N74" s="79" t="n"/>
      <c r="O74" s="77" t="n"/>
      <c r="P74" s="77" t="n"/>
      <c r="AC74" s="95" t="inlineStr">
        <is>
          <t>지정 6 | 폐유</t>
        </is>
      </c>
      <c r="AD74" s="61" t="inlineStr">
        <is>
          <t>06-03 | 폐절연유</t>
        </is>
      </c>
      <c r="AF74" s="61" t="inlineStr">
        <is>
          <t>51-03 | 폐지류</t>
        </is>
      </c>
      <c r="AG74" s="61" t="inlineStr">
        <is>
          <t>51-03-01 | 신문지류</t>
        </is>
      </c>
    </row>
    <row r="75" ht="20.25" customHeight="1" s="60">
      <c r="B75" s="79" t="n"/>
      <c r="C75" s="76" t="n"/>
      <c r="D75" s="78" t="n"/>
      <c r="E75" s="78" t="n"/>
      <c r="F75" s="79" t="n"/>
      <c r="G75" s="79" t="n"/>
      <c r="H75" s="79" t="n"/>
      <c r="I75" s="79" t="n"/>
      <c r="J75" s="78" t="n"/>
      <c r="K75" s="78" t="n"/>
      <c r="L75" s="78" t="n"/>
      <c r="M75" s="78" t="n"/>
      <c r="N75" s="79" t="n"/>
      <c r="O75" s="77" t="n"/>
      <c r="P75" s="77" t="n"/>
      <c r="AC75" s="95" t="inlineStr">
        <is>
          <t>지정 6 | 폐유</t>
        </is>
      </c>
      <c r="AD75" s="61" t="inlineStr">
        <is>
          <t>06-04 | 폐세척유</t>
        </is>
      </c>
      <c r="AF75" s="61" t="inlineStr">
        <is>
          <t>51-03 | 폐지류</t>
        </is>
      </c>
      <c r="AG75" s="61" t="inlineStr">
        <is>
          <t>51-03-02 | 골판지류</t>
        </is>
      </c>
    </row>
    <row r="76" ht="20.25" customHeight="1" s="60">
      <c r="B76" s="79" t="n"/>
      <c r="C76" s="76" t="n"/>
      <c r="D76" s="78" t="n"/>
      <c r="E76" s="78" t="n"/>
      <c r="F76" s="79" t="n"/>
      <c r="G76" s="79" t="n"/>
      <c r="H76" s="79" t="n"/>
      <c r="I76" s="79" t="n"/>
      <c r="J76" s="78" t="n"/>
      <c r="K76" s="78" t="n"/>
      <c r="L76" s="78" t="n"/>
      <c r="M76" s="78" t="n"/>
      <c r="N76" s="79" t="n"/>
      <c r="O76" s="77" t="n"/>
      <c r="P76" s="77" t="n"/>
      <c r="AC76" s="95" t="inlineStr">
        <is>
          <t>지정 6 | 폐유</t>
        </is>
      </c>
      <c r="AD76" s="61" t="inlineStr">
        <is>
          <t>06-05 | 폐연료유</t>
        </is>
      </c>
      <c r="AF76" s="61" t="inlineStr">
        <is>
          <t>51-03 | 폐지류</t>
        </is>
      </c>
      <c r="AG76" s="61" t="inlineStr">
        <is>
          <t>51-03-03 | 잡지류</t>
        </is>
      </c>
    </row>
    <row r="77" ht="20.25" customHeight="1" s="60">
      <c r="B77" s="79" t="n"/>
      <c r="C77" s="76" t="n"/>
      <c r="D77" s="78" t="n"/>
      <c r="E77" s="78" t="n"/>
      <c r="F77" s="79" t="n"/>
      <c r="G77" s="79" t="n"/>
      <c r="H77" s="79" t="n"/>
      <c r="I77" s="79" t="n"/>
      <c r="J77" s="78" t="n"/>
      <c r="K77" s="78" t="n"/>
      <c r="L77" s="78" t="n"/>
      <c r="M77" s="78" t="n"/>
      <c r="N77" s="79" t="n"/>
      <c r="O77" s="77" t="n"/>
      <c r="P77" s="77" t="n"/>
      <c r="AC77" s="95" t="inlineStr">
        <is>
          <t>지정 6 | 폐유</t>
        </is>
      </c>
      <c r="AD77" s="61" t="inlineStr">
        <is>
          <t>06-99 | 그 밖의 폐유</t>
        </is>
      </c>
      <c r="AF77" s="61" t="inlineStr">
        <is>
          <t>51-03 | 폐지류</t>
        </is>
      </c>
      <c r="AG77" s="61" t="inlineStr">
        <is>
          <t>51-03-04 | 백상지류</t>
        </is>
      </c>
    </row>
    <row r="78" ht="20.25" customHeight="1" s="60">
      <c r="B78" s="79" t="n"/>
      <c r="C78" s="76" t="n"/>
      <c r="D78" s="78" t="n"/>
      <c r="E78" s="78" t="n"/>
      <c r="F78" s="79" t="n"/>
      <c r="G78" s="79" t="n"/>
      <c r="H78" s="79" t="n"/>
      <c r="I78" s="79" t="n"/>
      <c r="J78" s="78" t="n"/>
      <c r="K78" s="78" t="n"/>
      <c r="L78" s="78" t="n"/>
      <c r="M78" s="78" t="n"/>
      <c r="N78" s="79" t="n"/>
      <c r="O78" s="77" t="n"/>
      <c r="P78" s="77" t="n"/>
      <c r="AC78" s="95" t="inlineStr">
        <is>
          <t>지정 7 | 폐석면</t>
        </is>
      </c>
      <c r="AD78" s="95" t="inlineStr">
        <is>
          <t>선택안함</t>
        </is>
      </c>
      <c r="AF78" s="61" t="inlineStr">
        <is>
          <t>51-03 | 폐지류</t>
        </is>
      </c>
      <c r="AG78" s="61" t="inlineStr">
        <is>
          <t>51-03-05 | 크라프트지류</t>
        </is>
      </c>
    </row>
    <row r="79" ht="20.25" customHeight="1" s="60">
      <c r="B79" s="79" t="n"/>
      <c r="C79" s="76" t="n"/>
      <c r="D79" s="78" t="n"/>
      <c r="E79" s="78" t="n"/>
      <c r="F79" s="79" t="n"/>
      <c r="G79" s="79" t="n"/>
      <c r="H79" s="79" t="n"/>
      <c r="I79" s="79" t="n"/>
      <c r="J79" s="78" t="n"/>
      <c r="K79" s="78" t="n"/>
      <c r="L79" s="78" t="n"/>
      <c r="M79" s="78" t="n"/>
      <c r="N79" s="79" t="n"/>
      <c r="O79" s="77" t="n"/>
      <c r="P79" s="77" t="n"/>
      <c r="AC79" s="95" t="inlineStr">
        <is>
          <t>지정 7 | 폐석면</t>
        </is>
      </c>
      <c r="AD79" s="61" t="inlineStr">
        <is>
          <t>07-01 | 건축자재 해체 시 발생 폐석면</t>
        </is>
      </c>
      <c r="AF79" s="61" t="inlineStr">
        <is>
          <t>51-03 | 폐지류</t>
        </is>
      </c>
      <c r="AG79" s="61" t="inlineStr">
        <is>
          <t>51-03-99 | 그 밖의 폐지류</t>
        </is>
      </c>
    </row>
    <row r="80" ht="20.25" customHeight="1" s="60">
      <c r="B80" s="79" t="n"/>
      <c r="C80" s="76" t="n"/>
      <c r="D80" s="78" t="n"/>
      <c r="E80" s="78" t="n"/>
      <c r="F80" s="79" t="n"/>
      <c r="G80" s="79" t="n"/>
      <c r="H80" s="79" t="n"/>
      <c r="I80" s="79" t="n"/>
      <c r="J80" s="78" t="n"/>
      <c r="K80" s="78" t="n"/>
      <c r="L80" s="78" t="n"/>
      <c r="M80" s="78" t="n"/>
      <c r="N80" s="79" t="n"/>
      <c r="O80" s="77" t="n"/>
      <c r="P80" s="77" t="n"/>
      <c r="AC80" s="95" t="inlineStr">
        <is>
          <t>지정 7 | 폐석면</t>
        </is>
      </c>
      <c r="AD80" s="61" t="inlineStr">
        <is>
          <t>07-02 | 슬레이트 등 연마·절단·가공 폐석면</t>
        </is>
      </c>
      <c r="AF80" s="61" t="inlineStr">
        <is>
          <t>91-10 | 폐건전지류</t>
        </is>
      </c>
      <c r="AG80" s="95" t="inlineStr">
        <is>
          <t>선택안함</t>
        </is>
      </c>
    </row>
    <row r="81" ht="20.25" customHeight="1" s="60">
      <c r="B81" s="79" t="n"/>
      <c r="C81" s="76" t="n"/>
      <c r="D81" s="78" t="n"/>
      <c r="E81" s="78" t="n"/>
      <c r="F81" s="79" t="n"/>
      <c r="G81" s="79" t="n"/>
      <c r="H81" s="79" t="n"/>
      <c r="I81" s="79" t="n"/>
      <c r="J81" s="78" t="n"/>
      <c r="K81" s="78" t="n"/>
      <c r="L81" s="78" t="n"/>
      <c r="M81" s="78" t="n"/>
      <c r="N81" s="79" t="n"/>
      <c r="O81" s="77" t="n"/>
      <c r="P81" s="77" t="n"/>
      <c r="AC81" s="95" t="inlineStr">
        <is>
          <t>지정 8 | 폴리클로리네이티드비페닐(PCBs) 함유 폐기물</t>
        </is>
      </c>
      <c r="AD81" s="95" t="inlineStr">
        <is>
          <t>선택안함</t>
        </is>
      </c>
      <c r="AF81" s="61" t="inlineStr">
        <is>
          <t>91-10 | 폐건전지류</t>
        </is>
      </c>
      <c r="AG81" s="61" t="inlineStr">
        <is>
          <t>91-10-01 | 폐1차전지</t>
        </is>
      </c>
    </row>
    <row r="82" ht="20.25" customHeight="1" s="60">
      <c r="B82" s="79" t="n"/>
      <c r="C82" s="76" t="n"/>
      <c r="D82" s="78" t="n"/>
      <c r="E82" s="78" t="n"/>
      <c r="F82" s="79" t="n"/>
      <c r="G82" s="79" t="n"/>
      <c r="H82" s="79" t="n"/>
      <c r="I82" s="79" t="n"/>
      <c r="J82" s="78" t="n"/>
      <c r="K82" s="78" t="n"/>
      <c r="L82" s="78" t="n"/>
      <c r="M82" s="78" t="n"/>
      <c r="N82" s="79" t="n"/>
      <c r="O82" s="77" t="n"/>
      <c r="P82" s="77" t="n"/>
      <c r="AC82" s="95" t="inlineStr">
        <is>
          <t>지정 8 | 폴리클로리네이티드비페닐(PCBs) 함유 폐기물</t>
        </is>
      </c>
      <c r="AD82" s="61" t="inlineStr">
        <is>
          <t>08-01 | 폐변압기</t>
        </is>
      </c>
      <c r="AF82" s="61" t="inlineStr">
        <is>
          <t>91-11 | 폐형광등류</t>
        </is>
      </c>
      <c r="AG82" s="95" t="inlineStr">
        <is>
          <t>선택안함</t>
        </is>
      </c>
    </row>
    <row r="83" ht="20.25" customHeight="1" s="60">
      <c r="B83" s="79" t="n"/>
      <c r="C83" s="76" t="n"/>
      <c r="D83" s="78" t="n"/>
      <c r="E83" s="78" t="n"/>
      <c r="F83" s="79" t="n"/>
      <c r="G83" s="79" t="n"/>
      <c r="H83" s="79" t="n"/>
      <c r="I83" s="79" t="n"/>
      <c r="J83" s="78" t="n"/>
      <c r="K83" s="78" t="n"/>
      <c r="L83" s="78" t="n"/>
      <c r="M83" s="78" t="n"/>
      <c r="N83" s="79" t="n"/>
      <c r="O83" s="77" t="n"/>
      <c r="P83" s="77" t="n"/>
      <c r="AC83" s="95" t="inlineStr">
        <is>
          <t>지정 8 | 폴리클로리네이티드비페닐(PCBs) 함유 폐기물</t>
        </is>
      </c>
      <c r="AD83" s="61" t="inlineStr">
        <is>
          <t>08-02 | 폐축전기</t>
        </is>
      </c>
      <c r="AF83" s="61" t="inlineStr">
        <is>
          <t>91-11 | 폐형광등류</t>
        </is>
      </c>
      <c r="AG83" s="61" t="inlineStr">
        <is>
          <t>91-11-00 | 폐형광등류</t>
        </is>
      </c>
    </row>
    <row r="84" ht="20.25" customHeight="1" s="60">
      <c r="B84" s="79" t="n"/>
      <c r="C84" s="76" t="n"/>
      <c r="D84" s="78" t="n"/>
      <c r="E84" s="78" t="n"/>
      <c r="F84" s="79" t="n"/>
      <c r="G84" s="79" t="n"/>
      <c r="H84" s="79" t="n"/>
      <c r="I84" s="79" t="n"/>
      <c r="J84" s="78" t="n"/>
      <c r="K84" s="78" t="n"/>
      <c r="L84" s="78" t="n"/>
      <c r="M84" s="78" t="n"/>
      <c r="N84" s="79" t="n"/>
      <c r="O84" s="77" t="n"/>
      <c r="P84" s="77" t="n"/>
      <c r="AC84" s="95" t="inlineStr">
        <is>
          <t>지정 8 | 폴리클로리네이티드비페닐(PCBs) 함유 폐기물</t>
        </is>
      </c>
      <c r="AD84" s="61" t="inlineStr">
        <is>
          <t>08-03 | PCBs 함유 폐기물</t>
        </is>
      </c>
      <c r="AF84" s="61" t="inlineStr">
        <is>
          <t>02-01 | 폐산</t>
        </is>
      </c>
      <c r="AG84" s="95" t="inlineStr">
        <is>
          <t>선택안함</t>
        </is>
      </c>
    </row>
    <row r="85" ht="20.25" customHeight="1" s="60">
      <c r="B85" s="79" t="n"/>
      <c r="C85" s="76" t="n"/>
      <c r="D85" s="78" t="n"/>
      <c r="E85" s="78" t="n"/>
      <c r="F85" s="79" t="n"/>
      <c r="G85" s="79" t="n"/>
      <c r="H85" s="79" t="n"/>
      <c r="I85" s="79" t="n"/>
      <c r="J85" s="78" t="n"/>
      <c r="K85" s="78" t="n"/>
      <c r="L85" s="78" t="n"/>
      <c r="M85" s="78" t="n"/>
      <c r="N85" s="79" t="n"/>
      <c r="O85" s="77" t="n"/>
      <c r="P85" s="77" t="n"/>
      <c r="AC85" s="95" t="inlineStr">
        <is>
          <t>지정 9 | 의료폐기물</t>
        </is>
      </c>
      <c r="AD85" s="95" t="inlineStr">
        <is>
          <t>선택안함</t>
        </is>
      </c>
      <c r="AF85" s="61" t="inlineStr">
        <is>
          <t>02-01 | 폐산</t>
        </is>
      </c>
      <c r="AG85" s="61" t="inlineStr">
        <is>
          <t>02-01-01 | 폐황산</t>
        </is>
      </c>
    </row>
    <row r="86" ht="20.25" customHeight="1" s="60">
      <c r="B86" s="79" t="n"/>
      <c r="C86" s="76" t="n"/>
      <c r="D86" s="78" t="n"/>
      <c r="E86" s="78" t="n"/>
      <c r="F86" s="79" t="n"/>
      <c r="G86" s="79" t="n"/>
      <c r="H86" s="79" t="n"/>
      <c r="I86" s="79" t="n"/>
      <c r="J86" s="78" t="n"/>
      <c r="K86" s="78" t="n"/>
      <c r="L86" s="78" t="n"/>
      <c r="M86" s="78" t="n"/>
      <c r="N86" s="79" t="n"/>
      <c r="O86" s="77" t="n"/>
      <c r="P86" s="77" t="n"/>
      <c r="AC86" s="95" t="inlineStr">
        <is>
          <t>지정 9 | 의료폐기물</t>
        </is>
      </c>
      <c r="AD86" s="61" t="inlineStr">
        <is>
          <t>09-01 | 격리의료폐기물</t>
        </is>
      </c>
      <c r="AF86" s="61" t="inlineStr">
        <is>
          <t>02-01 | 폐산</t>
        </is>
      </c>
      <c r="AG86" s="61" t="inlineStr">
        <is>
          <t>02-01-02 | 폐염산</t>
        </is>
      </c>
    </row>
    <row r="87" ht="20.25" customHeight="1" s="60">
      <c r="B87" s="79" t="n"/>
      <c r="C87" s="76" t="n"/>
      <c r="D87" s="78" t="n"/>
      <c r="E87" s="78" t="n"/>
      <c r="F87" s="79" t="n"/>
      <c r="G87" s="79" t="n"/>
      <c r="H87" s="79" t="n"/>
      <c r="I87" s="79" t="n"/>
      <c r="J87" s="78" t="n"/>
      <c r="K87" s="78" t="n"/>
      <c r="L87" s="78" t="n"/>
      <c r="M87" s="78" t="n"/>
      <c r="N87" s="79" t="n"/>
      <c r="O87" s="77" t="n"/>
      <c r="P87" s="77" t="n"/>
      <c r="AC87" s="95" t="inlineStr">
        <is>
          <t>지정 9 | 의료폐기물</t>
        </is>
      </c>
      <c r="AD87" s="61" t="inlineStr">
        <is>
          <t>09-02 | 위해의료폐기물</t>
        </is>
      </c>
      <c r="AF87" s="61" t="inlineStr">
        <is>
          <t>02-01 | 폐산</t>
        </is>
      </c>
      <c r="AG87" s="61" t="inlineStr">
        <is>
          <t>02-01-03 | 폐질산</t>
        </is>
      </c>
    </row>
    <row r="88" ht="20.25" customHeight="1" s="60">
      <c r="B88" s="79" t="n"/>
      <c r="C88" s="76" t="n"/>
      <c r="D88" s="78" t="n"/>
      <c r="E88" s="78" t="n"/>
      <c r="F88" s="79" t="n"/>
      <c r="G88" s="79" t="n"/>
      <c r="H88" s="79" t="n"/>
      <c r="I88" s="79" t="n"/>
      <c r="J88" s="78" t="n"/>
      <c r="K88" s="78" t="n"/>
      <c r="L88" s="78" t="n"/>
      <c r="M88" s="78" t="n"/>
      <c r="N88" s="79" t="n"/>
      <c r="O88" s="77" t="n"/>
      <c r="P88" s="77" t="n"/>
      <c r="AC88" s="95" t="inlineStr">
        <is>
          <t>지정 9 | 의료폐기물</t>
        </is>
      </c>
      <c r="AD88" s="61" t="inlineStr">
        <is>
          <t>09-03 | 일반의료폐기물</t>
        </is>
      </c>
      <c r="AF88" s="61" t="inlineStr">
        <is>
          <t>02-01 | 폐산</t>
        </is>
      </c>
      <c r="AG88" s="61" t="inlineStr">
        <is>
          <t>02-01-04 | 폐인산</t>
        </is>
      </c>
    </row>
    <row r="89" ht="20.25" customHeight="1" s="60">
      <c r="B89" s="79" t="n"/>
      <c r="C89" s="76" t="n"/>
      <c r="D89" s="78" t="n"/>
      <c r="E89" s="78" t="n"/>
      <c r="F89" s="79" t="n"/>
      <c r="G89" s="79" t="n"/>
      <c r="H89" s="79" t="n"/>
      <c r="I89" s="79" t="n"/>
      <c r="J89" s="78" t="n"/>
      <c r="K89" s="78" t="n"/>
      <c r="L89" s="78" t="n"/>
      <c r="M89" s="78" t="n"/>
      <c r="N89" s="79" t="n"/>
      <c r="O89" s="77" t="n"/>
      <c r="P89" s="77" t="n"/>
      <c r="AC89" s="95" t="inlineStr">
        <is>
          <t>지정 10 | 폐배터리 및 폐태양광패널 등</t>
        </is>
      </c>
      <c r="AD89" s="95" t="inlineStr">
        <is>
          <t>선택안함</t>
        </is>
      </c>
      <c r="AF89" s="61" t="inlineStr">
        <is>
          <t>02-01 | 폐산</t>
        </is>
      </c>
      <c r="AG89" s="61" t="inlineStr">
        <is>
          <t>02-01-05 | 폐불산</t>
        </is>
      </c>
    </row>
    <row r="90" ht="20.25" customHeight="1" s="60">
      <c r="B90" s="79" t="n"/>
      <c r="C90" s="76" t="n"/>
      <c r="D90" s="78" t="n"/>
      <c r="E90" s="78" t="n"/>
      <c r="F90" s="79" t="n"/>
      <c r="G90" s="79" t="n"/>
      <c r="H90" s="79" t="n"/>
      <c r="I90" s="79" t="n"/>
      <c r="J90" s="78" t="n"/>
      <c r="K90" s="78" t="n"/>
      <c r="L90" s="78" t="n"/>
      <c r="M90" s="78" t="n"/>
      <c r="N90" s="79" t="n"/>
      <c r="O90" s="77" t="n"/>
      <c r="P90" s="77" t="n"/>
      <c r="AC90" s="95" t="inlineStr">
        <is>
          <t>지정 10 | 폐배터리 및 폐태양광패널 등</t>
        </is>
      </c>
      <c r="AD90" s="61" t="inlineStr">
        <is>
          <t>10-01 | 폐리튬전지</t>
        </is>
      </c>
      <c r="AF90" s="61" t="inlineStr">
        <is>
          <t>02-01 | 폐산</t>
        </is>
      </c>
      <c r="AG90" s="61" t="inlineStr">
        <is>
          <t>02-01-06 | 폐황산이 포함된 2차폐축전지</t>
        </is>
      </c>
    </row>
    <row r="91" ht="20.25" customHeight="1" s="60">
      <c r="B91" s="79" t="n"/>
      <c r="C91" s="76" t="n"/>
      <c r="D91" s="78" t="n"/>
      <c r="E91" s="78" t="n"/>
      <c r="F91" s="79" t="n"/>
      <c r="G91" s="79" t="n"/>
      <c r="H91" s="79" t="n"/>
      <c r="I91" s="79" t="n"/>
      <c r="J91" s="78" t="n"/>
      <c r="K91" s="78" t="n"/>
      <c r="L91" s="78" t="n"/>
      <c r="M91" s="78" t="n"/>
      <c r="N91" s="79" t="n"/>
      <c r="O91" s="77" t="n"/>
      <c r="P91" s="77" t="n"/>
      <c r="AC91" s="95" t="inlineStr">
        <is>
          <t>지정 10 | 폐배터리 및 폐태양광패널 등</t>
        </is>
      </c>
      <c r="AD91" s="61" t="inlineStr">
        <is>
          <t>10-02 | 폐태양광패널</t>
        </is>
      </c>
      <c r="AF91" s="61" t="inlineStr">
        <is>
          <t>02-01 | 폐산</t>
        </is>
      </c>
      <c r="AG91" s="61" t="inlineStr">
        <is>
          <t>02-01-99 | 그 밖의 폐산</t>
        </is>
      </c>
    </row>
    <row r="92" ht="20.25" customHeight="1" s="60">
      <c r="B92" s="79" t="n"/>
      <c r="C92" s="76" t="n"/>
      <c r="D92" s="78" t="n"/>
      <c r="E92" s="78" t="n"/>
      <c r="F92" s="79" t="n"/>
      <c r="G92" s="79" t="n"/>
      <c r="H92" s="79" t="n"/>
      <c r="I92" s="79" t="n"/>
      <c r="J92" s="78" t="n"/>
      <c r="K92" s="78" t="n"/>
      <c r="L92" s="78" t="n"/>
      <c r="M92" s="78" t="n"/>
      <c r="N92" s="79" t="n"/>
      <c r="O92" s="77" t="n"/>
      <c r="P92" s="77" t="n"/>
      <c r="AC92" s="95" t="inlineStr">
        <is>
          <t>지정 11 | 수은폐기물</t>
        </is>
      </c>
      <c r="AD92" s="95" t="inlineStr">
        <is>
          <t>선택안함</t>
        </is>
      </c>
      <c r="AF92" s="61" t="inlineStr">
        <is>
          <t>91-12 | 폐식용유류</t>
        </is>
      </c>
      <c r="AG92" s="95" t="inlineStr">
        <is>
          <t>선택안함</t>
        </is>
      </c>
    </row>
    <row r="93" ht="20.25" customHeight="1" s="60">
      <c r="B93" s="79" t="n"/>
      <c r="C93" s="76" t="n"/>
      <c r="D93" s="78" t="n"/>
      <c r="E93" s="78" t="n"/>
      <c r="F93" s="79" t="n"/>
      <c r="G93" s="79" t="n"/>
      <c r="H93" s="79" t="n"/>
      <c r="I93" s="79" t="n"/>
      <c r="J93" s="78" t="n"/>
      <c r="K93" s="78" t="n"/>
      <c r="L93" s="78" t="n"/>
      <c r="M93" s="78" t="n"/>
      <c r="N93" s="79" t="n"/>
      <c r="O93" s="77" t="n"/>
      <c r="P93" s="77" t="n"/>
      <c r="AC93" s="95" t="inlineStr">
        <is>
          <t>지정 11 | 수은폐기물</t>
        </is>
      </c>
      <c r="AD93" s="61" t="inlineStr">
        <is>
          <t>11-01 | 수은함유폐기물</t>
        </is>
      </c>
      <c r="AF93" s="61" t="inlineStr">
        <is>
          <t>91-12 | 폐식용유류</t>
        </is>
      </c>
      <c r="AG93" s="61" t="inlineStr">
        <is>
          <t>91-12-00 | 폐식용유류</t>
        </is>
      </c>
    </row>
    <row r="94" ht="20.25" customHeight="1" s="60">
      <c r="B94" s="79" t="n"/>
      <c r="C94" s="76" t="n"/>
      <c r="D94" s="78" t="n"/>
      <c r="E94" s="78" t="n"/>
      <c r="F94" s="79" t="n"/>
      <c r="G94" s="79" t="n"/>
      <c r="H94" s="79" t="n"/>
      <c r="I94" s="79" t="n"/>
      <c r="J94" s="78" t="n"/>
      <c r="K94" s="78" t="n"/>
      <c r="L94" s="78" t="n"/>
      <c r="M94" s="78" t="n"/>
      <c r="N94" s="79" t="n"/>
      <c r="O94" s="77" t="n"/>
      <c r="P94" s="77" t="n"/>
      <c r="AC94" s="95" t="inlineStr">
        <is>
          <t>지정 11 | 수은폐기물</t>
        </is>
      </c>
      <c r="AD94" s="61" t="inlineStr">
        <is>
          <t>11-02 | 11-02</t>
        </is>
      </c>
      <c r="AF94" s="61" t="inlineStr">
        <is>
          <t>91-13 | 조명폐기물</t>
        </is>
      </c>
      <c r="AG94" s="95" t="inlineStr">
        <is>
          <t>선택안함</t>
        </is>
      </c>
    </row>
    <row r="95" ht="20.25" customHeight="1" s="60">
      <c r="B95" s="79" t="n"/>
      <c r="C95" s="76" t="n"/>
      <c r="D95" s="78" t="n"/>
      <c r="E95" s="78" t="n"/>
      <c r="F95" s="79" t="n"/>
      <c r="G95" s="79" t="n"/>
      <c r="H95" s="79" t="n"/>
      <c r="I95" s="79" t="n"/>
      <c r="J95" s="78" t="n"/>
      <c r="K95" s="78" t="n"/>
      <c r="L95" s="78" t="n"/>
      <c r="M95" s="78" t="n"/>
      <c r="N95" s="79" t="n"/>
      <c r="O95" s="77" t="n"/>
      <c r="P95" s="77" t="n"/>
      <c r="AC95" s="95" t="inlineStr">
        <is>
          <t>지정 11 | 수은폐기물</t>
        </is>
      </c>
      <c r="AD95" s="61" t="inlineStr">
        <is>
          <t>11-03 | 11-03</t>
        </is>
      </c>
      <c r="AF95" s="61" t="inlineStr">
        <is>
          <t>91-13 | 조명폐기물</t>
        </is>
      </c>
      <c r="AG95" s="61" t="inlineStr">
        <is>
          <t>91-13-01 | 폐형광등</t>
        </is>
      </c>
    </row>
    <row r="96" ht="20.25" customHeight="1" s="60">
      <c r="B96" s="79" t="n"/>
      <c r="C96" s="76" t="n"/>
      <c r="D96" s="78" t="n"/>
      <c r="E96" s="78" t="n"/>
      <c r="F96" s="79" t="n"/>
      <c r="G96" s="79" t="n"/>
      <c r="H96" s="79" t="n"/>
      <c r="I96" s="79" t="n"/>
      <c r="J96" s="78" t="n"/>
      <c r="K96" s="78" t="n"/>
      <c r="L96" s="78" t="n"/>
      <c r="M96" s="78" t="n"/>
      <c r="N96" s="79" t="n"/>
      <c r="O96" s="77" t="n"/>
      <c r="P96" s="77" t="n"/>
      <c r="AC96" s="95" t="inlineStr">
        <is>
          <t>지정 12 | 천연방사성제품폐기물</t>
        </is>
      </c>
      <c r="AD96" s="95" t="inlineStr">
        <is>
          <t>선택안함</t>
        </is>
      </c>
      <c r="AF96" s="61" t="inlineStr">
        <is>
          <t>91-13 | 조명폐기물</t>
        </is>
      </c>
      <c r="AG96" s="61" t="inlineStr">
        <is>
          <t>91-13-02 | 폐발광다이오드조명</t>
        </is>
      </c>
    </row>
    <row r="97" ht="20.25" customHeight="1" s="60">
      <c r="B97" s="79" t="n"/>
      <c r="C97" s="76" t="n"/>
      <c r="D97" s="78" t="n"/>
      <c r="E97" s="78" t="n"/>
      <c r="F97" s="79" t="n"/>
      <c r="G97" s="79" t="n"/>
      <c r="H97" s="79" t="n"/>
      <c r="I97" s="79" t="n"/>
      <c r="J97" s="78" t="n"/>
      <c r="K97" s="78" t="n"/>
      <c r="L97" s="78" t="n"/>
      <c r="M97" s="78" t="n"/>
      <c r="N97" s="79" t="n"/>
      <c r="O97" s="77" t="n"/>
      <c r="P97" s="77" t="n"/>
      <c r="AC97" s="95" t="inlineStr">
        <is>
          <t>지정 12 | 천연방사성제품폐기물</t>
        </is>
      </c>
      <c r="AD97" s="61" t="inlineStr">
        <is>
          <t>12-00 | 12-00</t>
        </is>
      </c>
      <c r="AF97" s="61" t="inlineStr">
        <is>
          <t>51-04 | 폐목재류</t>
        </is>
      </c>
      <c r="AG97" s="95" t="inlineStr">
        <is>
          <t>선택안함</t>
        </is>
      </c>
    </row>
    <row r="98" ht="20.25" customHeight="1" s="60">
      <c r="B98" s="79" t="n"/>
      <c r="C98" s="76" t="n"/>
      <c r="D98" s="78" t="n"/>
      <c r="E98" s="78" t="n"/>
      <c r="F98" s="79" t="n"/>
      <c r="G98" s="79" t="n"/>
      <c r="H98" s="79" t="n"/>
      <c r="I98" s="79" t="n"/>
      <c r="J98" s="78" t="n"/>
      <c r="K98" s="78" t="n"/>
      <c r="L98" s="78" t="n"/>
      <c r="M98" s="78" t="n"/>
      <c r="N98" s="79" t="n"/>
      <c r="O98" s="77" t="n"/>
      <c r="P98" s="77" t="n"/>
      <c r="AC98" s="95" t="inlineStr">
        <is>
          <t>지정 30 | 그 밖에 환경부장관이 정하여 고시하는 폐기물</t>
        </is>
      </c>
      <c r="AD98" s="95" t="inlineStr">
        <is>
          <t>선택안함</t>
        </is>
      </c>
      <c r="AF98" s="61" t="inlineStr">
        <is>
          <t>51-04 | 폐목재류</t>
        </is>
      </c>
      <c r="AG98" s="61" t="inlineStr">
        <is>
          <t>51-04-01 | 폐건설목재</t>
        </is>
      </c>
    </row>
    <row r="99" ht="20.25" customHeight="1" s="60">
      <c r="B99" s="79" t="n"/>
      <c r="C99" s="76" t="n"/>
      <c r="D99" s="78" t="n"/>
      <c r="E99" s="78" t="n"/>
      <c r="F99" s="79" t="n"/>
      <c r="G99" s="79" t="n"/>
      <c r="H99" s="79" t="n"/>
      <c r="I99" s="79" t="n"/>
      <c r="J99" s="78" t="n"/>
      <c r="K99" s="78" t="n"/>
      <c r="L99" s="78" t="n"/>
      <c r="M99" s="78" t="n"/>
      <c r="N99" s="79" t="n"/>
      <c r="O99" s="77" t="n"/>
      <c r="P99" s="77" t="n"/>
      <c r="AC99" s="95" t="inlineStr">
        <is>
          <t>지정 30 | 그 밖에 환경부장관이 정하여 고시하는 폐기물</t>
        </is>
      </c>
      <c r="AD99" s="61" t="inlineStr">
        <is>
          <t>30-00 | 30-00</t>
        </is>
      </c>
      <c r="AF99" s="61" t="inlineStr">
        <is>
          <t>51-04 | 폐목재류</t>
        </is>
      </c>
      <c r="AG99" s="61" t="inlineStr">
        <is>
          <t>51-04-02 | 폐팔레트</t>
        </is>
      </c>
    </row>
    <row r="100" ht="20.25" customHeight="1" s="60">
      <c r="B100" s="79" t="n"/>
      <c r="C100" s="76" t="n"/>
      <c r="D100" s="78" t="n"/>
      <c r="E100" s="78" t="n"/>
      <c r="F100" s="79" t="n"/>
      <c r="G100" s="79" t="n"/>
      <c r="H100" s="79" t="n"/>
      <c r="I100" s="79" t="n"/>
      <c r="J100" s="78" t="n"/>
      <c r="K100" s="78" t="n"/>
      <c r="L100" s="78" t="n"/>
      <c r="M100" s="78" t="n"/>
      <c r="N100" s="79" t="n"/>
      <c r="O100" s="77" t="n"/>
      <c r="P100" s="77" t="n"/>
      <c r="AF100" s="61" t="inlineStr">
        <is>
          <t>51-04 | 폐목재류</t>
        </is>
      </c>
      <c r="AG100" s="61" t="inlineStr">
        <is>
          <t>51-04-03 | 폐가구류</t>
        </is>
      </c>
    </row>
    <row r="101" ht="20.25" customHeight="1" s="60">
      <c r="B101" s="79" t="n"/>
      <c r="C101" s="76" t="n"/>
      <c r="D101" s="78" t="n"/>
      <c r="E101" s="78" t="n"/>
      <c r="F101" s="79" t="n"/>
      <c r="G101" s="79" t="n"/>
      <c r="H101" s="79" t="n"/>
      <c r="I101" s="79" t="n"/>
      <c r="J101" s="78" t="n"/>
      <c r="K101" s="78" t="n"/>
      <c r="L101" s="78" t="n"/>
      <c r="M101" s="78" t="n"/>
      <c r="N101" s="79" t="n"/>
      <c r="O101" s="77" t="n"/>
      <c r="P101" s="77" t="n"/>
      <c r="AF101" s="61" t="inlineStr">
        <is>
          <t>51-04 | 폐목재류</t>
        </is>
      </c>
      <c r="AG101" s="61" t="inlineStr">
        <is>
          <t>51-04-99 | 그 밖의 폐목재류</t>
        </is>
      </c>
    </row>
    <row r="102" ht="20.25" customHeight="1" s="60">
      <c r="B102" s="79" t="n"/>
      <c r="C102" s="76" t="n"/>
      <c r="D102" s="78" t="n"/>
      <c r="E102" s="78" t="n"/>
      <c r="F102" s="79" t="n"/>
      <c r="G102" s="79" t="n"/>
      <c r="H102" s="79" t="n"/>
      <c r="I102" s="79" t="n"/>
      <c r="J102" s="78" t="n"/>
      <c r="K102" s="78" t="n"/>
      <c r="L102" s="78" t="n"/>
      <c r="M102" s="78" t="n"/>
      <c r="N102" s="79" t="n"/>
      <c r="O102" s="77" t="n"/>
      <c r="P102" s="77" t="n"/>
      <c r="AF102" s="61" t="inlineStr">
        <is>
          <t>91-14 | 폐전지류</t>
        </is>
      </c>
      <c r="AG102" s="95" t="inlineStr">
        <is>
          <t>선택안함</t>
        </is>
      </c>
    </row>
    <row r="103" ht="20.25" customHeight="1" s="60">
      <c r="B103" s="79" t="n"/>
      <c r="C103" s="76" t="n"/>
      <c r="D103" s="78" t="n"/>
      <c r="E103" s="78" t="n"/>
      <c r="F103" s="79" t="n"/>
      <c r="G103" s="79" t="n"/>
      <c r="H103" s="79" t="n"/>
      <c r="I103" s="79" t="n"/>
      <c r="J103" s="78" t="n"/>
      <c r="K103" s="78" t="n"/>
      <c r="L103" s="78" t="n"/>
      <c r="M103" s="78" t="n"/>
      <c r="N103" s="79" t="n"/>
      <c r="O103" s="77" t="n"/>
      <c r="P103" s="77" t="n"/>
      <c r="AF103" s="61" t="inlineStr">
        <is>
          <t>91-14 | 폐전지류</t>
        </is>
      </c>
      <c r="AG103" s="61" t="inlineStr">
        <is>
          <t>91-14-00 | 폐전지류</t>
        </is>
      </c>
    </row>
    <row r="104" ht="20.25" customHeight="1" s="60">
      <c r="B104" s="79" t="n"/>
      <c r="C104" s="76" t="n"/>
      <c r="D104" s="78" t="n"/>
      <c r="E104" s="78" t="n"/>
      <c r="F104" s="79" t="n"/>
      <c r="G104" s="79" t="n"/>
      <c r="H104" s="79" t="n"/>
      <c r="I104" s="79" t="n"/>
      <c r="J104" s="78" t="n"/>
      <c r="K104" s="78" t="n"/>
      <c r="L104" s="78" t="n"/>
      <c r="M104" s="78" t="n"/>
      <c r="N104" s="79" t="n"/>
      <c r="O104" s="77" t="n"/>
      <c r="P104" s="77" t="n"/>
      <c r="AF104" s="61" t="inlineStr">
        <is>
          <t>02-02 | 폐알칼리</t>
        </is>
      </c>
      <c r="AG104" s="95" t="inlineStr">
        <is>
          <t>선택안함</t>
        </is>
      </c>
    </row>
    <row r="105" ht="20.25" customHeight="1" s="60">
      <c r="B105" s="79" t="n"/>
      <c r="C105" s="76" t="n"/>
      <c r="D105" s="78" t="n"/>
      <c r="E105" s="78" t="n"/>
      <c r="F105" s="79" t="n"/>
      <c r="G105" s="79" t="n"/>
      <c r="H105" s="79" t="n"/>
      <c r="I105" s="79" t="n"/>
      <c r="J105" s="78" t="n"/>
      <c r="K105" s="78" t="n"/>
      <c r="L105" s="78" t="n"/>
      <c r="M105" s="78" t="n"/>
      <c r="N105" s="79" t="n"/>
      <c r="O105" s="77" t="n"/>
      <c r="P105" s="77" t="n"/>
      <c r="AF105" s="61" t="inlineStr">
        <is>
          <t>02-02 | 폐알칼리</t>
        </is>
      </c>
      <c r="AG105" s="61" t="inlineStr">
        <is>
          <t>02-02-01 | 폐수산화나트륨</t>
        </is>
      </c>
    </row>
    <row r="106" ht="20.25" customHeight="1" s="60">
      <c r="B106" s="79" t="n"/>
      <c r="C106" s="76" t="n"/>
      <c r="D106" s="78" t="n"/>
      <c r="E106" s="78" t="n"/>
      <c r="F106" s="79" t="n"/>
      <c r="G106" s="79" t="n"/>
      <c r="H106" s="79" t="n"/>
      <c r="I106" s="79" t="n"/>
      <c r="J106" s="78" t="n"/>
      <c r="K106" s="78" t="n"/>
      <c r="L106" s="78" t="n"/>
      <c r="M106" s="78" t="n"/>
      <c r="N106" s="79" t="n"/>
      <c r="O106" s="77" t="n"/>
      <c r="P106" s="77" t="n"/>
      <c r="AF106" s="61" t="inlineStr">
        <is>
          <t>02-02 | 폐알칼리</t>
        </is>
      </c>
      <c r="AG106" s="61" t="inlineStr">
        <is>
          <t>02-02-02 | 폐암모니아수</t>
        </is>
      </c>
    </row>
    <row r="107" ht="20.25" customHeight="1" s="60">
      <c r="B107" s="79" t="n"/>
      <c r="C107" s="76" t="n"/>
      <c r="D107" s="78" t="n"/>
      <c r="E107" s="78" t="n"/>
      <c r="F107" s="79" t="n"/>
      <c r="G107" s="79" t="n"/>
      <c r="H107" s="79" t="n"/>
      <c r="I107" s="79" t="n"/>
      <c r="J107" s="78" t="n"/>
      <c r="K107" s="78" t="n"/>
      <c r="L107" s="78" t="n"/>
      <c r="M107" s="78" t="n"/>
      <c r="N107" s="79" t="n"/>
      <c r="O107" s="77" t="n"/>
      <c r="P107" s="77" t="n"/>
      <c r="AF107" s="61" t="inlineStr">
        <is>
          <t>02-02 | 폐알칼리</t>
        </is>
      </c>
      <c r="AG107" s="61" t="inlineStr">
        <is>
          <t>02-02-99 | 그 밖의 폐알칼리</t>
        </is>
      </c>
    </row>
    <row r="108" ht="20.25" customHeight="1" s="60">
      <c r="B108" s="79" t="n"/>
      <c r="C108" s="76" t="n"/>
      <c r="D108" s="78" t="n"/>
      <c r="E108" s="78" t="n"/>
      <c r="F108" s="79" t="n"/>
      <c r="G108" s="79" t="n"/>
      <c r="H108" s="79" t="n"/>
      <c r="I108" s="79" t="n"/>
      <c r="J108" s="78" t="n"/>
      <c r="K108" s="78" t="n"/>
      <c r="L108" s="78" t="n"/>
      <c r="M108" s="78" t="n"/>
      <c r="N108" s="79" t="n"/>
      <c r="O108" s="77" t="n"/>
      <c r="P108" s="77" t="n"/>
      <c r="AF108" s="61" t="inlineStr">
        <is>
          <t>51-05 | 폐합성수지류</t>
        </is>
      </c>
      <c r="AG108" s="95" t="inlineStr">
        <is>
          <t>선택안함</t>
        </is>
      </c>
    </row>
    <row r="109" ht="20.25" customHeight="1" s="60">
      <c r="B109" s="79" t="n"/>
      <c r="C109" s="76" t="n"/>
      <c r="D109" s="78" t="n"/>
      <c r="E109" s="78" t="n"/>
      <c r="F109" s="79" t="n"/>
      <c r="G109" s="79" t="n"/>
      <c r="H109" s="79" t="n"/>
      <c r="I109" s="79" t="n"/>
      <c r="J109" s="78" t="n"/>
      <c r="K109" s="78" t="n"/>
      <c r="L109" s="78" t="n"/>
      <c r="M109" s="78" t="n"/>
      <c r="N109" s="79" t="n"/>
      <c r="O109" s="77" t="n"/>
      <c r="P109" s="77" t="n"/>
      <c r="AF109" s="61" t="inlineStr">
        <is>
          <t>51-05 | 폐합성수지류</t>
        </is>
      </c>
      <c r="AG109" s="61" t="inlineStr">
        <is>
          <t>51-05-01 | 폐PE</t>
        </is>
      </c>
    </row>
    <row r="110" ht="20.25" customHeight="1" s="60">
      <c r="B110" s="79" t="n"/>
      <c r="C110" s="76" t="n"/>
      <c r="D110" s="78" t="n"/>
      <c r="E110" s="78" t="n"/>
      <c r="F110" s="79" t="n"/>
      <c r="G110" s="79" t="n"/>
      <c r="H110" s="79" t="n"/>
      <c r="I110" s="79" t="n"/>
      <c r="J110" s="78" t="n"/>
      <c r="K110" s="78" t="n"/>
      <c r="L110" s="78" t="n"/>
      <c r="M110" s="78" t="n"/>
      <c r="N110" s="79" t="n"/>
      <c r="O110" s="77" t="n"/>
      <c r="P110" s="77" t="n"/>
      <c r="AF110" s="61" t="inlineStr">
        <is>
          <t>51-05 | 폐합성수지류</t>
        </is>
      </c>
      <c r="AG110" s="61" t="inlineStr">
        <is>
          <t>51-05-02 | 폐PP</t>
        </is>
      </c>
    </row>
    <row r="111" ht="20.25" customHeight="1" s="60">
      <c r="B111" s="79" t="n"/>
      <c r="C111" s="76" t="n"/>
      <c r="D111" s="78" t="n"/>
      <c r="E111" s="78" t="n"/>
      <c r="F111" s="79" t="n"/>
      <c r="G111" s="79" t="n"/>
      <c r="H111" s="79" t="n"/>
      <c r="I111" s="79" t="n"/>
      <c r="J111" s="78" t="n"/>
      <c r="K111" s="78" t="n"/>
      <c r="L111" s="78" t="n"/>
      <c r="M111" s="78" t="n"/>
      <c r="N111" s="79" t="n"/>
      <c r="O111" s="77" t="n"/>
      <c r="P111" s="77" t="n"/>
      <c r="AF111" s="61" t="inlineStr">
        <is>
          <t>51-05 | 폐합성수지류</t>
        </is>
      </c>
      <c r="AG111" s="61" t="inlineStr">
        <is>
          <t>51-05-03 | 폐PVC</t>
        </is>
      </c>
    </row>
    <row r="112" ht="20.25" customHeight="1" s="60">
      <c r="B112" s="79" t="n"/>
      <c r="C112" s="76" t="n"/>
      <c r="D112" s="78" t="n"/>
      <c r="E112" s="78" t="n"/>
      <c r="F112" s="79" t="n"/>
      <c r="G112" s="79" t="n"/>
      <c r="H112" s="79" t="n"/>
      <c r="I112" s="79" t="n"/>
      <c r="J112" s="78" t="n"/>
      <c r="K112" s="78" t="n"/>
      <c r="L112" s="78" t="n"/>
      <c r="M112" s="78" t="n"/>
      <c r="N112" s="79" t="n"/>
      <c r="O112" s="77" t="n"/>
      <c r="P112" s="77" t="n"/>
      <c r="AF112" s="61" t="inlineStr">
        <is>
          <t>51-05 | 폐합성수지류</t>
        </is>
      </c>
      <c r="AG112" s="61" t="inlineStr">
        <is>
          <t>51-05-04 | 폐PET</t>
        </is>
      </c>
    </row>
    <row r="113" ht="20.25" customHeight="1" s="60">
      <c r="B113" s="79" t="n"/>
      <c r="C113" s="76" t="n"/>
      <c r="D113" s="78" t="n"/>
      <c r="E113" s="78" t="n"/>
      <c r="F113" s="79" t="n"/>
      <c r="G113" s="79" t="n"/>
      <c r="H113" s="79" t="n"/>
      <c r="I113" s="79" t="n"/>
      <c r="J113" s="78" t="n"/>
      <c r="K113" s="78" t="n"/>
      <c r="L113" s="78" t="n"/>
      <c r="M113" s="78" t="n"/>
      <c r="N113" s="79" t="n"/>
      <c r="O113" s="77" t="n"/>
      <c r="P113" s="77" t="n"/>
      <c r="AF113" s="61" t="inlineStr">
        <is>
          <t>51-05 | 폐합성수지류</t>
        </is>
      </c>
      <c r="AG113" s="61" t="inlineStr">
        <is>
          <t>51-05-05 | 폐PS</t>
        </is>
      </c>
    </row>
    <row r="114" ht="20.25" customHeight="1" s="60">
      <c r="B114" s="79" t="n"/>
      <c r="C114" s="76" t="n"/>
      <c r="D114" s="78" t="n"/>
      <c r="E114" s="78" t="n"/>
      <c r="F114" s="79" t="n"/>
      <c r="G114" s="79" t="n"/>
      <c r="H114" s="79" t="n"/>
      <c r="I114" s="79" t="n"/>
      <c r="J114" s="78" t="n"/>
      <c r="K114" s="78" t="n"/>
      <c r="L114" s="78" t="n"/>
      <c r="M114" s="78" t="n"/>
      <c r="N114" s="79" t="n"/>
      <c r="O114" s="77" t="n"/>
      <c r="P114" s="77" t="n"/>
      <c r="AF114" s="61" t="inlineStr">
        <is>
          <t>51-05 | 폐합성수지류</t>
        </is>
      </c>
      <c r="AG114" s="61" t="inlineStr">
        <is>
          <t>51-05-06 | 폐ABS수지</t>
        </is>
      </c>
    </row>
    <row r="115" ht="20.25" customHeight="1" s="60">
      <c r="B115" s="79" t="n"/>
      <c r="C115" s="76" t="n"/>
      <c r="D115" s="78" t="n"/>
      <c r="E115" s="78" t="n"/>
      <c r="F115" s="79" t="n"/>
      <c r="G115" s="79" t="n"/>
      <c r="H115" s="79" t="n"/>
      <c r="I115" s="79" t="n"/>
      <c r="J115" s="78" t="n"/>
      <c r="K115" s="78" t="n"/>
      <c r="L115" s="78" t="n"/>
      <c r="M115" s="78" t="n"/>
      <c r="N115" s="79" t="n"/>
      <c r="O115" s="77" t="n"/>
      <c r="P115" s="77" t="n"/>
      <c r="AF115" s="61" t="inlineStr">
        <is>
          <t>51-05 | 폐합성수지류</t>
        </is>
      </c>
      <c r="AG115" s="61" t="inlineStr">
        <is>
          <t>51-05-07 | 폐EPS(스티로폼)</t>
        </is>
      </c>
    </row>
    <row r="116" ht="20.25" customHeight="1" s="60">
      <c r="B116" s="79" t="n"/>
      <c r="C116" s="76" t="n"/>
      <c r="D116" s="78" t="n"/>
      <c r="E116" s="78" t="n"/>
      <c r="F116" s="79" t="n"/>
      <c r="G116" s="79" t="n"/>
      <c r="H116" s="79" t="n"/>
      <c r="I116" s="79" t="n"/>
      <c r="J116" s="78" t="n"/>
      <c r="K116" s="78" t="n"/>
      <c r="L116" s="78" t="n"/>
      <c r="M116" s="78" t="n"/>
      <c r="N116" s="79" t="n"/>
      <c r="O116" s="77" t="n"/>
      <c r="P116" s="77" t="n"/>
      <c r="AF116" s="61" t="inlineStr">
        <is>
          <t>51-05 | 폐합성수지류</t>
        </is>
      </c>
      <c r="AG116" s="61" t="inlineStr">
        <is>
          <t>51-05-99 | 그 밖의 폐합성수지류</t>
        </is>
      </c>
    </row>
    <row r="117" ht="20.25" customHeight="1" s="60">
      <c r="B117" s="79" t="n"/>
      <c r="C117" s="76" t="n"/>
      <c r="D117" s="78" t="n"/>
      <c r="E117" s="78" t="n"/>
      <c r="F117" s="79" t="n"/>
      <c r="G117" s="79" t="n"/>
      <c r="H117" s="79" t="n"/>
      <c r="I117" s="79" t="n"/>
      <c r="J117" s="78" t="n"/>
      <c r="K117" s="78" t="n"/>
      <c r="L117" s="78" t="n"/>
      <c r="M117" s="78" t="n"/>
      <c r="N117" s="79" t="n"/>
      <c r="O117" s="77" t="n"/>
      <c r="P117" s="77" t="n"/>
      <c r="AF117" s="61" t="inlineStr">
        <is>
          <t>91-17 | 식물성 잔재물</t>
        </is>
      </c>
      <c r="AG117" s="95" t="inlineStr">
        <is>
          <t>선택안함</t>
        </is>
      </c>
    </row>
    <row r="118" ht="20.25" customHeight="1" s="60">
      <c r="B118" s="79" t="n"/>
      <c r="C118" s="76" t="n"/>
      <c r="D118" s="78" t="n"/>
      <c r="E118" s="78" t="n"/>
      <c r="F118" s="79" t="n"/>
      <c r="G118" s="79" t="n"/>
      <c r="H118" s="79" t="n"/>
      <c r="I118" s="79" t="n"/>
      <c r="J118" s="78" t="n"/>
      <c r="K118" s="78" t="n"/>
      <c r="L118" s="78" t="n"/>
      <c r="M118" s="78" t="n"/>
      <c r="N118" s="79" t="n"/>
      <c r="O118" s="77" t="n"/>
      <c r="P118" s="77" t="n"/>
      <c r="AF118" s="61" t="inlineStr">
        <is>
          <t>91-17 | 식물성 잔재물</t>
        </is>
      </c>
      <c r="AG118" s="61" t="inlineStr">
        <is>
          <t>91-17-01 | 커피찌꺼기</t>
        </is>
      </c>
    </row>
    <row r="119" ht="20.25" customHeight="1" s="60">
      <c r="B119" s="79" t="n"/>
      <c r="C119" s="76" t="n"/>
      <c r="D119" s="78" t="n"/>
      <c r="E119" s="78" t="n"/>
      <c r="F119" s="79" t="n"/>
      <c r="G119" s="79" t="n"/>
      <c r="H119" s="79" t="n"/>
      <c r="I119" s="79" t="n"/>
      <c r="J119" s="78" t="n"/>
      <c r="K119" s="78" t="n"/>
      <c r="L119" s="78" t="n"/>
      <c r="M119" s="78" t="n"/>
      <c r="N119" s="79" t="n"/>
      <c r="O119" s="77" t="n"/>
      <c r="P119" s="77" t="n"/>
      <c r="AF119" s="61" t="inlineStr">
        <is>
          <t>91-17 | 식물성 잔재물</t>
        </is>
      </c>
      <c r="AG119" s="61" t="inlineStr">
        <is>
          <t>91-17-02 | 버섯폐배지</t>
        </is>
      </c>
    </row>
    <row r="120" ht="20.25" customHeight="1" s="60">
      <c r="B120" s="79" t="n"/>
      <c r="C120" s="76" t="n"/>
      <c r="D120" s="78" t="n"/>
      <c r="E120" s="78" t="n"/>
      <c r="F120" s="79" t="n"/>
      <c r="G120" s="79" t="n"/>
      <c r="H120" s="79" t="n"/>
      <c r="I120" s="79" t="n"/>
      <c r="J120" s="78" t="n"/>
      <c r="K120" s="78" t="n"/>
      <c r="L120" s="78" t="n"/>
      <c r="M120" s="78" t="n"/>
      <c r="N120" s="79" t="n"/>
      <c r="O120" s="77" t="n"/>
      <c r="P120" s="77" t="n"/>
      <c r="AF120" s="61" t="inlineStr">
        <is>
          <t>91-17 | 식물성 잔재물</t>
        </is>
      </c>
      <c r="AG120" s="61" t="inlineStr">
        <is>
          <t>91-17-03 | 그 밖의 식물성 잔재물</t>
        </is>
      </c>
    </row>
    <row r="121" ht="20.25" customHeight="1" s="60">
      <c r="B121" s="79" t="n"/>
      <c r="C121" s="76" t="n"/>
      <c r="D121" s="78" t="n"/>
      <c r="E121" s="78" t="n"/>
      <c r="F121" s="79" t="n"/>
      <c r="G121" s="79" t="n"/>
      <c r="H121" s="79" t="n"/>
      <c r="I121" s="79" t="n"/>
      <c r="J121" s="78" t="n"/>
      <c r="K121" s="78" t="n"/>
      <c r="L121" s="78" t="n"/>
      <c r="M121" s="78" t="n"/>
      <c r="N121" s="79" t="n"/>
      <c r="O121" s="77" t="n"/>
      <c r="P121" s="77" t="n"/>
      <c r="AF121" s="61" t="inlineStr">
        <is>
          <t>03-01 | 광재</t>
        </is>
      </c>
      <c r="AG121" s="95" t="inlineStr">
        <is>
          <t>선택안함</t>
        </is>
      </c>
    </row>
    <row r="122" ht="20.25" customHeight="1" s="60">
      <c r="AF122" s="61" t="inlineStr">
        <is>
          <t>03-01 | 광재</t>
        </is>
      </c>
      <c r="AG122" s="61" t="inlineStr">
        <is>
          <t>03-01-01 | 제강분진</t>
        </is>
      </c>
    </row>
    <row r="123" ht="20.25" customHeight="1" s="60">
      <c r="AF123" s="61" t="inlineStr">
        <is>
          <t>03-01 | 광재</t>
        </is>
      </c>
      <c r="AG123" s="61" t="inlineStr">
        <is>
          <t>03-01-02 | 제강슬래그</t>
        </is>
      </c>
    </row>
    <row r="124" ht="20.25" customHeight="1" s="60">
      <c r="AF124" s="61" t="inlineStr">
        <is>
          <t>03-01 | 광재</t>
        </is>
      </c>
      <c r="AG124" s="61" t="inlineStr">
        <is>
          <t>03-01-03 | 비철금속 제련 광재</t>
        </is>
      </c>
    </row>
    <row r="125" ht="20.25" customHeight="1" s="60">
      <c r="AF125" s="61" t="inlineStr">
        <is>
          <t>03-01 | 광재</t>
        </is>
      </c>
      <c r="AG125" s="61" t="inlineStr">
        <is>
          <t>03-01-99 | 그 밖의 광재</t>
        </is>
      </c>
    </row>
    <row r="126" ht="20.25" customHeight="1" s="60">
      <c r="AF126" s="61" t="inlineStr">
        <is>
          <t>91-18 | 영농폐기물</t>
        </is>
      </c>
      <c r="AG126" s="95" t="inlineStr">
        <is>
          <t>선택안함</t>
        </is>
      </c>
    </row>
    <row r="127" ht="20.25" customHeight="1" s="60">
      <c r="AF127" s="61" t="inlineStr">
        <is>
          <t>91-18 | 영농폐기물</t>
        </is>
      </c>
      <c r="AG127" s="61" t="inlineStr">
        <is>
          <t>91-18-01 | 영농폐기물(농약용기류)</t>
        </is>
      </c>
    </row>
    <row r="128" ht="20.25" customHeight="1" s="60">
      <c r="AF128" s="61" t="inlineStr">
        <is>
          <t>91-18 | 영농폐기물</t>
        </is>
      </c>
      <c r="AG128" s="61" t="inlineStr">
        <is>
          <t>91-18-02 | 영농폐기물(농촌폐비닐)</t>
        </is>
      </c>
    </row>
    <row r="129" ht="20.25" customHeight="1" s="60">
      <c r="AF129" s="61" t="inlineStr">
        <is>
          <t>03-02 | 분진</t>
        </is>
      </c>
      <c r="AG129" s="95" t="inlineStr">
        <is>
          <t>선택안함</t>
        </is>
      </c>
    </row>
    <row r="130" ht="20.25" customHeight="1" s="60">
      <c r="AF130" s="61" t="inlineStr">
        <is>
          <t>03-02 | 분진</t>
        </is>
      </c>
      <c r="AG130" s="61" t="inlineStr">
        <is>
          <t>03-02-01 | 집진분진</t>
        </is>
      </c>
    </row>
    <row r="131" ht="20.25" customHeight="1" s="60">
      <c r="AF131" s="61" t="inlineStr">
        <is>
          <t>03-02 | 분진</t>
        </is>
      </c>
      <c r="AG131" s="61" t="inlineStr">
        <is>
          <t>03-02-02 | 연소분진</t>
        </is>
      </c>
    </row>
    <row r="132" ht="20.25" customHeight="1" s="60">
      <c r="AF132" s="61" t="inlineStr">
        <is>
          <t>03-02 | 분진</t>
        </is>
      </c>
      <c r="AG132" s="61" t="inlineStr">
        <is>
          <t>03-02-99 | 그 밖의 분진</t>
        </is>
      </c>
    </row>
    <row r="133" ht="20.25" customHeight="1" s="60">
      <c r="AF133" s="61" t="inlineStr">
        <is>
          <t>51-06 | 폐금속류</t>
        </is>
      </c>
      <c r="AG133" s="95" t="inlineStr">
        <is>
          <t>선택안함</t>
        </is>
      </c>
    </row>
    <row r="134" ht="20.25" customHeight="1" s="60">
      <c r="AF134" s="61" t="inlineStr">
        <is>
          <t>51-06 | 폐금속류</t>
        </is>
      </c>
      <c r="AG134" s="61" t="inlineStr">
        <is>
          <t>51-06-01 | 폐철류</t>
        </is>
      </c>
    </row>
    <row r="135" ht="20.25" customHeight="1" s="60">
      <c r="AF135" s="61" t="inlineStr">
        <is>
          <t>51-06 | 폐금속류</t>
        </is>
      </c>
      <c r="AG135" s="61" t="inlineStr">
        <is>
          <t>51-06-02 | 폐동류</t>
        </is>
      </c>
    </row>
    <row r="136" ht="20.25" customHeight="1" s="60">
      <c r="AF136" s="61" t="inlineStr">
        <is>
          <t>51-06 | 폐금속류</t>
        </is>
      </c>
      <c r="AG136" s="61" t="inlineStr">
        <is>
          <t>51-06-03 | 폐알루미늄류</t>
        </is>
      </c>
    </row>
    <row r="137" ht="20.25" customHeight="1" s="60">
      <c r="AF137" s="61" t="inlineStr">
        <is>
          <t>51-06 | 폐금속류</t>
        </is>
      </c>
      <c r="AG137" s="61" t="inlineStr">
        <is>
          <t>51-06-04 | 폐납류</t>
        </is>
      </c>
    </row>
    <row r="138" ht="20.25" customHeight="1" s="60">
      <c r="AF138" s="61" t="inlineStr">
        <is>
          <t>51-06 | 폐금속류</t>
        </is>
      </c>
      <c r="AG138" s="61" t="inlineStr">
        <is>
          <t>51-06-05 | 폐아연류</t>
        </is>
      </c>
    </row>
    <row r="139" ht="20.25" customHeight="1" s="60">
      <c r="AF139" s="61" t="inlineStr">
        <is>
          <t>51-06 | 폐금속류</t>
        </is>
      </c>
      <c r="AG139" s="61" t="inlineStr">
        <is>
          <t>51-06-99 | 그 밖의 폐금속류</t>
        </is>
      </c>
    </row>
    <row r="140" ht="20.25" customHeight="1" s="60">
      <c r="AF140" s="61" t="inlineStr">
        <is>
          <t>91-21 | 1회용 컵</t>
        </is>
      </c>
      <c r="AG140" s="95" t="inlineStr">
        <is>
          <t>선택안함</t>
        </is>
      </c>
    </row>
    <row r="141" ht="20.25" customHeight="1" s="60">
      <c r="AF141" s="61" t="inlineStr">
        <is>
          <t>91-21 | 1회용 컵</t>
        </is>
      </c>
      <c r="AG141" s="61" t="inlineStr">
        <is>
          <t>91-21-01 | 종이 컵</t>
        </is>
      </c>
    </row>
    <row r="142" ht="20.25" customHeight="1" s="60">
      <c r="AF142" s="61" t="inlineStr">
        <is>
          <t>91-21 | 1회용 컵</t>
        </is>
      </c>
      <c r="AG142" s="61" t="inlineStr">
        <is>
          <t>91-21-02 | 합성수지 컵</t>
        </is>
      </c>
    </row>
    <row r="143" ht="20.25" customHeight="1" s="60">
      <c r="AF143" s="61" t="inlineStr">
        <is>
          <t>91-21 | 1회용 컵</t>
        </is>
      </c>
      <c r="AG143" s="61" t="inlineStr">
        <is>
          <t>91-21-03 | 금속 컵</t>
        </is>
      </c>
    </row>
    <row r="144" ht="20.25" customHeight="1" s="60">
      <c r="AF144" s="61" t="inlineStr">
        <is>
          <t>03-03 | 폐주물사 및 샌드블라스트 폐사</t>
        </is>
      </c>
      <c r="AG144" s="95" t="inlineStr">
        <is>
          <t>선택안함</t>
        </is>
      </c>
    </row>
    <row r="145" ht="20.25" customHeight="1" s="60">
      <c r="AF145" s="61" t="inlineStr">
        <is>
          <t>03-03 | 폐주물사 및 샌드블라스트 폐사</t>
        </is>
      </c>
      <c r="AG145" s="95" t="inlineStr">
        <is>
          <t>해당없음</t>
        </is>
      </c>
    </row>
    <row r="146" ht="20.25" customHeight="1" s="60">
      <c r="AF146" s="61" t="inlineStr">
        <is>
          <t>03-04 | 폐내화물 및 재벌구이 전 유약 바른 도자기 조각</t>
        </is>
      </c>
      <c r="AG146" s="95" t="inlineStr">
        <is>
          <t>선택안함</t>
        </is>
      </c>
    </row>
    <row r="147" ht="20.25" customHeight="1" s="60">
      <c r="AF147" s="61" t="inlineStr">
        <is>
          <t>03-04 | 폐내화물 및 재벌구이 전 유약 바른 도자기 조각</t>
        </is>
      </c>
      <c r="AG147" s="95" t="inlineStr">
        <is>
          <t>해당없음</t>
        </is>
      </c>
    </row>
    <row r="148" ht="20.25" customHeight="1" s="60">
      <c r="AF148" s="61" t="inlineStr">
        <is>
          <t>03-05 | 소각재</t>
        </is>
      </c>
      <c r="AG148" s="95" t="inlineStr">
        <is>
          <t>선택안함</t>
        </is>
      </c>
    </row>
    <row r="149" ht="20.25" customHeight="1" s="60">
      <c r="AF149" s="61" t="inlineStr">
        <is>
          <t>03-05 | 소각재</t>
        </is>
      </c>
      <c r="AG149" s="61" t="inlineStr">
        <is>
          <t>03-05-01 | 소각바닥재</t>
        </is>
      </c>
    </row>
    <row r="150" ht="20.25" customHeight="1" s="60">
      <c r="AF150" s="61" t="inlineStr">
        <is>
          <t>03-05 | 소각재</t>
        </is>
      </c>
      <c r="AG150" s="61" t="inlineStr">
        <is>
          <t>03-05-02 | 소각비산재</t>
        </is>
      </c>
    </row>
    <row r="151" ht="20.25" customHeight="1" s="60">
      <c r="AF151" s="61" t="inlineStr">
        <is>
          <t>03-05 | 소각재</t>
        </is>
      </c>
      <c r="AG151" s="61" t="inlineStr">
        <is>
          <t>03-05-07 | 천연방사성제품폐기물 소각재</t>
        </is>
      </c>
    </row>
    <row r="152" ht="20.25" customHeight="1" s="60">
      <c r="AF152" s="61" t="inlineStr">
        <is>
          <t>51-07 | 폐유리류</t>
        </is>
      </c>
      <c r="AG152" s="95" t="inlineStr">
        <is>
          <t>선택안함</t>
        </is>
      </c>
    </row>
    <row r="153" ht="20.25" customHeight="1" s="60">
      <c r="AF153" s="61" t="inlineStr">
        <is>
          <t>51-07 | 폐유리류</t>
        </is>
      </c>
      <c r="AG153" s="61" t="inlineStr">
        <is>
          <t>51-07-01 | 폐판유리</t>
        </is>
      </c>
    </row>
    <row r="154" ht="20.25" customHeight="1" s="60">
      <c r="AF154" s="61" t="inlineStr">
        <is>
          <t>51-07 | 폐유리류</t>
        </is>
      </c>
      <c r="AG154" s="61" t="inlineStr">
        <is>
          <t>51-07-02 | 폐병류</t>
        </is>
      </c>
    </row>
    <row r="155" ht="20.25" customHeight="1" s="60">
      <c r="AF155" s="61" t="inlineStr">
        <is>
          <t>51-07 | 폐유리류</t>
        </is>
      </c>
      <c r="AG155" s="61" t="inlineStr">
        <is>
          <t>51-07-99 | 그 밖의 폐유리류</t>
        </is>
      </c>
    </row>
    <row r="156" ht="20.25" customHeight="1" s="60">
      <c r="AF156" s="61" t="inlineStr">
        <is>
          <t>03-06 | 안정화 또는 고형화·고화 처리물</t>
        </is>
      </c>
      <c r="AG156" s="95" t="inlineStr">
        <is>
          <t>선택안함</t>
        </is>
      </c>
    </row>
    <row r="157" ht="20.25" customHeight="1" s="60">
      <c r="AF157" s="61" t="inlineStr">
        <is>
          <t>03-06 | 안정화 또는 고형화·고화 처리물</t>
        </is>
      </c>
      <c r="AG157" s="95" t="inlineStr">
        <is>
          <t>해당없음</t>
        </is>
      </c>
    </row>
    <row r="158" ht="20.25" customHeight="1" s="60">
      <c r="AF158" s="61" t="inlineStr">
        <is>
          <t>03-07 | 폐촉매</t>
        </is>
      </c>
      <c r="AG158" s="95" t="inlineStr">
        <is>
          <t>선택안함</t>
        </is>
      </c>
    </row>
    <row r="159" ht="20.25" customHeight="1" s="60">
      <c r="AF159" s="61" t="inlineStr">
        <is>
          <t>03-07 | 폐촉매</t>
        </is>
      </c>
      <c r="AG159" s="61" t="inlineStr">
        <is>
          <t>03-07-01 | 석유화학공정 폐촉매</t>
        </is>
      </c>
    </row>
    <row r="160" ht="20.25" customHeight="1" s="60">
      <c r="AF160" s="61" t="inlineStr">
        <is>
          <t>03-07 | 폐촉매</t>
        </is>
      </c>
      <c r="AG160" s="61" t="inlineStr">
        <is>
          <t>03-07-02 | 화학공업공정 폐촉매</t>
        </is>
      </c>
    </row>
    <row r="161" ht="20.25" customHeight="1" s="60">
      <c r="AF161" s="61" t="inlineStr">
        <is>
          <t>03-07 | 폐촉매</t>
        </is>
      </c>
      <c r="AG161" s="61" t="inlineStr">
        <is>
          <t>03-07-99 | 그 밖의 폐촉매</t>
        </is>
      </c>
    </row>
    <row r="162" ht="20.25" customHeight="1" s="60">
      <c r="AF162" s="61" t="inlineStr">
        <is>
          <t>51-08 | 폐콘크리트류</t>
        </is>
      </c>
      <c r="AG162" s="95" t="inlineStr">
        <is>
          <t>선택안함</t>
        </is>
      </c>
    </row>
    <row r="163" ht="20.25" customHeight="1" s="60">
      <c r="AF163" s="61" t="inlineStr">
        <is>
          <t>51-08 | 폐콘크리트류</t>
        </is>
      </c>
      <c r="AG163" s="61" t="inlineStr">
        <is>
          <t>51-08-01 | 폐콘크리트</t>
        </is>
      </c>
    </row>
    <row r="164" ht="20.25" customHeight="1" s="60">
      <c r="AF164" s="61" t="inlineStr">
        <is>
          <t>51-08 | 폐콘크리트류</t>
        </is>
      </c>
      <c r="AG164" s="61" t="inlineStr">
        <is>
          <t>51-08-02 | 폐아스콘</t>
        </is>
      </c>
    </row>
    <row r="165" ht="20.25" customHeight="1" s="60">
      <c r="AF165" s="61" t="inlineStr">
        <is>
          <t>51-08 | 폐콘크리트류</t>
        </is>
      </c>
      <c r="AG165" s="61" t="inlineStr">
        <is>
          <t>51-08-99 | 그 밖의 폐콘크리트류</t>
        </is>
      </c>
    </row>
    <row r="166" ht="20.25" customHeight="1" s="60">
      <c r="AF166" s="61" t="inlineStr">
        <is>
          <t>03-08 | 폐흡착제 및 폐흡수제</t>
        </is>
      </c>
      <c r="AG166" s="95" t="inlineStr">
        <is>
          <t>선택안함</t>
        </is>
      </c>
    </row>
    <row r="167" ht="20.25" customHeight="1" s="60">
      <c r="AF167" s="61" t="inlineStr">
        <is>
          <t>03-08 | 폐흡착제 및 폐흡수제</t>
        </is>
      </c>
      <c r="AG167" s="61" t="inlineStr">
        <is>
          <t>03-08-01 | 폐활성탄</t>
        </is>
      </c>
    </row>
    <row r="168" ht="20.25" customHeight="1" s="60">
      <c r="AF168" s="61" t="inlineStr">
        <is>
          <t>03-08 | 폐흡착제 및 폐흡수제</t>
        </is>
      </c>
      <c r="AG168" s="61" t="inlineStr">
        <is>
          <t>03-08-99 | 그 밖의 폐흡착제 및 폐흡수제</t>
        </is>
      </c>
    </row>
    <row r="169" ht="20.25" customHeight="1" s="60">
      <c r="AF169" s="61" t="inlineStr">
        <is>
          <t>51-09 | 폐고무류</t>
        </is>
      </c>
      <c r="AG169" s="95" t="inlineStr">
        <is>
          <t>선택안함</t>
        </is>
      </c>
    </row>
    <row r="170" ht="20.25" customHeight="1" s="60">
      <c r="AF170" s="61" t="inlineStr">
        <is>
          <t>51-09 | 폐고무류</t>
        </is>
      </c>
      <c r="AG170" s="61" t="inlineStr">
        <is>
          <t>51-09-01 | 폐타이어</t>
        </is>
      </c>
    </row>
    <row r="171" ht="20.25" customHeight="1" s="60">
      <c r="AF171" s="61" t="inlineStr">
        <is>
          <t>51-09 | 폐고무류</t>
        </is>
      </c>
      <c r="AG171" s="61" t="inlineStr">
        <is>
          <t>51-09-02 | 폐고무장갑</t>
        </is>
      </c>
    </row>
    <row r="172" ht="20.25" customHeight="1" s="60">
      <c r="AF172" s="61" t="inlineStr">
        <is>
          <t>51-09 | 폐고무류</t>
        </is>
      </c>
      <c r="AG172" s="61" t="inlineStr">
        <is>
          <t>51-09-99 | 그 밖의 폐고무류</t>
        </is>
      </c>
    </row>
    <row r="173" ht="20.25" customHeight="1" s="60">
      <c r="AF173" s="61" t="inlineStr">
        <is>
          <t>04-01 | 할로겐족 폐유기용제</t>
        </is>
      </c>
      <c r="AG173" s="95" t="inlineStr">
        <is>
          <t>선택안함</t>
        </is>
      </c>
    </row>
    <row r="174" ht="20.25" customHeight="1" s="60">
      <c r="AF174" s="61" t="inlineStr">
        <is>
          <t>04-01 | 할로겐족 폐유기용제</t>
        </is>
      </c>
      <c r="AG174" s="61" t="inlineStr">
        <is>
          <t>04-01-01 | 폐사염화탄소</t>
        </is>
      </c>
    </row>
    <row r="175" ht="20.25" customHeight="1" s="60">
      <c r="AF175" s="61" t="inlineStr">
        <is>
          <t>04-01 | 할로겐족 폐유기용제</t>
        </is>
      </c>
      <c r="AG175" s="61" t="inlineStr">
        <is>
          <t>04-01-02 | 폐트리클로로에틸렌</t>
        </is>
      </c>
    </row>
    <row r="176" ht="20.25" customHeight="1" s="60">
      <c r="AF176" s="61" t="inlineStr">
        <is>
          <t>04-01 | 할로겐족 폐유기용제</t>
        </is>
      </c>
      <c r="AG176" s="61" t="inlineStr">
        <is>
          <t>04-01-03 | 폐테트라클로로에틸렌</t>
        </is>
      </c>
    </row>
    <row r="177" ht="20.25" customHeight="1" s="60">
      <c r="AF177" s="61" t="inlineStr">
        <is>
          <t>04-01 | 할로겐족 폐유기용제</t>
        </is>
      </c>
      <c r="AG177" s="61" t="inlineStr">
        <is>
          <t>04-01-99 | 그 밖의 할로겐족 폐유기용제</t>
        </is>
      </c>
    </row>
    <row r="178" ht="20.25" customHeight="1" s="60">
      <c r="AF178" s="61" t="inlineStr">
        <is>
          <t>51-10 | 폐섬유류</t>
        </is>
      </c>
      <c r="AG178" s="95" t="inlineStr">
        <is>
          <t>선택안함</t>
        </is>
      </c>
    </row>
    <row r="179" ht="20.25" customHeight="1" s="60">
      <c r="AF179" s="61" t="inlineStr">
        <is>
          <t>51-10 | 폐섬유류</t>
        </is>
      </c>
      <c r="AG179" s="61" t="inlineStr">
        <is>
          <t>51-10-01 | 폐의류</t>
        </is>
      </c>
    </row>
    <row r="180" ht="20.25" customHeight="1" s="60">
      <c r="AF180" s="61" t="inlineStr">
        <is>
          <t>51-10 | 폐섬유류</t>
        </is>
      </c>
      <c r="AG180" s="61" t="inlineStr">
        <is>
          <t>51-10-02 | 폐원단</t>
        </is>
      </c>
    </row>
    <row r="181" ht="20.25" customHeight="1" s="60">
      <c r="AF181" s="61" t="inlineStr">
        <is>
          <t>51-10 | 폐섬유류</t>
        </is>
      </c>
      <c r="AG181" s="61" t="inlineStr">
        <is>
          <t>51-10-99 | 그 밖의 폐섬유류</t>
        </is>
      </c>
    </row>
    <row r="182" ht="20.25" customHeight="1" s="60">
      <c r="AF182" s="61" t="inlineStr">
        <is>
          <t>51-11 | 폐토사류</t>
        </is>
      </c>
      <c r="AG182" s="95" t="inlineStr">
        <is>
          <t>선택안함</t>
        </is>
      </c>
    </row>
    <row r="183" ht="20.25" customHeight="1" s="60">
      <c r="AF183" s="61" t="inlineStr">
        <is>
          <t>51-11 | 폐토사류</t>
        </is>
      </c>
      <c r="AG183" s="61" t="inlineStr">
        <is>
          <t>51-11-01 | 건설공사 폐토사</t>
        </is>
      </c>
    </row>
    <row r="184" ht="20.25" customHeight="1" s="60">
      <c r="AF184" s="61" t="inlineStr">
        <is>
          <t>51-11 | 폐토사류</t>
        </is>
      </c>
      <c r="AG184" s="61" t="inlineStr">
        <is>
          <t>51-11-02 | 준설토</t>
        </is>
      </c>
    </row>
    <row r="185" ht="20.25" customHeight="1" s="60">
      <c r="AF185" s="61" t="inlineStr">
        <is>
          <t>51-11 | 폐토사류</t>
        </is>
      </c>
      <c r="AG185" s="61" t="inlineStr">
        <is>
          <t>51-11-99 | 그 밖의 폐토사류</t>
        </is>
      </c>
    </row>
    <row r="186" ht="20.25" customHeight="1" s="60">
      <c r="AF186" s="61" t="inlineStr">
        <is>
          <t>04-02 | 그 밖의 폐유기용제</t>
        </is>
      </c>
      <c r="AG186" s="95" t="inlineStr">
        <is>
          <t>선택안함</t>
        </is>
      </c>
    </row>
    <row r="187" ht="20.25" customHeight="1" s="60">
      <c r="AF187" s="61" t="inlineStr">
        <is>
          <t>04-02 | 그 밖의 폐유기용제</t>
        </is>
      </c>
      <c r="AG187" s="61" t="inlineStr">
        <is>
          <t>04-02-01 | 폐아세톤</t>
        </is>
      </c>
    </row>
    <row r="188" ht="20.25" customHeight="1" s="60">
      <c r="AF188" s="61" t="inlineStr">
        <is>
          <t>04-02 | 그 밖의 폐유기용제</t>
        </is>
      </c>
      <c r="AG188" s="61" t="inlineStr">
        <is>
          <t>04-02-02 | 폐메탄올</t>
        </is>
      </c>
    </row>
    <row r="189" ht="20.25" customHeight="1" s="60">
      <c r="AF189" s="61" t="inlineStr">
        <is>
          <t>04-02 | 그 밖의 폐유기용제</t>
        </is>
      </c>
      <c r="AG189" s="61" t="inlineStr">
        <is>
          <t>04-02-03 | 폐에탄올</t>
        </is>
      </c>
    </row>
    <row r="190" ht="20.25" customHeight="1" s="60">
      <c r="AF190" s="61" t="inlineStr">
        <is>
          <t>04-02 | 그 밖의 폐유기용제</t>
        </is>
      </c>
      <c r="AG190" s="61" t="inlineStr">
        <is>
          <t>04-02-04 | 폐부탄올</t>
        </is>
      </c>
    </row>
    <row r="191" ht="20.25" customHeight="1" s="60">
      <c r="AF191" s="61" t="inlineStr">
        <is>
          <t>04-02 | 그 밖의 폐유기용제</t>
        </is>
      </c>
      <c r="AG191" s="61" t="inlineStr">
        <is>
          <t>04-02-05 | 폐크실렌</t>
        </is>
      </c>
    </row>
    <row r="192" ht="20.25" customHeight="1" s="60">
      <c r="AF192" s="61" t="inlineStr">
        <is>
          <t>04-02 | 그 밖의 폐유기용제</t>
        </is>
      </c>
      <c r="AG192" s="61" t="inlineStr">
        <is>
          <t>04-02-06 | 폐톨루엔</t>
        </is>
      </c>
    </row>
    <row r="193" ht="20.25" customHeight="1" s="60">
      <c r="AF193" s="61" t="inlineStr">
        <is>
          <t>04-02 | 그 밖의 폐유기용제</t>
        </is>
      </c>
      <c r="AG193" s="61" t="inlineStr">
        <is>
          <t>04-02-07 | 폐벤젠</t>
        </is>
      </c>
    </row>
    <row r="194" ht="20.25" customHeight="1" s="60">
      <c r="AF194" s="61" t="inlineStr">
        <is>
          <t>04-02 | 그 밖의 폐유기용제</t>
        </is>
      </c>
      <c r="AG194" s="61" t="inlineStr">
        <is>
          <t>04-02-99 | 그 밖의 폐유기용제</t>
        </is>
      </c>
    </row>
    <row r="195" ht="20.25" customHeight="1" s="60">
      <c r="AF195" s="61" t="inlineStr">
        <is>
          <t>51-12 | 광재·분진·소각재류</t>
        </is>
      </c>
      <c r="AG195" s="95" t="inlineStr">
        <is>
          <t>선택안함</t>
        </is>
      </c>
    </row>
    <row r="196" ht="20.25" customHeight="1" s="60">
      <c r="AF196" s="61" t="inlineStr">
        <is>
          <t>51-12 | 광재·분진·소각재류</t>
        </is>
      </c>
      <c r="AG196" s="61" t="inlineStr">
        <is>
          <t>51-12-01 | 광재(비지정)</t>
        </is>
      </c>
    </row>
    <row r="197" ht="20.25" customHeight="1" s="60">
      <c r="AF197" s="61" t="inlineStr">
        <is>
          <t>51-12 | 광재·분진·소각재류</t>
        </is>
      </c>
      <c r="AG197" s="61" t="inlineStr">
        <is>
          <t>51-12-02 | 분진(비지정)</t>
        </is>
      </c>
    </row>
    <row r="198" ht="20.25" customHeight="1" s="60">
      <c r="AF198" s="61" t="inlineStr">
        <is>
          <t>51-12 | 광재·분진·소각재류</t>
        </is>
      </c>
      <c r="AG198" s="61" t="inlineStr">
        <is>
          <t>51-12-03 | 소각재(비지정)</t>
        </is>
      </c>
    </row>
    <row r="199" ht="20.25" customHeight="1" s="60">
      <c r="AF199" s="61" t="inlineStr">
        <is>
          <t>51-12 | 광재·분진·소각재류</t>
        </is>
      </c>
      <c r="AG199" s="61" t="inlineStr">
        <is>
          <t>51-12-04 | 비산재</t>
        </is>
      </c>
    </row>
    <row r="200" ht="20.25" customHeight="1" s="60">
      <c r="AF200" s="61" t="inlineStr">
        <is>
          <t>51-13 | 폐촉매류</t>
        </is>
      </c>
      <c r="AG200" s="95" t="inlineStr">
        <is>
          <t>선택안함</t>
        </is>
      </c>
    </row>
    <row r="201" ht="20.25" customHeight="1" s="60">
      <c r="AF201" s="61" t="inlineStr">
        <is>
          <t>51-13 | 폐촉매류</t>
        </is>
      </c>
      <c r="AG201" s="61" t="inlineStr">
        <is>
          <t>51-13-01 | 석유화학공정 폐촉매(비지정)</t>
        </is>
      </c>
    </row>
    <row r="202" ht="20.25" customHeight="1" s="60">
      <c r="AF202" s="61" t="inlineStr">
        <is>
          <t>51-13 | 폐촉매류</t>
        </is>
      </c>
      <c r="AG202" s="61" t="inlineStr">
        <is>
          <t>51-13-99 | 그 밖의 폐촉매류</t>
        </is>
      </c>
    </row>
    <row r="203" ht="20.25" customHeight="1" s="60">
      <c r="AF203" s="61" t="inlineStr">
        <is>
          <t>05-01 | 폐페인트 및 폐래커</t>
        </is>
      </c>
      <c r="AG203" s="95" t="inlineStr">
        <is>
          <t>선택안함</t>
        </is>
      </c>
    </row>
    <row r="204" ht="20.25" customHeight="1" s="60">
      <c r="AF204" s="61" t="inlineStr">
        <is>
          <t>05-01 | 폐페인트 및 폐래커</t>
        </is>
      </c>
      <c r="AG204" s="61" t="inlineStr">
        <is>
          <t>05-01-01 | 폐페인트</t>
        </is>
      </c>
    </row>
    <row r="205" ht="20.25" customHeight="1" s="60">
      <c r="AF205" s="61" t="inlineStr">
        <is>
          <t>05-01 | 폐페인트 및 폐래커</t>
        </is>
      </c>
      <c r="AG205" s="61" t="inlineStr">
        <is>
          <t>05-01-02 | 폐래커</t>
        </is>
      </c>
    </row>
    <row r="206" ht="20.25" customHeight="1" s="60">
      <c r="AF206" s="61" t="inlineStr">
        <is>
          <t>05-01 | 폐페인트 및 폐래커</t>
        </is>
      </c>
      <c r="AG206" s="61" t="inlineStr">
        <is>
          <t>05-01-99 | 그 밖의 폐페인트 및 폐래커</t>
        </is>
      </c>
    </row>
    <row r="207" ht="20.25" customHeight="1" s="60">
      <c r="AF207" s="61" t="inlineStr">
        <is>
          <t>51-14 | 폐전지류</t>
        </is>
      </c>
      <c r="AG207" s="95" t="inlineStr">
        <is>
          <t>선택안함</t>
        </is>
      </c>
    </row>
    <row r="208" ht="20.25" customHeight="1" s="60">
      <c r="AF208" s="61" t="inlineStr">
        <is>
          <t>51-14 | 폐전지류</t>
        </is>
      </c>
      <c r="AG208" s="61" t="inlineStr">
        <is>
          <t>51-14-01 | 폐납축전지</t>
        </is>
      </c>
    </row>
    <row r="209" ht="20.25" customHeight="1" s="60">
      <c r="AF209" s="61" t="inlineStr">
        <is>
          <t>51-14 | 폐전지류</t>
        </is>
      </c>
      <c r="AG209" s="61" t="inlineStr">
        <is>
          <t>51-14-02 | 폐니켈카드뮴전지</t>
        </is>
      </c>
    </row>
    <row r="210" ht="20.25" customHeight="1" s="60">
      <c r="AF210" s="61" t="inlineStr">
        <is>
          <t>51-14 | 폐전지류</t>
        </is>
      </c>
      <c r="AG210" s="61" t="inlineStr">
        <is>
          <t>51-14-03 | 폐니켈수소전지</t>
        </is>
      </c>
    </row>
    <row r="211" ht="20.25" customHeight="1" s="60">
      <c r="AF211" s="61" t="inlineStr">
        <is>
          <t>51-14 | 폐전지류</t>
        </is>
      </c>
      <c r="AG211" s="61" t="inlineStr">
        <is>
          <t>51-14-04 | 폐리튬이온전지</t>
        </is>
      </c>
    </row>
    <row r="212" ht="20.25" customHeight="1" s="60">
      <c r="AF212" s="61" t="inlineStr">
        <is>
          <t>51-14 | 폐전지류</t>
        </is>
      </c>
      <c r="AG212" s="61" t="inlineStr">
        <is>
          <t>51-14-05 | 폐알칼리망간전지</t>
        </is>
      </c>
    </row>
    <row r="213" ht="20.25" customHeight="1" s="60">
      <c r="AF213" s="61" t="inlineStr">
        <is>
          <t>51-14 | 폐전지류</t>
        </is>
      </c>
      <c r="AG213" s="61" t="inlineStr">
        <is>
          <t>51-14-99 | 그 밖의 폐전지류</t>
        </is>
      </c>
    </row>
    <row r="214" ht="20.25" customHeight="1" s="60">
      <c r="AF214" s="61" t="inlineStr">
        <is>
          <t>06-01 | 폐윤활유</t>
        </is>
      </c>
      <c r="AG214" s="95" t="inlineStr">
        <is>
          <t>선택안함</t>
        </is>
      </c>
    </row>
    <row r="215" ht="20.25" customHeight="1" s="60">
      <c r="AF215" s="61" t="inlineStr">
        <is>
          <t>06-01 | 폐윤활유</t>
        </is>
      </c>
      <c r="AG215" s="61" t="inlineStr">
        <is>
          <t>06-01-01 | 폐엔진오일</t>
        </is>
      </c>
    </row>
    <row r="216" ht="20.25" customHeight="1" s="60">
      <c r="AF216" s="61" t="inlineStr">
        <is>
          <t>06-01 | 폐윤활유</t>
        </is>
      </c>
      <c r="AG216" s="61" t="inlineStr">
        <is>
          <t>06-01-02 | 폐기어오일</t>
        </is>
      </c>
    </row>
    <row r="217" ht="20.25" customHeight="1" s="60">
      <c r="AF217" s="61" t="inlineStr">
        <is>
          <t>06-01 | 폐윤활유</t>
        </is>
      </c>
      <c r="AG217" s="61" t="inlineStr">
        <is>
          <t>06-01-03 | 폐절삭유</t>
        </is>
      </c>
    </row>
    <row r="218" ht="20.25" customHeight="1" s="60">
      <c r="AF218" s="61" t="inlineStr">
        <is>
          <t>06-01 | 폐윤활유</t>
        </is>
      </c>
      <c r="AG218" s="61" t="inlineStr">
        <is>
          <t>06-01-99 | 그 밖의 폐윤활유</t>
        </is>
      </c>
    </row>
    <row r="219" ht="20.25" customHeight="1" s="60">
      <c r="AF219" s="61" t="inlineStr">
        <is>
          <t>51-15 | 폐형광등류</t>
        </is>
      </c>
      <c r="AG219" s="95" t="inlineStr">
        <is>
          <t>선택안함</t>
        </is>
      </c>
    </row>
    <row r="220" ht="20.25" customHeight="1" s="60">
      <c r="AF220" s="61" t="inlineStr">
        <is>
          <t>51-15 | 폐형광등류</t>
        </is>
      </c>
      <c r="AG220" s="61" t="inlineStr">
        <is>
          <t>51-15-01 | 직관형 폐형광등</t>
        </is>
      </c>
    </row>
    <row r="221" ht="20.25" customHeight="1" s="60">
      <c r="AF221" s="61" t="inlineStr">
        <is>
          <t>51-15 | 폐형광등류</t>
        </is>
      </c>
      <c r="AG221" s="61" t="inlineStr">
        <is>
          <t>51-15-02 | 컴팩트형 폐형광등</t>
        </is>
      </c>
    </row>
    <row r="222" ht="20.25" customHeight="1" s="60">
      <c r="AF222" s="61" t="inlineStr">
        <is>
          <t>51-15 | 폐형광등류</t>
        </is>
      </c>
      <c r="AG222" s="61" t="inlineStr">
        <is>
          <t>51-15-99 | 그 밖의 폐형광등류</t>
        </is>
      </c>
    </row>
    <row r="223" ht="20.25" customHeight="1" s="60">
      <c r="AF223" s="61" t="inlineStr">
        <is>
          <t>06-02 | 폐변압기유</t>
        </is>
      </c>
      <c r="AG223" s="95" t="inlineStr">
        <is>
          <t>선택안함</t>
        </is>
      </c>
    </row>
    <row r="224" ht="20.25" customHeight="1" s="60">
      <c r="AF224" s="61" t="inlineStr">
        <is>
          <t>06-02 | 폐변압기유</t>
        </is>
      </c>
      <c r="AG224" s="95" t="inlineStr">
        <is>
          <t>해당없음</t>
        </is>
      </c>
    </row>
    <row r="225" ht="20.25" customHeight="1" s="60">
      <c r="AF225" s="61" t="inlineStr">
        <is>
          <t>06-03 | 폐절연유</t>
        </is>
      </c>
      <c r="AG225" s="95" t="inlineStr">
        <is>
          <t>선택안함</t>
        </is>
      </c>
    </row>
    <row r="226" ht="20.25" customHeight="1" s="60">
      <c r="AF226" s="61" t="inlineStr">
        <is>
          <t>06-03 | 폐절연유</t>
        </is>
      </c>
      <c r="AG226" s="95" t="inlineStr">
        <is>
          <t>해당없음</t>
        </is>
      </c>
    </row>
    <row r="227" ht="20.25" customHeight="1" s="60">
      <c r="AF227" s="61" t="inlineStr">
        <is>
          <t>06-04 | 폐세척유</t>
        </is>
      </c>
      <c r="AG227" s="95" t="inlineStr">
        <is>
          <t>선택안함</t>
        </is>
      </c>
    </row>
    <row r="228" ht="20.25" customHeight="1" s="60">
      <c r="AF228" s="61" t="inlineStr">
        <is>
          <t>06-04 | 폐세척유</t>
        </is>
      </c>
      <c r="AG228" s="95" t="inlineStr">
        <is>
          <t>해당없음</t>
        </is>
      </c>
    </row>
    <row r="229" ht="20.25" customHeight="1" s="60">
      <c r="AF229" s="61" t="inlineStr">
        <is>
          <t>51-16 | 폐의약품류</t>
        </is>
      </c>
      <c r="AG229" s="95" t="inlineStr">
        <is>
          <t>선택안함</t>
        </is>
      </c>
    </row>
    <row r="230" ht="20.25" customHeight="1" s="60">
      <c r="AF230" s="61" t="inlineStr">
        <is>
          <t>51-16 | 폐의약품류</t>
        </is>
      </c>
      <c r="AG230" s="61" t="inlineStr">
        <is>
          <t>51-16-01 | 폐의약품</t>
        </is>
      </c>
    </row>
    <row r="231" ht="20.25" customHeight="1" s="60">
      <c r="AF231" s="61" t="inlineStr">
        <is>
          <t>51-16 | 폐의약품류</t>
        </is>
      </c>
      <c r="AG231" s="61" t="inlineStr">
        <is>
          <t>51-16-02 | 폐항암제</t>
        </is>
      </c>
    </row>
    <row r="232" ht="20.25" customHeight="1" s="60">
      <c r="AF232" s="61" t="inlineStr">
        <is>
          <t>51-16 | 폐의약품류</t>
        </is>
      </c>
      <c r="AG232" s="61" t="inlineStr">
        <is>
          <t>51-16-99 | 그 밖의 폐의약품류</t>
        </is>
      </c>
    </row>
    <row r="233" ht="20.25" customHeight="1" s="60">
      <c r="AF233" s="61" t="inlineStr">
        <is>
          <t>06-05 | 폐연료유</t>
        </is>
      </c>
      <c r="AG233" s="95" t="inlineStr">
        <is>
          <t>선택안함</t>
        </is>
      </c>
    </row>
    <row r="234" ht="20.25" customHeight="1" s="60">
      <c r="AF234" s="61" t="inlineStr">
        <is>
          <t>06-05 | 폐연료유</t>
        </is>
      </c>
      <c r="AG234" s="61" t="inlineStr">
        <is>
          <t>06-05-01 | 폐디젤유</t>
        </is>
      </c>
    </row>
    <row r="235" ht="20.25" customHeight="1" s="60">
      <c r="AF235" s="61" t="inlineStr">
        <is>
          <t>06-05 | 폐연료유</t>
        </is>
      </c>
      <c r="AG235" s="61" t="inlineStr">
        <is>
          <t>06-05-02 | 폐등유</t>
        </is>
      </c>
    </row>
    <row r="236" ht="20.25" customHeight="1" s="60">
      <c r="AF236" s="61" t="inlineStr">
        <is>
          <t>06-05 | 폐연료유</t>
        </is>
      </c>
      <c r="AG236" s="61" t="inlineStr">
        <is>
          <t>06-05-99 | 그 밖의 폐연료유</t>
        </is>
      </c>
    </row>
    <row r="237" ht="20.25" customHeight="1" s="60">
      <c r="AF237" s="61" t="inlineStr">
        <is>
          <t>51-17 | 폐화학약품류</t>
        </is>
      </c>
      <c r="AG237" s="95" t="inlineStr">
        <is>
          <t>선택안함</t>
        </is>
      </c>
    </row>
    <row r="238" ht="20.25" customHeight="1" s="60">
      <c r="AF238" s="61" t="inlineStr">
        <is>
          <t>51-17 | 폐화학약품류</t>
        </is>
      </c>
      <c r="AG238" s="61" t="inlineStr">
        <is>
          <t>51-17-01 | 폐현상액</t>
        </is>
      </c>
    </row>
    <row r="239" ht="20.25" customHeight="1" s="60">
      <c r="AF239" s="61" t="inlineStr">
        <is>
          <t>51-17 | 폐화학약품류</t>
        </is>
      </c>
      <c r="AG239" s="61" t="inlineStr">
        <is>
          <t>51-17-02 | 폐정착액</t>
        </is>
      </c>
    </row>
    <row r="240" ht="20.25" customHeight="1" s="60">
      <c r="AF240" s="61" t="inlineStr">
        <is>
          <t>51-17 | 폐화학약품류</t>
        </is>
      </c>
      <c r="AG240" s="61" t="inlineStr">
        <is>
          <t>51-17-99 | 그 밖의 폐화학약품류</t>
        </is>
      </c>
    </row>
    <row r="241" ht="20.25" customHeight="1" s="60">
      <c r="AF241" s="61" t="inlineStr">
        <is>
          <t>06-99 | 그 밖의 폐유</t>
        </is>
      </c>
      <c r="AG241" s="95" t="inlineStr">
        <is>
          <t>선택안함</t>
        </is>
      </c>
    </row>
    <row r="242" ht="20.25" customHeight="1" s="60">
      <c r="AF242" s="61" t="inlineStr">
        <is>
          <t>06-99 | 그 밖의 폐유</t>
        </is>
      </c>
      <c r="AG242" s="95" t="inlineStr">
        <is>
          <t>해당없음</t>
        </is>
      </c>
    </row>
    <row r="243" ht="20.25" customHeight="1" s="60">
      <c r="AF243" s="61" t="inlineStr">
        <is>
          <t>07-01 | 건축자재 해체 시 발생 폐석면</t>
        </is>
      </c>
      <c r="AG243" s="95" t="inlineStr">
        <is>
          <t>선택안함</t>
        </is>
      </c>
    </row>
    <row r="244" ht="20.25" customHeight="1" s="60">
      <c r="AF244" s="61" t="inlineStr">
        <is>
          <t>07-01 | 건축자재 해체 시 발생 폐석면</t>
        </is>
      </c>
      <c r="AG244" s="95" t="inlineStr">
        <is>
          <t>해당없음</t>
        </is>
      </c>
    </row>
    <row r="245" ht="20.25" customHeight="1" s="60">
      <c r="AF245" s="61" t="inlineStr">
        <is>
          <t>07-02 | 슬레이트 등 연마·절단·가공 폐석면</t>
        </is>
      </c>
      <c r="AG245" s="95" t="inlineStr">
        <is>
          <t>선택안함</t>
        </is>
      </c>
    </row>
    <row r="246" ht="20.25" customHeight="1" s="60">
      <c r="AF246" s="61" t="inlineStr">
        <is>
          <t>07-02 | 슬레이트 등 연마·절단·가공 폐석면</t>
        </is>
      </c>
      <c r="AG246" s="95" t="inlineStr">
        <is>
          <t>해당없음</t>
        </is>
      </c>
    </row>
    <row r="247" ht="20.25" customHeight="1" s="60">
      <c r="AF247" s="61" t="inlineStr">
        <is>
          <t>51-18 | 폐전기전자제품류</t>
        </is>
      </c>
      <c r="AG247" s="95" t="inlineStr">
        <is>
          <t>선택안함</t>
        </is>
      </c>
    </row>
    <row r="248" ht="20.25" customHeight="1" s="60">
      <c r="AF248" s="61" t="inlineStr">
        <is>
          <t>51-18 | 폐전기전자제품류</t>
        </is>
      </c>
      <c r="AG248" s="61" t="inlineStr">
        <is>
          <t>51-18-01 | 폐가전제품</t>
        </is>
      </c>
    </row>
    <row r="249" ht="20.25" customHeight="1" s="60">
      <c r="AF249" s="61" t="inlineStr">
        <is>
          <t>51-18 | 폐전기전자제품류</t>
        </is>
      </c>
      <c r="AG249" s="61" t="inlineStr">
        <is>
          <t>51-18-02 | 산업용폐전기전자제품</t>
        </is>
      </c>
    </row>
    <row r="250" ht="20.25" customHeight="1" s="60">
      <c r="AF250" s="61" t="inlineStr">
        <is>
          <t>51-18 | 폐전기전자제품류</t>
        </is>
      </c>
      <c r="AG250" s="61" t="inlineStr">
        <is>
          <t>51-18-03 | 프린트토너 및 카트리지폐부속품</t>
        </is>
      </c>
    </row>
    <row r="251" ht="20.25" customHeight="1" s="60">
      <c r="AF251" s="61" t="inlineStr">
        <is>
          <t>51-18 | 폐전기전자제품류</t>
        </is>
      </c>
      <c r="AG251" s="61" t="inlineStr">
        <is>
          <t>51-18-99 | 그 밖의 폐전기전자제품류</t>
        </is>
      </c>
    </row>
    <row r="252" ht="20.25" customHeight="1" s="60">
      <c r="AF252" s="61" t="inlineStr">
        <is>
          <t>08-01 | 폐변압기</t>
        </is>
      </c>
      <c r="AG252" s="95" t="inlineStr">
        <is>
          <t>선택안함</t>
        </is>
      </c>
    </row>
    <row r="253" ht="20.25" customHeight="1" s="60">
      <c r="AF253" s="61" t="inlineStr">
        <is>
          <t>08-01 | 폐변압기</t>
        </is>
      </c>
      <c r="AG253" s="95" t="inlineStr">
        <is>
          <t>해당없음</t>
        </is>
      </c>
    </row>
    <row r="254" ht="20.25" customHeight="1" s="60">
      <c r="AF254" s="61" t="inlineStr">
        <is>
          <t>08-02 | 폐축전기</t>
        </is>
      </c>
      <c r="AG254" s="95" t="inlineStr">
        <is>
          <t>선택안함</t>
        </is>
      </c>
    </row>
    <row r="255" ht="20.25" customHeight="1" s="60">
      <c r="AF255" s="61" t="inlineStr">
        <is>
          <t>08-02 | 폐축전기</t>
        </is>
      </c>
      <c r="AG255" s="95" t="inlineStr">
        <is>
          <t>해당없음</t>
        </is>
      </c>
    </row>
    <row r="256" ht="20.25" customHeight="1" s="60">
      <c r="AF256" s="61" t="inlineStr">
        <is>
          <t>08-03 | PCBs 함유 폐기물</t>
        </is>
      </c>
      <c r="AG256" s="95" t="inlineStr">
        <is>
          <t>선택안함</t>
        </is>
      </c>
    </row>
    <row r="257" ht="20.25" customHeight="1" s="60">
      <c r="AF257" s="61" t="inlineStr">
        <is>
          <t>08-03 | PCBs 함유 폐기물</t>
        </is>
      </c>
      <c r="AG257" s="95" t="inlineStr">
        <is>
          <t>해당없음</t>
        </is>
      </c>
    </row>
    <row r="258" ht="20.25" customHeight="1" s="60">
      <c r="AF258" s="61" t="inlineStr">
        <is>
          <t>09-01 | 격리의료폐기물</t>
        </is>
      </c>
      <c r="AG258" s="95" t="inlineStr">
        <is>
          <t>선택안함</t>
        </is>
      </c>
    </row>
    <row r="259" ht="20.25" customHeight="1" s="60">
      <c r="AF259" s="61" t="inlineStr">
        <is>
          <t>09-01 | 격리의료폐기물</t>
        </is>
      </c>
      <c r="AG259" s="95" t="inlineStr">
        <is>
          <t>해당없음</t>
        </is>
      </c>
    </row>
    <row r="260" ht="20.25" customHeight="1" s="60">
      <c r="AF260" s="61" t="inlineStr">
        <is>
          <t>51-20 | 폐목재류(원목의 용도 그대로 사용하는 나무뿌리·가지 등을 제거한 원줄기는 제외)</t>
        </is>
      </c>
      <c r="AG260" s="95" t="inlineStr">
        <is>
          <t>선택안함</t>
        </is>
      </c>
    </row>
    <row r="261" ht="20.25" customHeight="1" s="60">
      <c r="AF261" s="61" t="inlineStr">
        <is>
          <t>51-20 | 폐목재류(원목의 용도 그대로 사용하는 나무뿌리·가지 등을 제거한 원줄기는 제외)</t>
        </is>
      </c>
      <c r="AG261" s="61" t="inlineStr">
        <is>
          <t>51-20-21 | 임목폐목재(건설공사, 산지개간 등의 과정에서 발생된 나무뿌리·가지·줄기 등)</t>
        </is>
      </c>
    </row>
    <row r="262" ht="20.25" customHeight="1" s="60">
      <c r="AF262" s="61" t="inlineStr">
        <is>
          <t>51-20 | 폐목재류(원목의 용도 그대로 사용하는 나무뿌리·가지 등을 제거한 원줄기는 제외)</t>
        </is>
      </c>
      <c r="AG262" s="61" t="inlineStr">
        <is>
          <t>51-20-22 | 재재부산물(원목 가공과정에서 발생되는 나무 껍질·톱밥·대패밥 등)</t>
        </is>
      </c>
    </row>
    <row r="263" ht="20.25" customHeight="1" s="60">
      <c r="AF263" s="61" t="inlineStr">
        <is>
          <t>51-20 | 폐목재류(원목의 용도 그대로 사용하는 나무뿌리·가지 등을 제거한 원줄기는 제외)</t>
        </is>
      </c>
      <c r="AG263" s="61" t="inlineStr">
        <is>
          <t>51-20-23 | 폐가구류·폐도장목·폐목재 포장재·폐전선드럼·건설현장 폐목재</t>
        </is>
      </c>
    </row>
    <row r="264" ht="20.25" customHeight="1" s="60">
      <c r="AF264" s="61" t="inlineStr">
        <is>
          <t>51-20 | 폐목재류(원목의 용도 그대로 사용하는 나무뿌리·가지 등을 제거한 원줄기는 제외)</t>
        </is>
      </c>
      <c r="AG264" s="61" t="inlineStr">
        <is>
          <t>51-20-24 | 접착제·페인트·기름·콘크리트 등의 물질이 사용된 폐목재(목재부산물 및 분진 포함)</t>
        </is>
      </c>
    </row>
    <row r="265" ht="20.25" customHeight="1" s="60">
      <c r="AF265" s="61" t="inlineStr">
        <is>
          <t>51-20 | 폐목재류(원목의 용도 그대로 사용하는 나무뿌리·가지 등을 제거한 원줄기는 제외)</t>
        </is>
      </c>
      <c r="AG265" s="61" t="inlineStr">
        <is>
          <t>51-20-25 | 할로겐족 유기화합물 또는 방부제가 사용된 폐목재(목재부산물 및 분진 포함) 및 건설현장 실외목재구조물 발생 폐목재, 폐선박 및 차량에 사용된 폐목재</t>
        </is>
      </c>
    </row>
    <row r="266" ht="20.25" customHeight="1" s="60">
      <c r="AF266" s="61" t="inlineStr">
        <is>
          <t>09-02 | 위해의료폐기물</t>
        </is>
      </c>
      <c r="AG266" s="95" t="inlineStr">
        <is>
          <t>선택안함</t>
        </is>
      </c>
    </row>
    <row r="267" ht="20.25" customHeight="1" s="60">
      <c r="AF267" s="61" t="inlineStr">
        <is>
          <t>09-02 | 위해의료폐기물</t>
        </is>
      </c>
      <c r="AG267" s="61" t="inlineStr">
        <is>
          <t>09-02-01 | 조직물류폐기물</t>
        </is>
      </c>
    </row>
    <row r="268" ht="20.25" customHeight="1" s="60">
      <c r="AF268" s="61" t="inlineStr">
        <is>
          <t>09-02 | 위해의료폐기물</t>
        </is>
      </c>
      <c r="AG268" s="61" t="inlineStr">
        <is>
          <t>09-02-02 | 병리계폐기물</t>
        </is>
      </c>
    </row>
    <row r="269" ht="20.25" customHeight="1" s="60">
      <c r="AF269" s="61" t="inlineStr">
        <is>
          <t>09-02 | 위해의료폐기물</t>
        </is>
      </c>
      <c r="AG269" s="61" t="inlineStr">
        <is>
          <t>09-02-03 | 손상성폐기물</t>
        </is>
      </c>
    </row>
    <row r="270" ht="20.25" customHeight="1" s="60">
      <c r="AF270" s="61" t="inlineStr">
        <is>
          <t>09-02 | 위해의료폐기물</t>
        </is>
      </c>
      <c r="AG270" s="61" t="inlineStr">
        <is>
          <t>09-02-04 | 생물·화학폐기물</t>
        </is>
      </c>
    </row>
    <row r="271" ht="20.25" customHeight="1" s="60">
      <c r="AF271" s="61" t="inlineStr">
        <is>
          <t>09-02 | 위해의료폐기물</t>
        </is>
      </c>
      <c r="AG271" s="61" t="inlineStr">
        <is>
          <t>09-02-05 | 혈액오염폐기물</t>
        </is>
      </c>
    </row>
    <row r="272" ht="20.25" customHeight="1" s="60">
      <c r="AF272" s="61" t="inlineStr">
        <is>
          <t>51-21 | 음식물류 폐기물</t>
        </is>
      </c>
      <c r="AG272" s="95" t="inlineStr">
        <is>
          <t>선택안함</t>
        </is>
      </c>
    </row>
    <row r="273" ht="20.25" customHeight="1" s="60">
      <c r="AF273" s="61" t="inlineStr">
        <is>
          <t>51-21 | 음식물류 폐기물</t>
        </is>
      </c>
      <c r="AG273" s="61" t="inlineStr">
        <is>
          <t>51-21-01 | 음식물류 폐기물</t>
        </is>
      </c>
    </row>
    <row r="274" ht="20.25" customHeight="1" s="60">
      <c r="AF274" s="61" t="inlineStr">
        <is>
          <t>09-03 | 일반의료폐기물</t>
        </is>
      </c>
      <c r="AG274" s="95" t="inlineStr">
        <is>
          <t>선택안함</t>
        </is>
      </c>
    </row>
    <row r="275" ht="20.25" customHeight="1" s="60">
      <c r="AF275" s="61" t="inlineStr">
        <is>
          <t>09-03 | 일반의료폐기물</t>
        </is>
      </c>
      <c r="AG275" s="95" t="inlineStr">
        <is>
          <t>해당없음</t>
        </is>
      </c>
    </row>
    <row r="276" ht="20.25" customHeight="1" s="60">
      <c r="AF276" s="61" t="inlineStr">
        <is>
          <t>10-01 | 폐리튬전지</t>
        </is>
      </c>
      <c r="AG276" s="95" t="inlineStr">
        <is>
          <t>선택안함</t>
        </is>
      </c>
    </row>
    <row r="277" ht="20.25" customHeight="1" s="60">
      <c r="AF277" s="61" t="inlineStr">
        <is>
          <t>10-01 | 폐리튬전지</t>
        </is>
      </c>
      <c r="AG277" s="95" t="inlineStr">
        <is>
          <t>해당없음</t>
        </is>
      </c>
    </row>
    <row r="278" ht="20.25" customHeight="1" s="60">
      <c r="AF278" s="61" t="inlineStr">
        <is>
          <t>10-02 | 폐태양광패널</t>
        </is>
      </c>
      <c r="AG278" s="95" t="inlineStr">
        <is>
          <t>선택안함</t>
        </is>
      </c>
    </row>
    <row r="279" ht="20.25" customHeight="1" s="60">
      <c r="AF279" s="61" t="inlineStr">
        <is>
          <t>10-02 | 폐태양광패널</t>
        </is>
      </c>
      <c r="AG279" s="95" t="inlineStr">
        <is>
          <t>해당없음</t>
        </is>
      </c>
    </row>
    <row r="280" ht="20.25" customHeight="1" s="60">
      <c r="AF280" s="61" t="inlineStr">
        <is>
          <t>11-01 | 수은함유폐기물</t>
        </is>
      </c>
      <c r="AG280" s="95" t="inlineStr">
        <is>
          <t>선택안함</t>
        </is>
      </c>
    </row>
    <row r="281" ht="20.25" customHeight="1" s="60">
      <c r="AF281" s="61" t="inlineStr">
        <is>
          <t>11-01 | 수은함유폐기물</t>
        </is>
      </c>
      <c r="AG281" s="61" t="inlineStr">
        <is>
          <t>11-01-01 | 수은함유 폐램프</t>
        </is>
      </c>
    </row>
    <row r="282" ht="20.25" customHeight="1" s="60">
      <c r="AF282" s="61" t="inlineStr">
        <is>
          <t>11-01 | 수은함유폐기물</t>
        </is>
      </c>
      <c r="AG282" s="61" t="inlineStr">
        <is>
          <t>11-01-02 | 수은함유 폐계측기기</t>
        </is>
      </c>
    </row>
    <row r="283" ht="20.25" customHeight="1" s="60">
      <c r="AF283" s="61" t="inlineStr">
        <is>
          <t>11-01 | 수은함유폐기물</t>
        </is>
      </c>
      <c r="AG283" s="61" t="inlineStr">
        <is>
          <t>11-01-03 | 수은함유 폐전지</t>
        </is>
      </c>
    </row>
    <row r="284" ht="20.25" customHeight="1" s="60">
      <c r="AF284" s="61" t="inlineStr">
        <is>
          <t>11-01 | 수은함유폐기물</t>
        </is>
      </c>
      <c r="AG284" s="61" t="inlineStr">
        <is>
          <t>11-01-04 | 그 밖에 환경부장관이 고시하는 폐제품</t>
        </is>
      </c>
    </row>
    <row r="285" ht="20.25" customHeight="1" s="60">
      <c r="AF285" s="61" t="inlineStr">
        <is>
          <t>91-15 | 91-15</t>
        </is>
      </c>
      <c r="AG285" s="95" t="inlineStr">
        <is>
          <t>선택안함</t>
        </is>
      </c>
    </row>
    <row r="286" ht="20.25" customHeight="1" s="60">
      <c r="AF286" s="61" t="inlineStr">
        <is>
          <t>91-15 | 91-15</t>
        </is>
      </c>
      <c r="AG286" s="61" t="inlineStr">
        <is>
          <t>91-15-00 | 연탄재</t>
        </is>
      </c>
    </row>
    <row r="287" ht="20.25" customHeight="1" s="60">
      <c r="AF287" s="61" t="inlineStr">
        <is>
          <t>91-16 | 91-16</t>
        </is>
      </c>
      <c r="AG287" s="95" t="inlineStr">
        <is>
          <t>선택안함</t>
        </is>
      </c>
    </row>
    <row r="288" ht="20.25" customHeight="1" s="60">
      <c r="AF288" s="61" t="inlineStr">
        <is>
          <t>91-16 | 91-16</t>
        </is>
      </c>
      <c r="AG288" s="61" t="inlineStr">
        <is>
          <t>91-16-00 | 동물성 잔재물</t>
        </is>
      </c>
    </row>
    <row r="289" ht="20.25" customHeight="1" s="60">
      <c r="AF289" s="61" t="inlineStr">
        <is>
          <t>91-19 | 91-19</t>
        </is>
      </c>
      <c r="AG289" s="95" t="inlineStr">
        <is>
          <t>선택안함</t>
        </is>
      </c>
    </row>
    <row r="290" ht="20.25" customHeight="1" s="60">
      <c r="AF290" s="61" t="inlineStr">
        <is>
          <t>91-19 | 91-19</t>
        </is>
      </c>
      <c r="AG290" s="61" t="inlineStr">
        <is>
          <t>91-19-00 | 폐소화기류</t>
        </is>
      </c>
    </row>
    <row r="291" ht="20.25" customHeight="1" s="60">
      <c r="AF291" s="61" t="inlineStr">
        <is>
          <t>91-20 | 91-20</t>
        </is>
      </c>
      <c r="AG291" s="95" t="inlineStr">
        <is>
          <t>선택안함</t>
        </is>
      </c>
    </row>
    <row r="292" ht="20.25" customHeight="1" s="60">
      <c r="AF292" s="61" t="inlineStr">
        <is>
          <t>91-20 | 91-20</t>
        </is>
      </c>
      <c r="AG292" s="61" t="inlineStr">
        <is>
          <t>91-20-00 | 천연방사성제품생활폐기물</t>
        </is>
      </c>
    </row>
    <row r="293" ht="20.25" customHeight="1" s="60">
      <c r="AF293" s="61" t="inlineStr">
        <is>
          <t>91-99 | 91-99</t>
        </is>
      </c>
      <c r="AG293" s="95" t="inlineStr">
        <is>
          <t>선택안함</t>
        </is>
      </c>
    </row>
    <row r="294" ht="20.25" customHeight="1" s="60">
      <c r="AF294" s="61" t="inlineStr">
        <is>
          <t>91-99 | 91-99</t>
        </is>
      </c>
      <c r="AG294" s="61" t="inlineStr">
        <is>
          <t>91-99-00 | 그 밖의 생활폐기물</t>
        </is>
      </c>
    </row>
    <row r="295" ht="20.25" customHeight="1" s="60">
      <c r="AF295" s="61" t="inlineStr">
        <is>
          <t>51-19 | 51-19</t>
        </is>
      </c>
      <c r="AG295" s="95" t="inlineStr">
        <is>
          <t>선택안함</t>
        </is>
      </c>
    </row>
    <row r="296" ht="20.25" customHeight="1" s="60">
      <c r="AF296" s="61" t="inlineStr">
        <is>
          <t>51-19 | 51-19</t>
        </is>
      </c>
      <c r="AG296" s="61" t="inlineStr">
        <is>
          <t>51-19-00 | 왕겨 및 쌀겨</t>
        </is>
      </c>
    </row>
    <row r="297" ht="20.25" customHeight="1" s="60">
      <c r="AF297" s="61" t="inlineStr">
        <is>
          <t>51-99 | 51-99</t>
        </is>
      </c>
      <c r="AG297" s="95" t="inlineStr">
        <is>
          <t>선택안함</t>
        </is>
      </c>
    </row>
    <row r="298" ht="20.25" customHeight="1" s="60">
      <c r="AF298" s="61" t="inlineStr">
        <is>
          <t>51-99 | 51-99</t>
        </is>
      </c>
      <c r="AG298" s="61" t="inlineStr">
        <is>
          <t>51-99-00 | 그 밖의 사업장일반폐기물</t>
        </is>
      </c>
    </row>
    <row r="299" ht="20.25" customHeight="1" s="60">
      <c r="AF299" s="61" t="inlineStr">
        <is>
          <t>11-02 | 11-02</t>
        </is>
      </c>
      <c r="AG299" s="95" t="inlineStr">
        <is>
          <t>선택안함</t>
        </is>
      </c>
    </row>
    <row r="300" ht="20.25" customHeight="1" s="60">
      <c r="AF300" s="61" t="inlineStr">
        <is>
          <t>11-02 | 11-02</t>
        </is>
      </c>
      <c r="AG300" s="61" t="inlineStr">
        <is>
          <t>11-02-00 | 수은구성폐기물</t>
        </is>
      </c>
    </row>
    <row r="301" ht="20.25" customHeight="1" s="60">
      <c r="AF301" s="61" t="inlineStr">
        <is>
          <t>11-03 | 11-03</t>
        </is>
      </c>
      <c r="AG301" s="95" t="inlineStr">
        <is>
          <t>선택안함</t>
        </is>
      </c>
    </row>
    <row r="302" ht="20.25" customHeight="1" s="60">
      <c r="AF302" s="61" t="inlineStr">
        <is>
          <t>11-03 | 11-03</t>
        </is>
      </c>
      <c r="AG302" s="61" t="inlineStr">
        <is>
          <t>11-03-00 | 수은함유폐기물 처리잔재물</t>
        </is>
      </c>
    </row>
    <row r="303" ht="20.25" customHeight="1" s="60">
      <c r="AF303" s="61" t="inlineStr">
        <is>
          <t>12-00 | 12-00</t>
        </is>
      </c>
      <c r="AG303" s="95" t="inlineStr">
        <is>
          <t>선택안함</t>
        </is>
      </c>
    </row>
    <row r="304" ht="20.25" customHeight="1" s="60">
      <c r="AF304" s="61" t="inlineStr">
        <is>
          <t>12-00 | 12-00</t>
        </is>
      </c>
      <c r="AG304" s="61" t="inlineStr">
        <is>
          <t>12-00-00 | 천연방사성제품폐기물</t>
        </is>
      </c>
    </row>
    <row r="305" ht="20.25" customHeight="1" s="60">
      <c r="AF305" s="61" t="inlineStr">
        <is>
          <t>30-00 | 30-00</t>
        </is>
      </c>
      <c r="AG305" s="95" t="inlineStr">
        <is>
          <t>선택안함</t>
        </is>
      </c>
    </row>
    <row r="306" ht="20.25" customHeight="1" s="60">
      <c r="AF306" s="61" t="inlineStr">
        <is>
          <t>30-00 | 30-00</t>
        </is>
      </c>
      <c r="AG306" s="61" t="inlineStr">
        <is>
          <t>30-00-00 | 그 밖에 환경부장관이 정하여 고시하는 폐기물</t>
        </is>
      </c>
    </row>
  </sheetData>
  <mergeCells count="15">
    <mergeCell ref="P19:P20"/>
    <mergeCell ref="O19:O20"/>
    <mergeCell ref="D19:D20"/>
    <mergeCell ref="F19:F20"/>
    <mergeCell ref="J19:J20"/>
    <mergeCell ref="B19:B20"/>
    <mergeCell ref="M19:M20"/>
    <mergeCell ref="C19:C20"/>
    <mergeCell ref="E19:E20"/>
    <mergeCell ref="I19:I20"/>
    <mergeCell ref="G19:G20"/>
    <mergeCell ref="K19:K20"/>
    <mergeCell ref="H19:H20"/>
    <mergeCell ref="N19:N20"/>
    <mergeCell ref="L19:L20"/>
  </mergeCells>
  <dataValidations count="5">
    <dataValidation sqref="C21:C121" showDropDown="0" showInputMessage="0" showErrorMessage="0" allowBlank="1" type="list" errorStyle="stop" operator="between">
      <formula1>$AA$2:$AA$17</formula1>
      <formula2>0</formula2>
    </dataValidation>
    <dataValidation sqref="D21:D121" showDropDown="0" showInputMessage="0" showErrorMessage="0" allowBlank="1" type="list" errorStyle="stop" operator="between">
      <formula1>OFFSET($AD$2,MATCH($C21,$AC$2:$AC$99,0)-1,0,COUNTIF($AC$2:$AC$99,$C21),1)</formula1>
      <formula2>0</formula2>
    </dataValidation>
    <dataValidation sqref="E21:E121" showDropDown="0" showInputMessage="0" showErrorMessage="0" allowBlank="1" type="list" errorStyle="stop" operator="between">
      <formula1>OFFSET($AG$2,MATCH($D21,$AF$2:$AF$306,0)-1,0,COUNTIF($AF$2:$AF$306,$D21),1)</formula1>
      <formula2>0</formula2>
    </dataValidation>
    <dataValidation sqref="I21:I121" showDropDown="0" showInputMessage="0" showErrorMessage="0" allowBlank="1" type="list" errorStyle="stop" operator="between">
      <formula1>"g,kg,ton"</formula1>
      <formula2>0</formula2>
    </dataValidation>
    <dataValidation sqref="J21:M121" showDropDown="0" showInputMessage="0" showErrorMessage="0" allowBlank="1" type="decimal" errorStyle="stop" operator="between">
      <formula1>0</formula1>
      <formula2>100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U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59" min="2" max="2"/>
    <col width="18" customWidth="1" style="59" min="3" max="3"/>
    <col width="16" customWidth="1" style="59" min="4" max="4"/>
    <col width="10" customWidth="1" style="59" min="5" max="5"/>
    <col width="16" customWidth="1" style="59" min="6" max="6"/>
    <col width="8" customWidth="1" style="59" min="7" max="18"/>
    <col width="18" customWidth="1" style="59" min="19" max="19"/>
    <col width="20" customWidth="1" style="59" min="20" max="20"/>
    <col width="16" customWidth="1" style="59" min="21" max="21"/>
  </cols>
  <sheetData>
    <row r="1"/>
    <row r="2" ht="20.25" customHeight="1" s="60">
      <c r="B2" s="61" t="inlineStr">
        <is>
          <t>C13. 다운스트림 임대자산 1안. 에너지 사용량을 알고 있을 때</t>
        </is>
      </c>
    </row>
    <row r="3"/>
    <row r="4" ht="14.25" customHeight="1" s="60">
      <c r="B4" s="62" t="inlineStr">
        <is>
          <t>카테고리 정의</t>
        </is>
      </c>
    </row>
    <row r="5" ht="14.25" customHeight="1" s="60">
      <c r="B5" s="63" t="inlineStr">
        <is>
          <t>- 보고년도에 회사가 임대자산으로 사용하는 자산에서 발생하는 온실가스 배출량</t>
        </is>
      </c>
    </row>
    <row r="6" ht="14.25" customHeight="1" s="60">
      <c r="B6" s="63" t="inlineStr">
        <is>
          <t>- 해당 자산의 실제 에너지 사용량을 알고 있을 때 작성</t>
        </is>
      </c>
    </row>
    <row r="7"/>
    <row r="8"/>
    <row r="9" ht="14.25" customHeight="1" s="60">
      <c r="B9" s="62" t="inlineStr">
        <is>
          <t>작성 기준</t>
        </is>
      </c>
    </row>
    <row r="10" ht="14.25" customHeight="1" s="60">
      <c r="B10" s="63" t="inlineStr">
        <is>
          <t>1) 온실가스 산정 식: Σ(에너지 사용량 × 에너지원별 배출계수)</t>
        </is>
      </c>
    </row>
    <row r="11" ht="14.25" customHeight="1" s="60">
      <c r="B11" s="63" t="inlineStr">
        <is>
          <t xml:space="preserve"> - 온실가스 배출 계수는 국가 승인 고유 배출계수(국내)와 IPCC 가이드라인 배출계수(해외), 환경부_환경성적표지(EPD) 배출계수를 활용</t>
        </is>
      </c>
    </row>
    <row r="12" ht="14.25" customHeight="1" s="60">
      <c r="B12" s="63" t="inlineStr">
        <is>
          <t>2) 원자료는 반드시 작성하고 데이터는 연간 또는 월별 작성 가능</t>
        </is>
      </c>
    </row>
    <row r="13" ht="14.25" customHeight="1" s="60">
      <c r="B13" s="63" t="inlineStr">
        <is>
          <t>3) 한 자산에서 1개 이상 에너지원을 사용하는 경우 에너지원별로 행을 나누어 작성</t>
        </is>
      </c>
    </row>
    <row r="14"/>
    <row r="15"/>
    <row r="16" ht="14.25" customHeight="1" s="60">
      <c r="B16" s="64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0">
      <c r="B17" s="64" t="inlineStr">
        <is>
          <t>※ 주황색으로 표시된 필수 입력칸은 반드시 작성해야 합니다.</t>
        </is>
      </c>
    </row>
    <row r="18" ht="15" customHeight="1" s="60">
      <c r="B18" s="65" t="inlineStr">
        <is>
          <t>*국가</t>
        </is>
      </c>
      <c r="C18" s="65" t="inlineStr">
        <is>
          <t>*임대자산명</t>
        </is>
      </c>
      <c r="D18" s="65" t="inlineStr">
        <is>
          <t>*에너지종류</t>
        </is>
      </c>
      <c r="E18" s="89" t="n"/>
      <c r="F18" s="67" t="inlineStr">
        <is>
          <t>연간 입력</t>
        </is>
      </c>
      <c r="G18" s="67" t="inlineStr">
        <is>
          <t>월별 사용량</t>
        </is>
      </c>
      <c r="H18" s="68" t="n"/>
      <c r="I18" s="68" t="n"/>
      <c r="J18" s="68" t="n"/>
      <c r="K18" s="68" t="n"/>
      <c r="L18" s="68" t="n"/>
      <c r="M18" s="68" t="n"/>
      <c r="N18" s="68" t="n"/>
      <c r="O18" s="68" t="n"/>
      <c r="P18" s="68" t="n"/>
      <c r="Q18" s="68" t="n"/>
      <c r="R18" s="69" t="n"/>
      <c r="S18" s="89" t="n"/>
      <c r="T18" s="66" t="inlineStr">
        <is>
          <t>배출계수(tCO2e/단위)</t>
        </is>
      </c>
      <c r="U18" s="66" t="inlineStr">
        <is>
          <t>배출량(tCO2e)</t>
        </is>
      </c>
    </row>
    <row r="19" ht="15.75" customHeight="1" s="60">
      <c r="B19" s="70" t="n"/>
      <c r="C19" s="70" t="n"/>
      <c r="D19" s="70" t="n"/>
      <c r="E19" s="65" t="inlineStr">
        <is>
          <t>*단위</t>
        </is>
      </c>
      <c r="F19" s="66" t="inlineStr">
        <is>
          <t>연간사용량</t>
        </is>
      </c>
      <c r="G19" s="65" t="inlineStr">
        <is>
          <t>1월</t>
        </is>
      </c>
      <c r="H19" s="65" t="inlineStr">
        <is>
          <t>2월</t>
        </is>
      </c>
      <c r="I19" s="65" t="inlineStr">
        <is>
          <t>3월</t>
        </is>
      </c>
      <c r="J19" s="65" t="inlineStr">
        <is>
          <t>4월</t>
        </is>
      </c>
      <c r="K19" s="65" t="inlineStr">
        <is>
          <t>5월</t>
        </is>
      </c>
      <c r="L19" s="65" t="inlineStr">
        <is>
          <t>6월</t>
        </is>
      </c>
      <c r="M19" s="65" t="inlineStr">
        <is>
          <t>7월</t>
        </is>
      </c>
      <c r="N19" s="65" t="inlineStr">
        <is>
          <t>8월</t>
        </is>
      </c>
      <c r="O19" s="65" t="inlineStr">
        <is>
          <t>9월</t>
        </is>
      </c>
      <c r="P19" s="65" t="inlineStr">
        <is>
          <t>10월</t>
        </is>
      </c>
      <c r="Q19" s="65" t="inlineStr">
        <is>
          <t>11월</t>
        </is>
      </c>
      <c r="R19" s="65" t="inlineStr">
        <is>
          <t>12월</t>
        </is>
      </c>
      <c r="S19" s="66" t="inlineStr">
        <is>
          <t>비고(선택)</t>
        </is>
      </c>
      <c r="T19" s="70" t="n"/>
      <c r="U19" s="70" t="n"/>
    </row>
    <row r="20" ht="32.25" customHeight="1" s="60">
      <c r="B20" s="71" t="inlineStr">
        <is>
          <t>대한민국</t>
        </is>
      </c>
      <c r="C20" s="71" t="inlineStr">
        <is>
          <t>임대 매장 A</t>
        </is>
      </c>
      <c r="D20" s="71" t="inlineStr">
        <is>
          <t>전력</t>
        </is>
      </c>
      <c r="E20" s="72" t="inlineStr">
        <is>
          <t>kWh</t>
        </is>
      </c>
      <c r="F20" s="71" t="n">
        <v>120000</v>
      </c>
      <c r="G20" s="71" t="n"/>
      <c r="H20" s="71" t="n"/>
      <c r="I20" s="71" t="n"/>
      <c r="J20" s="71" t="n"/>
      <c r="K20" s="71" t="n"/>
      <c r="L20" s="71" t="n"/>
      <c r="M20" s="71" t="n"/>
      <c r="N20" s="71" t="n"/>
      <c r="O20" s="71" t="n"/>
      <c r="P20" s="71" t="n"/>
      <c r="Q20" s="71" t="n"/>
      <c r="R20" s="71" t="n"/>
      <c r="S20" s="73" t="inlineStr">
        <is>
          <t>임대 매장 전력 사용량</t>
        </is>
      </c>
      <c r="T20" s="74" t="n">
        <v>0.0004173</v>
      </c>
      <c r="U20" s="74" t="n">
        <v>50.076</v>
      </c>
    </row>
    <row r="21" ht="32.25" customHeight="1" s="60">
      <c r="B21" s="75" t="inlineStr">
        <is>
          <t>대한민국</t>
        </is>
      </c>
      <c r="C21" s="75" t="inlineStr">
        <is>
          <t>임대 창고 B</t>
        </is>
      </c>
      <c r="D21" s="75" t="inlineStr">
        <is>
          <t>도시가스(LNG)</t>
        </is>
      </c>
      <c r="E21" s="79" t="inlineStr">
        <is>
          <t>Nm³</t>
        </is>
      </c>
      <c r="F21" s="75" t="n"/>
      <c r="G21" s="75" t="n">
        <v>2100</v>
      </c>
      <c r="H21" s="75" t="n">
        <v>2100</v>
      </c>
      <c r="I21" s="75" t="n">
        <v>2100</v>
      </c>
      <c r="J21" s="75" t="n">
        <v>2100</v>
      </c>
      <c r="K21" s="75" t="n">
        <v>2100</v>
      </c>
      <c r="L21" s="75" t="n">
        <v>2100</v>
      </c>
      <c r="M21" s="75" t="n">
        <v>2100</v>
      </c>
      <c r="N21" s="75" t="n">
        <v>2100</v>
      </c>
      <c r="O21" s="75" t="n">
        <v>2100</v>
      </c>
      <c r="P21" s="75" t="n">
        <v>2100</v>
      </c>
      <c r="Q21" s="75" t="n">
        <v>2100</v>
      </c>
      <c r="R21" s="75" t="n">
        <v>2100</v>
      </c>
      <c r="S21" s="76" t="inlineStr">
        <is>
          <t>임차인 사용 난방용 도시가스</t>
        </is>
      </c>
      <c r="T21" s="77" t="n">
        <v>0.0021621</v>
      </c>
      <c r="U21" s="77" t="n">
        <v>54.48492</v>
      </c>
    </row>
    <row r="22" ht="32.25" customHeight="1" s="60">
      <c r="B22" s="75" t="inlineStr">
        <is>
          <t>미국</t>
        </is>
      </c>
      <c r="C22" s="75" t="inlineStr">
        <is>
          <t>미국 임대오피스</t>
        </is>
      </c>
      <c r="D22" s="75" t="inlineStr">
        <is>
          <t>전력</t>
        </is>
      </c>
      <c r="E22" s="79" t="inlineStr">
        <is>
          <t>kWh</t>
        </is>
      </c>
      <c r="F22" s="75" t="n">
        <v>86000</v>
      </c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6" t="inlineStr">
        <is>
          <t>해외 임대자산 전력 사용량</t>
        </is>
      </c>
      <c r="T22" s="77" t="n">
        <v>0.0004173</v>
      </c>
      <c r="U22" s="77" t="n">
        <v>35.88780000000001</v>
      </c>
    </row>
    <row r="23" ht="32.25" customHeight="1" s="60">
      <c r="B23" s="75" t="inlineStr">
        <is>
          <t>대한민국</t>
        </is>
      </c>
      <c r="C23" s="75" t="inlineStr">
        <is>
          <t>임대 연구동</t>
        </is>
      </c>
      <c r="D23" s="75" t="inlineStr">
        <is>
          <t>스팀</t>
        </is>
      </c>
      <c r="E23" s="79" t="inlineStr">
        <is>
          <t>GJ</t>
        </is>
      </c>
      <c r="F23" s="75" t="n"/>
      <c r="G23" s="75" t="n">
        <v>115</v>
      </c>
      <c r="H23" s="75" t="n">
        <v>115</v>
      </c>
      <c r="I23" s="75" t="n">
        <v>115</v>
      </c>
      <c r="J23" s="75" t="n">
        <v>115</v>
      </c>
      <c r="K23" s="75" t="n">
        <v>115</v>
      </c>
      <c r="L23" s="75" t="n">
        <v>115</v>
      </c>
      <c r="M23" s="75" t="n">
        <v>115</v>
      </c>
      <c r="N23" s="75" t="n">
        <v>115</v>
      </c>
      <c r="O23" s="75" t="n">
        <v>115</v>
      </c>
      <c r="P23" s="75" t="n">
        <v>115</v>
      </c>
      <c r="Q23" s="75" t="n">
        <v>115</v>
      </c>
      <c r="R23" s="75" t="n">
        <v>115</v>
      </c>
      <c r="S23" s="76" t="inlineStr">
        <is>
          <t>입주사 공용 스팀 사용량</t>
        </is>
      </c>
      <c r="T23" s="77" t="n">
        <v>59.685</v>
      </c>
      <c r="U23" s="77" t="n">
        <v>82365.3</v>
      </c>
    </row>
    <row r="24" ht="32.25" customHeight="1" s="60">
      <c r="B24" s="75" t="inlineStr">
        <is>
          <t>대한민국</t>
        </is>
      </c>
      <c r="C24" s="75" t="inlineStr">
        <is>
          <t>임대 매장 F</t>
        </is>
      </c>
      <c r="D24" s="75" t="inlineStr">
        <is>
          <t>전력</t>
        </is>
      </c>
      <c r="E24" s="79" t="inlineStr">
        <is>
          <t>kWh</t>
        </is>
      </c>
      <c r="F24" s="79" t="n">
        <v>145000</v>
      </c>
      <c r="G24" s="79" t="n"/>
      <c r="H24" s="79" t="n"/>
      <c r="I24" s="79" t="n"/>
      <c r="J24" s="79" t="n"/>
      <c r="K24" s="79" t="n"/>
      <c r="L24" s="79" t="n"/>
      <c r="M24" s="79" t="n"/>
      <c r="N24" s="79" t="n"/>
      <c r="O24" s="79" t="n"/>
      <c r="P24" s="79" t="n"/>
      <c r="Q24" s="79" t="n"/>
      <c r="R24" s="79" t="n"/>
      <c r="S24" s="76" t="inlineStr">
        <is>
          <t>임대매장F 전력 사용량(추가)</t>
        </is>
      </c>
      <c r="T24" s="77" t="n">
        <v>0.0004173</v>
      </c>
      <c r="U24" s="77" t="n">
        <v>60.5085</v>
      </c>
    </row>
    <row r="25" ht="32.25" customHeight="1" s="60">
      <c r="B25" s="75" t="inlineStr">
        <is>
          <t>대한민국</t>
        </is>
      </c>
      <c r="C25" s="75" t="inlineStr">
        <is>
          <t>임대 물류창고 G</t>
        </is>
      </c>
      <c r="D25" s="75" t="inlineStr">
        <is>
          <t>도시가스(LNG)</t>
        </is>
      </c>
      <c r="E25" s="79" t="inlineStr">
        <is>
          <t>Nm³</t>
        </is>
      </c>
      <c r="F25" s="79" t="n"/>
      <c r="G25" s="79" t="n">
        <v>2600</v>
      </c>
      <c r="H25" s="79" t="n">
        <v>2600</v>
      </c>
      <c r="I25" s="79" t="n">
        <v>2600</v>
      </c>
      <c r="J25" s="79" t="n">
        <v>2600</v>
      </c>
      <c r="K25" s="79" t="n">
        <v>2600</v>
      </c>
      <c r="L25" s="79" t="n">
        <v>2600</v>
      </c>
      <c r="M25" s="79" t="n">
        <v>2600</v>
      </c>
      <c r="N25" s="79" t="n">
        <v>2600</v>
      </c>
      <c r="O25" s="79" t="n">
        <v>2600</v>
      </c>
      <c r="P25" s="79" t="n">
        <v>2600</v>
      </c>
      <c r="Q25" s="79" t="n">
        <v>2600</v>
      </c>
      <c r="R25" s="79" t="n">
        <v>2600</v>
      </c>
      <c r="S25" s="76" t="inlineStr">
        <is>
          <t>임차인 난방용 도시가스</t>
        </is>
      </c>
      <c r="T25" s="77" t="n">
        <v>0.0021621</v>
      </c>
      <c r="U25" s="77" t="n">
        <v>67.45752</v>
      </c>
    </row>
    <row r="26" ht="32.25" customHeight="1" s="60">
      <c r="B26" s="75" t="inlineStr">
        <is>
          <t>중국</t>
        </is>
      </c>
      <c r="C26" s="75" t="inlineStr">
        <is>
          <t>상하이 임대사무소</t>
        </is>
      </c>
      <c r="D26" s="75" t="inlineStr">
        <is>
          <t>전력</t>
        </is>
      </c>
      <c r="E26" s="79" t="inlineStr">
        <is>
          <t>kWh</t>
        </is>
      </c>
      <c r="F26" s="79" t="n">
        <v>62000</v>
      </c>
      <c r="G26" s="79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6" t="inlineStr">
        <is>
          <t>상하이 임대 사무실 전력</t>
        </is>
      </c>
      <c r="T26" s="77" t="n">
        <v>0.0004173</v>
      </c>
      <c r="U26" s="77" t="n">
        <v>25.8726</v>
      </c>
    </row>
    <row r="27" ht="32.25" customHeight="1" s="60">
      <c r="B27" s="75" t="inlineStr">
        <is>
          <t>대한민국</t>
        </is>
      </c>
      <c r="C27" s="75" t="inlineStr">
        <is>
          <t>임대 상가 H</t>
        </is>
      </c>
      <c r="D27" s="75" t="inlineStr">
        <is>
          <t>상수도</t>
        </is>
      </c>
      <c r="E27" s="79" t="inlineStr">
        <is>
          <t>m³</t>
        </is>
      </c>
      <c r="F27" s="79" t="n">
        <v>1800</v>
      </c>
      <c r="G27" s="79" t="n"/>
      <c r="H27" s="79" t="n"/>
      <c r="I27" s="79" t="n"/>
      <c r="J27" s="79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76" t="inlineStr">
        <is>
          <t>임대 상가 수도 사용량</t>
        </is>
      </c>
      <c r="T27" s="77" t="n">
        <v>0.000332</v>
      </c>
      <c r="U27" s="77" t="n">
        <v>0.5976</v>
      </c>
    </row>
    <row r="28" ht="32.25" customHeight="1" s="60">
      <c r="B28" s="75" t="inlineStr">
        <is>
          <t>미국</t>
        </is>
      </c>
      <c r="C28" s="75" t="inlineStr">
        <is>
          <t>뉴욕 임대오피스</t>
        </is>
      </c>
      <c r="D28" s="75" t="inlineStr">
        <is>
          <t>전력</t>
        </is>
      </c>
      <c r="E28" s="79" t="inlineStr">
        <is>
          <t>kWh</t>
        </is>
      </c>
      <c r="F28" s="79" t="n">
        <v>51000</v>
      </c>
      <c r="G28" s="79" t="n"/>
      <c r="H28" s="79" t="n"/>
      <c r="I28" s="79" t="n"/>
      <c r="J28" s="79" t="n"/>
      <c r="K28" s="79" t="n"/>
      <c r="L28" s="79" t="n"/>
      <c r="M28" s="79" t="n"/>
      <c r="N28" s="79" t="n"/>
      <c r="O28" s="79" t="n"/>
      <c r="P28" s="79" t="n"/>
      <c r="Q28" s="79" t="n"/>
      <c r="R28" s="79" t="n"/>
      <c r="S28" s="76" t="inlineStr">
        <is>
          <t>뉴욕 임대 오피스 전력</t>
        </is>
      </c>
      <c r="T28" s="77" t="n">
        <v>0.0004173</v>
      </c>
      <c r="U28" s="77" t="n">
        <v>21.2823</v>
      </c>
    </row>
    <row r="29" ht="16.5" customHeight="1" s="60">
      <c r="B29" s="75" t="inlineStr">
        <is>
          <t>대한민국</t>
        </is>
      </c>
      <c r="C29" s="75" t="inlineStr">
        <is>
          <t>임대 R&amp;D동</t>
        </is>
      </c>
      <c r="D29" s="75" t="inlineStr">
        <is>
          <t>스팀</t>
        </is>
      </c>
      <c r="E29" s="79" t="inlineStr">
        <is>
          <t>GJ</t>
        </is>
      </c>
      <c r="F29" s="79" t="n"/>
      <c r="G29" s="79" t="n">
        <v>90</v>
      </c>
      <c r="H29" s="79" t="n">
        <v>90</v>
      </c>
      <c r="I29" s="79" t="n">
        <v>90</v>
      </c>
      <c r="J29" s="79" t="n">
        <v>90</v>
      </c>
      <c r="K29" s="79" t="n">
        <v>90</v>
      </c>
      <c r="L29" s="79" t="n">
        <v>90</v>
      </c>
      <c r="M29" s="79" t="n">
        <v>90</v>
      </c>
      <c r="N29" s="79" t="n">
        <v>90</v>
      </c>
      <c r="O29" s="79" t="n">
        <v>90</v>
      </c>
      <c r="P29" s="79" t="n">
        <v>90</v>
      </c>
      <c r="Q29" s="79" t="n">
        <v>90</v>
      </c>
      <c r="R29" s="79" t="n">
        <v>90</v>
      </c>
      <c r="S29" s="76" t="inlineStr">
        <is>
          <t>임차인 공용 스팀</t>
        </is>
      </c>
      <c r="T29" s="77" t="n">
        <v>59.685</v>
      </c>
      <c r="U29" s="77" t="n">
        <v>64459.8</v>
      </c>
    </row>
    <row r="30" ht="14.25" customHeight="1" s="60">
      <c r="B30" s="75" t="inlineStr">
        <is>
          <t>대한민국</t>
        </is>
      </c>
      <c r="C30" s="75" t="inlineStr">
        <is>
          <t>임대매장F</t>
        </is>
      </c>
      <c r="D30" s="75" t="inlineStr">
        <is>
          <t>전력</t>
        </is>
      </c>
      <c r="E30" s="79" t="inlineStr">
        <is>
          <t>kWh</t>
        </is>
      </c>
      <c r="F30" s="79" t="n">
        <v>138900</v>
      </c>
      <c r="G30" s="79" t="n"/>
      <c r="H30" s="79" t="n"/>
      <c r="I30" s="79" t="n"/>
      <c r="J30" s="79" t="n"/>
      <c r="K30" s="79" t="n"/>
      <c r="L30" s="79" t="n"/>
      <c r="M30" s="79" t="n"/>
      <c r="N30" s="79" t="n"/>
      <c r="O30" s="79" t="n"/>
      <c r="P30" s="79" t="n"/>
      <c r="Q30" s="79" t="n"/>
      <c r="R30" s="79" t="n"/>
      <c r="S30" s="76" t="inlineStr">
        <is>
          <t>임차인청구서 기준, 우리쪽계량기없음</t>
        </is>
      </c>
      <c r="T30" s="77" t="n">
        <v>0.0004173</v>
      </c>
      <c r="U30" s="77" t="n">
        <v>57.96297</v>
      </c>
    </row>
    <row r="31" ht="14.25" customHeight="1" s="60">
      <c r="B31" s="75" t="inlineStr">
        <is>
          <t>대한민국</t>
        </is>
      </c>
      <c r="C31" s="75" t="inlineStr">
        <is>
          <t>임대물류창고G</t>
        </is>
      </c>
      <c r="D31" s="75" t="inlineStr">
        <is>
          <t>도시가스(LNG)</t>
        </is>
      </c>
      <c r="E31" s="79" t="inlineStr">
        <is>
          <t>Nm3</t>
        </is>
      </c>
      <c r="F31" s="79" t="n"/>
      <c r="G31" s="79" t="n">
        <v>2450</v>
      </c>
      <c r="H31" s="79" t="n">
        <v>2450</v>
      </c>
      <c r="I31" s="79" t="n">
        <v>2450</v>
      </c>
      <c r="J31" s="79" t="n">
        <v>2450</v>
      </c>
      <c r="K31" s="79" t="n">
        <v>2450</v>
      </c>
      <c r="L31" s="79" t="n">
        <v>2450</v>
      </c>
      <c r="M31" s="79" t="n">
        <v>2450</v>
      </c>
      <c r="N31" s="79" t="n">
        <v>2450</v>
      </c>
      <c r="O31" s="79" t="n">
        <v>2450</v>
      </c>
      <c r="P31" s="79" t="n">
        <v>2450</v>
      </c>
      <c r="Q31" s="79" t="n">
        <v>2450</v>
      </c>
      <c r="R31" s="79" t="n">
        <v>2450</v>
      </c>
      <c r="S31" s="78" t="n"/>
      <c r="T31" s="77" t="n">
        <v>0.0021621</v>
      </c>
      <c r="U31" s="77" t="n">
        <v>63.56574000000001</v>
      </c>
    </row>
    <row r="32" ht="14.25" customHeight="1" s="60">
      <c r="B32" s="75" t="inlineStr">
        <is>
          <t>중국</t>
        </is>
      </c>
      <c r="C32" s="75" t="inlineStr">
        <is>
          <t xml:space="preserve">상하이 임대사무소 </t>
        </is>
      </c>
      <c r="D32" s="75" t="inlineStr">
        <is>
          <t>전력</t>
        </is>
      </c>
      <c r="E32" s="79" t="inlineStr">
        <is>
          <t>kWh</t>
        </is>
      </c>
      <c r="F32" s="79" t="n">
        <v>59800</v>
      </c>
      <c r="G32" s="79" t="n"/>
      <c r="H32" s="79" t="n"/>
      <c r="I32" s="79" t="n"/>
      <c r="J32" s="79" t="n"/>
      <c r="K32" s="79" t="n"/>
      <c r="L32" s="79" t="n"/>
      <c r="M32" s="79" t="n"/>
      <c r="N32" s="79" t="n"/>
      <c r="O32" s="79" t="n"/>
      <c r="P32" s="79" t="n"/>
      <c r="Q32" s="79" t="n"/>
      <c r="R32" s="79" t="n"/>
      <c r="S32" s="76" t="inlineStr">
        <is>
          <t>임대자산명 끝 공백</t>
        </is>
      </c>
      <c r="T32" s="77" t="n">
        <v>0.0004173</v>
      </c>
      <c r="U32" s="77" t="n">
        <v>24.95454</v>
      </c>
    </row>
    <row r="33" ht="14.25" customHeight="1" s="60">
      <c r="B33" s="79" t="n"/>
      <c r="C33" s="79" t="n"/>
      <c r="D33" s="75" t="n"/>
      <c r="E33" s="79" t="n"/>
      <c r="F33" s="79" t="n"/>
      <c r="G33" s="79" t="n"/>
      <c r="H33" s="79" t="n"/>
      <c r="I33" s="79" t="n"/>
      <c r="J33" s="79" t="n"/>
      <c r="K33" s="79" t="n"/>
      <c r="L33" s="79" t="n"/>
      <c r="M33" s="79" t="n"/>
      <c r="N33" s="79" t="n"/>
      <c r="O33" s="79" t="n"/>
      <c r="P33" s="79" t="n"/>
      <c r="Q33" s="79" t="n"/>
      <c r="R33" s="79" t="n"/>
      <c r="S33" s="78" t="n"/>
      <c r="T33" s="77" t="n"/>
      <c r="U33" s="77" t="n"/>
    </row>
    <row r="34" ht="14.25" customHeight="1" s="60">
      <c r="B34" s="79" t="n"/>
      <c r="C34" s="79" t="n"/>
      <c r="D34" s="75" t="n"/>
      <c r="E34" s="79" t="n"/>
      <c r="F34" s="79" t="n"/>
      <c r="G34" s="79" t="n"/>
      <c r="H34" s="79" t="n"/>
      <c r="I34" s="79" t="n"/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8" t="n"/>
      <c r="T34" s="77" t="n"/>
      <c r="U34" s="77" t="n"/>
    </row>
    <row r="35" ht="14.25" customHeight="1" s="60">
      <c r="B35" s="79" t="n"/>
      <c r="C35" s="79" t="n"/>
      <c r="D35" s="75" t="n"/>
      <c r="E35" s="79" t="n"/>
      <c r="F35" s="79" t="n"/>
      <c r="G35" s="79" t="n"/>
      <c r="H35" s="79" t="n"/>
      <c r="I35" s="79" t="n"/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8" t="n"/>
      <c r="T35" s="77" t="n"/>
      <c r="U35" s="77" t="n"/>
    </row>
    <row r="36" ht="14.25" customHeight="1" s="60">
      <c r="B36" s="79" t="n"/>
      <c r="C36" s="79" t="n"/>
      <c r="D36" s="75" t="n"/>
      <c r="E36" s="79" t="n"/>
      <c r="F36" s="79" t="n"/>
      <c r="G36" s="79" t="n"/>
      <c r="H36" s="79" t="n"/>
      <c r="I36" s="79" t="n"/>
      <c r="J36" s="79" t="n"/>
      <c r="K36" s="79" t="n"/>
      <c r="L36" s="79" t="n"/>
      <c r="M36" s="79" t="n"/>
      <c r="N36" s="79" t="n"/>
      <c r="O36" s="79" t="n"/>
      <c r="P36" s="79" t="n"/>
      <c r="Q36" s="79" t="n"/>
      <c r="R36" s="79" t="n"/>
      <c r="S36" s="78" t="n"/>
      <c r="T36" s="77" t="n"/>
      <c r="U36" s="77" t="n"/>
    </row>
    <row r="37" ht="14.25" customHeight="1" s="60">
      <c r="B37" s="79" t="n"/>
      <c r="C37" s="79" t="n"/>
      <c r="D37" s="75" t="n"/>
      <c r="E37" s="79" t="n"/>
      <c r="F37" s="79" t="n"/>
      <c r="G37" s="79" t="n"/>
      <c r="H37" s="79" t="n"/>
      <c r="I37" s="79" t="n"/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8" t="n"/>
      <c r="T37" s="77" t="n"/>
      <c r="U37" s="77" t="n"/>
    </row>
    <row r="38" ht="14.25" customHeight="1" s="60">
      <c r="B38" s="79" t="n"/>
      <c r="C38" s="79" t="n"/>
      <c r="D38" s="75" t="n"/>
      <c r="E38" s="79" t="n"/>
      <c r="F38" s="79" t="n"/>
      <c r="G38" s="79" t="n"/>
      <c r="H38" s="79" t="n"/>
      <c r="I38" s="79" t="n"/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8" t="n"/>
      <c r="T38" s="77" t="n"/>
      <c r="U38" s="77" t="n"/>
    </row>
    <row r="39" ht="14.25" customHeight="1" s="60">
      <c r="B39" s="79" t="n"/>
      <c r="C39" s="79" t="n"/>
      <c r="D39" s="75" t="n"/>
      <c r="E39" s="79" t="n"/>
      <c r="F39" s="79" t="n"/>
      <c r="G39" s="79" t="n"/>
      <c r="H39" s="79" t="n"/>
      <c r="I39" s="79" t="n"/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8" t="n"/>
      <c r="T39" s="77" t="n"/>
      <c r="U39" s="77" t="n"/>
    </row>
    <row r="40" ht="14.25" customHeight="1" s="60">
      <c r="B40" s="79" t="n"/>
      <c r="C40" s="79" t="n"/>
      <c r="D40" s="75" t="n"/>
      <c r="E40" s="79" t="n"/>
      <c r="F40" s="79" t="n"/>
      <c r="G40" s="79" t="n"/>
      <c r="H40" s="79" t="n"/>
      <c r="I40" s="79" t="n"/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8" t="n"/>
      <c r="T40" s="77" t="n"/>
      <c r="U40" s="77" t="n"/>
    </row>
    <row r="41" ht="14.25" customHeight="1" s="60">
      <c r="B41" s="79" t="n"/>
      <c r="C41" s="79" t="n"/>
      <c r="D41" s="75" t="n"/>
      <c r="E41" s="79" t="n"/>
      <c r="F41" s="79" t="n"/>
      <c r="G41" s="79" t="n"/>
      <c r="H41" s="79" t="n"/>
      <c r="I41" s="79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8" t="n"/>
      <c r="T41" s="77" t="n"/>
      <c r="U41" s="77" t="n"/>
    </row>
    <row r="42" ht="14.25" customHeight="1" s="60">
      <c r="B42" s="79" t="n"/>
      <c r="C42" s="79" t="n"/>
      <c r="D42" s="75" t="n"/>
      <c r="E42" s="79" t="n"/>
      <c r="F42" s="79" t="n"/>
      <c r="G42" s="79" t="n"/>
      <c r="H42" s="79" t="n"/>
      <c r="I42" s="79" t="n"/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8" t="n"/>
      <c r="T42" s="77" t="n"/>
      <c r="U42" s="77" t="n"/>
    </row>
    <row r="43" ht="14.25" customHeight="1" s="60">
      <c r="B43" s="79" t="n"/>
      <c r="C43" s="79" t="n"/>
      <c r="D43" s="75" t="n"/>
      <c r="E43" s="79" t="n"/>
      <c r="F43" s="79" t="n"/>
      <c r="G43" s="79" t="n"/>
      <c r="H43" s="79" t="n"/>
      <c r="I43" s="7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8" t="n"/>
      <c r="T43" s="77" t="n"/>
      <c r="U43" s="77" t="n"/>
    </row>
    <row r="44" ht="14.25" customHeight="1" s="60">
      <c r="B44" s="79" t="n"/>
      <c r="C44" s="79" t="n"/>
      <c r="D44" s="75" t="n"/>
      <c r="E44" s="79" t="n"/>
      <c r="F44" s="79" t="n"/>
      <c r="G44" s="79" t="n"/>
      <c r="H44" s="79" t="n"/>
      <c r="I44" s="79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8" t="n"/>
      <c r="T44" s="77" t="n"/>
      <c r="U44" s="77" t="n"/>
    </row>
    <row r="45" ht="14.25" customHeight="1" s="60">
      <c r="B45" s="79" t="n"/>
      <c r="C45" s="79" t="n"/>
      <c r="D45" s="75" t="n"/>
      <c r="E45" s="79" t="n"/>
      <c r="F45" s="79" t="n"/>
      <c r="G45" s="79" t="n"/>
      <c r="H45" s="79" t="n"/>
      <c r="I45" s="79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8" t="n"/>
      <c r="T45" s="77" t="n"/>
      <c r="U45" s="77" t="n"/>
    </row>
    <row r="46" ht="14.25" customHeight="1" s="60">
      <c r="B46" s="79" t="n"/>
      <c r="C46" s="79" t="n"/>
      <c r="D46" s="75" t="n"/>
      <c r="E46" s="79" t="n"/>
      <c r="F46" s="79" t="n"/>
      <c r="G46" s="79" t="n"/>
      <c r="H46" s="79" t="n"/>
      <c r="I46" s="79" t="n"/>
      <c r="J46" s="79" t="n"/>
      <c r="K46" s="79" t="n"/>
      <c r="L46" s="79" t="n"/>
      <c r="M46" s="79" t="n"/>
      <c r="N46" s="79" t="n"/>
      <c r="O46" s="79" t="n"/>
      <c r="P46" s="79" t="n"/>
      <c r="Q46" s="79" t="n"/>
      <c r="R46" s="79" t="n"/>
      <c r="S46" s="78" t="n"/>
      <c r="T46" s="77" t="n"/>
      <c r="U46" s="77" t="n"/>
    </row>
    <row r="47" ht="14.25" customHeight="1" s="60">
      <c r="B47" s="79" t="n"/>
      <c r="C47" s="79" t="n"/>
      <c r="D47" s="75" t="n"/>
      <c r="E47" s="79" t="n"/>
      <c r="F47" s="79" t="n"/>
      <c r="G47" s="79" t="n"/>
      <c r="H47" s="79" t="n"/>
      <c r="I47" s="79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8" t="n"/>
      <c r="T47" s="77" t="n"/>
      <c r="U47" s="77" t="n"/>
    </row>
    <row r="48" ht="14.25" customHeight="1" s="60">
      <c r="B48" s="79" t="n"/>
      <c r="C48" s="79" t="n"/>
      <c r="D48" s="75" t="n"/>
      <c r="E48" s="79" t="n"/>
      <c r="F48" s="79" t="n"/>
      <c r="G48" s="79" t="n"/>
      <c r="H48" s="79" t="n"/>
      <c r="I48" s="79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8" t="n"/>
      <c r="T48" s="77" t="n"/>
      <c r="U48" s="77" t="n"/>
    </row>
    <row r="49" ht="14.25" customHeight="1" s="60">
      <c r="B49" s="79" t="n"/>
      <c r="C49" s="79" t="n"/>
      <c r="D49" s="75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8" t="n"/>
      <c r="T49" s="77" t="n"/>
      <c r="U49" s="77" t="n"/>
    </row>
    <row r="50" ht="14.25" customHeight="1" s="60">
      <c r="B50" s="79" t="n"/>
      <c r="C50" s="79" t="n"/>
      <c r="D50" s="75" t="n"/>
      <c r="E50" s="79" t="n"/>
      <c r="F50" s="79" t="n"/>
      <c r="G50" s="79" t="n"/>
      <c r="H50" s="79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8" t="n"/>
      <c r="T50" s="77" t="n"/>
      <c r="U50" s="77" t="n"/>
    </row>
    <row r="51" ht="14.25" customHeight="1" s="60">
      <c r="B51" s="79" t="n"/>
      <c r="C51" s="79" t="n"/>
      <c r="D51" s="75" t="n"/>
      <c r="E51" s="79" t="n"/>
      <c r="F51" s="79" t="n"/>
      <c r="G51" s="79" t="n"/>
      <c r="H51" s="79" t="n"/>
      <c r="I51" s="79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8" t="n"/>
      <c r="T51" s="77" t="n"/>
      <c r="U51" s="77" t="n"/>
    </row>
    <row r="52" ht="14.25" customHeight="1" s="60">
      <c r="B52" s="79" t="n"/>
      <c r="C52" s="79" t="n"/>
      <c r="D52" s="75" t="n"/>
      <c r="E52" s="79" t="n"/>
      <c r="F52" s="79" t="n"/>
      <c r="G52" s="79" t="n"/>
      <c r="H52" s="79" t="n"/>
      <c r="I52" s="79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8" t="n"/>
      <c r="T52" s="77" t="n"/>
      <c r="U52" s="77" t="n"/>
    </row>
    <row r="53" ht="14.25" customHeight="1" s="60">
      <c r="B53" s="79" t="n"/>
      <c r="C53" s="79" t="n"/>
      <c r="D53" s="75" t="n"/>
      <c r="E53" s="79" t="n"/>
      <c r="F53" s="79" t="n"/>
      <c r="G53" s="79" t="n"/>
      <c r="H53" s="79" t="n"/>
      <c r="I53" s="79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8" t="n"/>
      <c r="T53" s="77" t="n"/>
      <c r="U53" s="77" t="n"/>
    </row>
    <row r="54" ht="14.25" customHeight="1" s="60">
      <c r="B54" s="79" t="n"/>
      <c r="C54" s="79" t="n"/>
      <c r="D54" s="75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8" t="n"/>
      <c r="T54" s="77" t="n"/>
      <c r="U54" s="77" t="n"/>
    </row>
    <row r="55" ht="14.25" customHeight="1" s="60">
      <c r="B55" s="79" t="n"/>
      <c r="C55" s="79" t="n"/>
      <c r="D55" s="75" t="n"/>
      <c r="E55" s="79" t="n"/>
      <c r="F55" s="79" t="n"/>
      <c r="G55" s="79" t="n"/>
      <c r="H55" s="79" t="n"/>
      <c r="I55" s="79" t="n"/>
      <c r="J55" s="79" t="n"/>
      <c r="K55" s="79" t="n"/>
      <c r="L55" s="79" t="n"/>
      <c r="M55" s="79" t="n"/>
      <c r="N55" s="79" t="n"/>
      <c r="O55" s="79" t="n"/>
      <c r="P55" s="79" t="n"/>
      <c r="Q55" s="79" t="n"/>
      <c r="R55" s="79" t="n"/>
      <c r="S55" s="78" t="n"/>
      <c r="T55" s="77" t="n"/>
      <c r="U55" s="77" t="n"/>
    </row>
  </sheetData>
  <mergeCells count="6">
    <mergeCell ref="U18:U19"/>
    <mergeCell ref="D18:D19"/>
    <mergeCell ref="B18:B19"/>
    <mergeCell ref="C18:C19"/>
    <mergeCell ref="G18:R18"/>
    <mergeCell ref="T18:T19"/>
  </mergeCells>
  <dataValidations count="2">
    <dataValidation sqref="D21:D220" showDropDown="0" showInputMessage="0" showErrorMessage="0" allowBlank="0" type="list" errorStyle="stop" operator="between">
      <formula1>"전력,도시가스,스팀,경유,휘발유,등유,중유,LPG,천연가스,기타"</formula1>
      <formula2>0</formula2>
    </dataValidation>
    <dataValidation sqref="E21:E220" showDropDown="0" showInputMessage="0" showErrorMessage="0" allowBlank="0" type="list" errorStyle="stop" operator="between">
      <formula1>"kWh,MJ,kg,L,m3,Nm3,ton"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W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59" min="2" max="2"/>
    <col width="18" customWidth="1" style="59" min="3" max="3"/>
    <col width="16" customWidth="1" style="59" min="4" max="4"/>
    <col width="14" customWidth="1" style="59" min="5" max="5"/>
    <col width="16" customWidth="1" style="59" min="6" max="6"/>
    <col width="10" customWidth="1" style="59" min="7" max="7"/>
    <col width="19.87" customWidth="1" style="59" min="8" max="8"/>
    <col width="8" customWidth="1" style="59" min="9" max="20"/>
    <col width="18" customWidth="1" style="59" min="21" max="21"/>
    <col width="20" customWidth="1" style="59" min="22" max="22"/>
    <col width="16" customWidth="1" style="59" min="23" max="23"/>
  </cols>
  <sheetData>
    <row r="1"/>
    <row r="2" ht="20.25" customHeight="1" s="60">
      <c r="B2" s="61" t="inlineStr">
        <is>
          <t>C13. 다운스트림 임대자산 2안. 건물전체 에너지사용량만 알고 있을 때</t>
        </is>
      </c>
    </row>
    <row r="3"/>
    <row r="4" ht="14.25" customHeight="1" s="60">
      <c r="B4" s="62" t="inlineStr">
        <is>
          <t>카테고리 정의</t>
        </is>
      </c>
    </row>
    <row r="5" ht="14.25" customHeight="1" s="60">
      <c r="B5" s="63" t="inlineStr">
        <is>
          <t>- 회사가 사용하는 임대자산의 에너지 사용량을 직접 알 수 없는 경우 산정</t>
        </is>
      </c>
    </row>
    <row r="6" ht="14.25" customHeight="1" s="60">
      <c r="B6" s="63" t="inlineStr">
        <is>
          <t>- 건물 전체 에너지 사용량은 알고 있으나 면적 기준으로 배분해야 할 때 작성</t>
        </is>
      </c>
    </row>
    <row r="7"/>
    <row r="8"/>
    <row r="9" ht="14.25" customHeight="1" s="60">
      <c r="B9" s="62" t="inlineStr">
        <is>
          <t>작성 기준</t>
        </is>
      </c>
    </row>
    <row r="10" ht="14.25" customHeight="1" s="60">
      <c r="B10" s="63" t="inlineStr">
        <is>
          <t>1) 온실가스 산정 식: Σ((사용 면적 / 건물전체 면적) × 건물전체 에너지 사용량 × 에너지원별 배출계수)</t>
        </is>
      </c>
    </row>
    <row r="11" ht="14.25" customHeight="1" s="60">
      <c r="B11" s="63" t="inlineStr">
        <is>
          <t xml:space="preserve"> - 온실가스 배출 계수는 국가 승인 고유 배출계수(국내)와 IPCC 가이드라인 배출계수(해외), 환경부_환경성적표지(EPD) 배출계수를 활용</t>
        </is>
      </c>
    </row>
    <row r="12" ht="14.25" customHeight="1" s="60">
      <c r="B12" s="63" t="inlineStr">
        <is>
          <t>2) 건물전체 면적과 사용 면적은 반드시 작성</t>
        </is>
      </c>
    </row>
    <row r="13" ht="14.25" customHeight="1" s="60">
      <c r="B13" s="63" t="inlineStr">
        <is>
          <t>3) 원자료는 반드시 작성하고 데이터는 연간 또는 월별 작성 가능</t>
        </is>
      </c>
    </row>
    <row r="14"/>
    <row r="15"/>
    <row r="16" ht="14.25" customHeight="1" s="60">
      <c r="B16" s="64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0">
      <c r="B17" s="64" t="inlineStr">
        <is>
          <t>※ 주황색으로 표시된 필수 입력칸은 반드시 작성해야 합니다.</t>
        </is>
      </c>
    </row>
    <row r="18" ht="15" customHeight="1" s="60">
      <c r="B18" s="65" t="inlineStr">
        <is>
          <t>*국가</t>
        </is>
      </c>
      <c r="C18" s="65" t="inlineStr">
        <is>
          <t>*임대자산명</t>
        </is>
      </c>
      <c r="D18" s="65" t="inlineStr">
        <is>
          <t>*건물전체 면적</t>
        </is>
      </c>
      <c r="E18" s="65" t="inlineStr">
        <is>
          <t>*사용 면적</t>
        </is>
      </c>
      <c r="F18" s="65" t="inlineStr">
        <is>
          <t>*에너지종류</t>
        </is>
      </c>
      <c r="G18" s="65" t="inlineStr">
        <is>
          <t>*단위</t>
        </is>
      </c>
      <c r="H18" s="67" t="inlineStr">
        <is>
          <t>연간 입력</t>
        </is>
      </c>
      <c r="I18" s="67" t="inlineStr">
        <is>
          <t>건물전체 월별사용량</t>
        </is>
      </c>
      <c r="J18" s="68" t="n"/>
      <c r="K18" s="68" t="n"/>
      <c r="L18" s="68" t="n"/>
      <c r="M18" s="68" t="n"/>
      <c r="N18" s="68" t="n"/>
      <c r="O18" s="68" t="n"/>
      <c r="P18" s="68" t="n"/>
      <c r="Q18" s="68" t="n"/>
      <c r="R18" s="68" t="n"/>
      <c r="S18" s="68" t="n"/>
      <c r="T18" s="69" t="n"/>
      <c r="U18" s="66" t="inlineStr">
        <is>
          <t>비고(선택)</t>
        </is>
      </c>
      <c r="V18" s="66" t="inlineStr">
        <is>
          <t>배출계수(tCO2e/단위)</t>
        </is>
      </c>
      <c r="W18" s="66" t="inlineStr">
        <is>
          <t>배출량(tCO2e)</t>
        </is>
      </c>
    </row>
    <row r="19" ht="14.25" customHeight="1" s="60">
      <c r="B19" s="70" t="n"/>
      <c r="C19" s="70" t="n"/>
      <c r="D19" s="70" t="n"/>
      <c r="E19" s="70" t="n"/>
      <c r="F19" s="70" t="n"/>
      <c r="G19" s="70" t="n"/>
      <c r="H19" s="65" t="inlineStr">
        <is>
          <t>*건물전체 연간사용량</t>
        </is>
      </c>
      <c r="I19" s="65" t="inlineStr">
        <is>
          <t>1월</t>
        </is>
      </c>
      <c r="J19" s="65" t="inlineStr">
        <is>
          <t>2월</t>
        </is>
      </c>
      <c r="K19" s="65" t="inlineStr">
        <is>
          <t>3월</t>
        </is>
      </c>
      <c r="L19" s="65" t="inlineStr">
        <is>
          <t>4월</t>
        </is>
      </c>
      <c r="M19" s="65" t="inlineStr">
        <is>
          <t>5월</t>
        </is>
      </c>
      <c r="N19" s="65" t="inlineStr">
        <is>
          <t>6월</t>
        </is>
      </c>
      <c r="O19" s="65" t="inlineStr">
        <is>
          <t>7월</t>
        </is>
      </c>
      <c r="P19" s="65" t="inlineStr">
        <is>
          <t>8월</t>
        </is>
      </c>
      <c r="Q19" s="65" t="inlineStr">
        <is>
          <t>9월</t>
        </is>
      </c>
      <c r="R19" s="65" t="inlineStr">
        <is>
          <t>10월</t>
        </is>
      </c>
      <c r="S19" s="65" t="inlineStr">
        <is>
          <t>11월</t>
        </is>
      </c>
      <c r="T19" s="65" t="inlineStr">
        <is>
          <t>12월</t>
        </is>
      </c>
      <c r="U19" s="70" t="n"/>
      <c r="V19" s="70" t="n"/>
      <c r="W19" s="70" t="n"/>
    </row>
    <row r="20" ht="32.25" customHeight="1" s="60">
      <c r="B20" s="71" t="inlineStr">
        <is>
          <t>대한민국</t>
        </is>
      </c>
      <c r="C20" s="71" t="inlineStr">
        <is>
          <t>상업건물 A</t>
        </is>
      </c>
      <c r="D20" s="71" t="n">
        <v>13908</v>
      </c>
      <c r="E20" s="71" t="n">
        <v>133</v>
      </c>
      <c r="F20" s="71" t="inlineStr">
        <is>
          <t>전력</t>
        </is>
      </c>
      <c r="G20" s="72" t="inlineStr">
        <is>
          <t>kWh</t>
        </is>
      </c>
      <c r="H20" s="71" t="n">
        <v>91485000</v>
      </c>
      <c r="I20" s="71" t="n"/>
      <c r="J20" s="71" t="n"/>
      <c r="K20" s="71" t="n"/>
      <c r="L20" s="71" t="n"/>
      <c r="M20" s="71" t="n"/>
      <c r="N20" s="71" t="n"/>
      <c r="O20" s="71" t="n"/>
      <c r="P20" s="71" t="n"/>
      <c r="Q20" s="71" t="n"/>
      <c r="R20" s="71" t="n"/>
      <c r="S20" s="71" t="n"/>
      <c r="T20" s="71" t="n"/>
      <c r="U20" s="73" t="inlineStr">
        <is>
          <t>임대면적 기준 전력 배분</t>
        </is>
      </c>
      <c r="V20" s="74" t="n">
        <v>0.0004173</v>
      </c>
      <c r="W20" s="74" t="n">
        <v>365.0776413934427</v>
      </c>
    </row>
    <row r="21" ht="32.25" customHeight="1" s="60">
      <c r="B21" s="75" t="inlineStr">
        <is>
          <t>대한민국</t>
        </is>
      </c>
      <c r="C21" s="75" t="inlineStr">
        <is>
          <t>물류센터 임대구역 B</t>
        </is>
      </c>
      <c r="D21" s="75" t="n">
        <v>42000</v>
      </c>
      <c r="E21" s="75" t="n">
        <v>5000</v>
      </c>
      <c r="F21" s="75" t="inlineStr">
        <is>
          <t>도시가스(LNG)</t>
        </is>
      </c>
      <c r="G21" s="79" t="inlineStr">
        <is>
          <t>Nm³</t>
        </is>
      </c>
      <c r="H21" s="75" t="n"/>
      <c r="I21" s="75" t="n">
        <v>25000</v>
      </c>
      <c r="J21" s="75" t="n">
        <v>25000</v>
      </c>
      <c r="K21" s="75" t="n">
        <v>25000</v>
      </c>
      <c r="L21" s="75" t="n">
        <v>25000</v>
      </c>
      <c r="M21" s="75" t="n">
        <v>25000</v>
      </c>
      <c r="N21" s="75" t="n">
        <v>25000</v>
      </c>
      <c r="O21" s="75" t="n">
        <v>25000</v>
      </c>
      <c r="P21" s="75" t="n">
        <v>25000</v>
      </c>
      <c r="Q21" s="75" t="n">
        <v>25000</v>
      </c>
      <c r="R21" s="75" t="n">
        <v>25000</v>
      </c>
      <c r="S21" s="75" t="n">
        <v>25000</v>
      </c>
      <c r="T21" s="75" t="n">
        <v>25000</v>
      </c>
      <c r="U21" s="76" t="inlineStr">
        <is>
          <t>임대구역 면적 비율로 난방 배분</t>
        </is>
      </c>
      <c r="V21" s="77" t="n">
        <v>0.0021621</v>
      </c>
      <c r="W21" s="77" t="n">
        <v>77.21785714285714</v>
      </c>
    </row>
    <row r="22" ht="32.25" customHeight="1" s="60">
      <c r="B22" s="75" t="inlineStr">
        <is>
          <t>미국</t>
        </is>
      </c>
      <c r="C22" s="75" t="inlineStr">
        <is>
          <t>미국 임대건물 C</t>
        </is>
      </c>
      <c r="D22" s="75" t="n">
        <v>18000</v>
      </c>
      <c r="E22" s="75" t="n">
        <v>2400</v>
      </c>
      <c r="F22" s="75" t="inlineStr">
        <is>
          <t>전력</t>
        </is>
      </c>
      <c r="G22" s="79" t="inlineStr">
        <is>
          <t>kWh</t>
        </is>
      </c>
      <c r="H22" s="75" t="n">
        <v>3200000</v>
      </c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6" t="inlineStr">
        <is>
          <t>해외 임대건물 면적 배분</t>
        </is>
      </c>
      <c r="V22" s="77" t="n">
        <v>0.0004173</v>
      </c>
      <c r="W22" s="77" t="n">
        <v>178.048</v>
      </c>
    </row>
    <row r="23" ht="32.25" customHeight="1" s="60">
      <c r="B23" s="75" t="inlineStr">
        <is>
          <t>대한민국</t>
        </is>
      </c>
      <c r="C23" s="75" t="inlineStr">
        <is>
          <t>복합건물 D</t>
        </is>
      </c>
      <c r="D23" s="75" t="n">
        <v>26000</v>
      </c>
      <c r="E23" s="75" t="n">
        <v>3200</v>
      </c>
      <c r="F23" s="75" t="inlineStr">
        <is>
          <t>상수도</t>
        </is>
      </c>
      <c r="G23" s="79" t="inlineStr">
        <is>
          <t>m³</t>
        </is>
      </c>
      <c r="H23" s="75" t="n"/>
      <c r="I23" s="75" t="n">
        <v>4100</v>
      </c>
      <c r="J23" s="75" t="n">
        <v>4100</v>
      </c>
      <c r="K23" s="75" t="n">
        <v>4100</v>
      </c>
      <c r="L23" s="75" t="n">
        <v>4100</v>
      </c>
      <c r="M23" s="75" t="n">
        <v>4100</v>
      </c>
      <c r="N23" s="75" t="n">
        <v>4100</v>
      </c>
      <c r="O23" s="75" t="n">
        <v>4100</v>
      </c>
      <c r="P23" s="75" t="n">
        <v>4100</v>
      </c>
      <c r="Q23" s="75" t="n">
        <v>4100</v>
      </c>
      <c r="R23" s="75" t="n">
        <v>4100</v>
      </c>
      <c r="S23" s="75" t="n">
        <v>4100</v>
      </c>
      <c r="T23" s="75" t="n">
        <v>4100</v>
      </c>
      <c r="U23" s="76" t="inlineStr">
        <is>
          <t>공용 수도 사용량 면적 배분</t>
        </is>
      </c>
      <c r="V23" s="77" t="n">
        <v>0.000332</v>
      </c>
      <c r="W23" s="77" t="n">
        <v>2.010387692307693</v>
      </c>
    </row>
    <row r="24" ht="32.25" customHeight="1" s="60">
      <c r="B24" s="75" t="inlineStr">
        <is>
          <t>대한민국</t>
        </is>
      </c>
      <c r="C24" s="75" t="inlineStr">
        <is>
          <t>상업건물 F</t>
        </is>
      </c>
      <c r="D24" s="79" t="n">
        <v>15200</v>
      </c>
      <c r="E24" s="79" t="n">
        <v>180</v>
      </c>
      <c r="F24" s="75" t="inlineStr">
        <is>
          <t>전력</t>
        </is>
      </c>
      <c r="G24" s="79" t="inlineStr">
        <is>
          <t>kWh</t>
        </is>
      </c>
      <c r="H24" s="79" t="n">
        <v>78000000</v>
      </c>
      <c r="I24" s="79" t="n"/>
      <c r="J24" s="79" t="n"/>
      <c r="K24" s="79" t="n"/>
      <c r="L24" s="79" t="n"/>
      <c r="M24" s="79" t="n"/>
      <c r="N24" s="79" t="n"/>
      <c r="O24" s="79" t="n"/>
      <c r="P24" s="79" t="n"/>
      <c r="Q24" s="79" t="n"/>
      <c r="R24" s="79" t="n"/>
      <c r="S24" s="79" t="n"/>
      <c r="T24" s="79" t="n"/>
      <c r="U24" s="76" t="inlineStr">
        <is>
          <t>상업건물F 임대면적 기준 전력 배분</t>
        </is>
      </c>
      <c r="V24" s="77" t="n">
        <v>0.0004173</v>
      </c>
      <c r="W24" s="77" t="n">
        <v>385.4534210526317</v>
      </c>
    </row>
    <row r="25" ht="30" customHeight="1" s="60">
      <c r="B25" s="75" t="inlineStr">
        <is>
          <t>대한민국</t>
        </is>
      </c>
      <c r="C25" s="75" t="inlineStr">
        <is>
          <t>물류단지 임대구역 G</t>
        </is>
      </c>
      <c r="D25" s="79" t="n">
        <v>33000</v>
      </c>
      <c r="E25" s="79" t="n">
        <v>4200</v>
      </c>
      <c r="F25" s="75" t="inlineStr">
        <is>
          <t>전력</t>
        </is>
      </c>
      <c r="G25" s="79" t="inlineStr">
        <is>
          <t>kWh</t>
        </is>
      </c>
      <c r="H25" s="79" t="n"/>
      <c r="I25" s="79" t="n">
        <v>5100000</v>
      </c>
      <c r="J25" s="79" t="n">
        <v>5100000</v>
      </c>
      <c r="K25" s="79" t="n">
        <v>5100000</v>
      </c>
      <c r="L25" s="79" t="n">
        <v>5100000</v>
      </c>
      <c r="M25" s="79" t="n">
        <v>5100000</v>
      </c>
      <c r="N25" s="79" t="n">
        <v>5100000</v>
      </c>
      <c r="O25" s="79" t="n">
        <v>5100000</v>
      </c>
      <c r="P25" s="79" t="n">
        <v>5100000</v>
      </c>
      <c r="Q25" s="79" t="n">
        <v>5100000</v>
      </c>
      <c r="R25" s="79" t="n">
        <v>5100000</v>
      </c>
      <c r="S25" s="79" t="n">
        <v>5100000</v>
      </c>
      <c r="T25" s="79" t="n">
        <v>5100000</v>
      </c>
      <c r="U25" s="76" t="inlineStr">
        <is>
          <t>임대구역 전력 배분</t>
        </is>
      </c>
      <c r="V25" s="77" t="n">
        <v>0.0004173</v>
      </c>
      <c r="W25" s="77" t="n">
        <v>3250.387636363636</v>
      </c>
    </row>
    <row r="26" ht="16.5" customHeight="1" s="60">
      <c r="B26" s="75" t="inlineStr">
        <is>
          <t>일본</t>
        </is>
      </c>
      <c r="C26" s="75" t="inlineStr">
        <is>
          <t>오사카 임대매장</t>
        </is>
      </c>
      <c r="D26" s="79" t="n">
        <v>6800</v>
      </c>
      <c r="E26" s="79" t="n">
        <v>60</v>
      </c>
      <c r="F26" s="75" t="inlineStr">
        <is>
          <t>전력</t>
        </is>
      </c>
      <c r="G26" s="79" t="inlineStr">
        <is>
          <t>kWh</t>
        </is>
      </c>
      <c r="H26" s="79" t="n">
        <v>16500000</v>
      </c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6" t="inlineStr">
        <is>
          <t>매장 면적 기준 배분</t>
        </is>
      </c>
      <c r="V26" s="77" t="n">
        <v>0.0004173</v>
      </c>
      <c r="W26" s="77" t="n">
        <v>60.75397058823529</v>
      </c>
    </row>
    <row r="27" ht="16.5" customHeight="1" s="60">
      <c r="B27" s="75" t="inlineStr">
        <is>
          <t>대한민국</t>
        </is>
      </c>
      <c r="C27" s="75" t="inlineStr">
        <is>
          <t>복합건물 H</t>
        </is>
      </c>
      <c r="D27" s="79" t="n">
        <v>27500</v>
      </c>
      <c r="E27" s="79" t="n">
        <v>3600</v>
      </c>
      <c r="F27" s="75" t="inlineStr">
        <is>
          <t>도시가스(LNG)</t>
        </is>
      </c>
      <c r="G27" s="79" t="inlineStr">
        <is>
          <t>Nm³</t>
        </is>
      </c>
      <c r="H27" s="79" t="n"/>
      <c r="I27" s="79" t="n">
        <v>11200</v>
      </c>
      <c r="J27" s="79" t="n">
        <v>11200</v>
      </c>
      <c r="K27" s="79" t="n">
        <v>11200</v>
      </c>
      <c r="L27" s="79" t="n">
        <v>11200</v>
      </c>
      <c r="M27" s="79" t="n">
        <v>11200</v>
      </c>
      <c r="N27" s="79" t="n">
        <v>11200</v>
      </c>
      <c r="O27" s="79" t="n">
        <v>11200</v>
      </c>
      <c r="P27" s="79" t="n">
        <v>11200</v>
      </c>
      <c r="Q27" s="79" t="n">
        <v>11200</v>
      </c>
      <c r="R27" s="79" t="n">
        <v>11200</v>
      </c>
      <c r="S27" s="79" t="n">
        <v>11200</v>
      </c>
      <c r="T27" s="79" t="n">
        <v>11200</v>
      </c>
      <c r="U27" s="76" t="inlineStr">
        <is>
          <t>임대구역 난방 배분</t>
        </is>
      </c>
      <c r="V27" s="77" t="n">
        <v>0.0021621</v>
      </c>
      <c r="W27" s="77" t="n">
        <v>38.04038050909092</v>
      </c>
    </row>
    <row r="28" ht="32.25" customHeight="1" s="60">
      <c r="B28" s="75" t="inlineStr">
        <is>
          <t>미국</t>
        </is>
      </c>
      <c r="C28" s="75" t="inlineStr">
        <is>
          <t>시카고 임대건물</t>
        </is>
      </c>
      <c r="D28" s="79" t="n">
        <v>19500</v>
      </c>
      <c r="E28" s="79" t="n">
        <v>2600</v>
      </c>
      <c r="F28" s="75" t="inlineStr">
        <is>
          <t>전력</t>
        </is>
      </c>
      <c r="G28" s="79" t="inlineStr">
        <is>
          <t>kWh</t>
        </is>
      </c>
      <c r="H28" s="79" t="n">
        <v>3800000</v>
      </c>
      <c r="I28" s="79" t="n"/>
      <c r="J28" s="79" t="n"/>
      <c r="K28" s="79" t="n"/>
      <c r="L28" s="79" t="n"/>
      <c r="M28" s="79" t="n"/>
      <c r="N28" s="79" t="n"/>
      <c r="O28" s="79" t="n"/>
      <c r="P28" s="79" t="n"/>
      <c r="Q28" s="79" t="n"/>
      <c r="R28" s="79" t="n"/>
      <c r="S28" s="79" t="n"/>
      <c r="T28" s="79" t="n"/>
      <c r="U28" s="76" t="inlineStr">
        <is>
          <t>시카고 임대건물 면적 배분</t>
        </is>
      </c>
      <c r="V28" s="77" t="n">
        <v>0.0004173</v>
      </c>
      <c r="W28" s="77" t="n">
        <v>211.432</v>
      </c>
    </row>
    <row r="29" ht="16.5" customHeight="1" s="60">
      <c r="B29" s="75" t="inlineStr">
        <is>
          <t>대한민국</t>
        </is>
      </c>
      <c r="C29" s="75" t="inlineStr">
        <is>
          <t>복합상가 I</t>
        </is>
      </c>
      <c r="D29" s="79" t="n">
        <v>12800</v>
      </c>
      <c r="E29" s="79" t="n">
        <v>950</v>
      </c>
      <c r="F29" s="75" t="inlineStr">
        <is>
          <t>상수도</t>
        </is>
      </c>
      <c r="G29" s="79" t="inlineStr">
        <is>
          <t>m³</t>
        </is>
      </c>
      <c r="H29" s="79" t="n">
        <v>6400</v>
      </c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6" t="inlineStr">
        <is>
          <t>공용 수도 면적 배분</t>
        </is>
      </c>
      <c r="V29" s="77" t="n">
        <v>0.000332</v>
      </c>
      <c r="W29" s="77" t="n">
        <v>0.1577</v>
      </c>
    </row>
    <row r="30" ht="14.25" customHeight="1" s="60">
      <c r="B30" s="75" t="inlineStr">
        <is>
          <t>대한민국</t>
        </is>
      </c>
      <c r="C30" s="75" t="inlineStr">
        <is>
          <t>상업건물F</t>
        </is>
      </c>
      <c r="D30" s="79" t="n">
        <v>14980</v>
      </c>
      <c r="E30" s="79" t="n">
        <v>175</v>
      </c>
      <c r="F30" s="75" t="inlineStr">
        <is>
          <t>전력</t>
        </is>
      </c>
      <c r="G30" s="79" t="inlineStr">
        <is>
          <t>kWh</t>
        </is>
      </c>
      <c r="H30" s="79" t="n">
        <v>76500000</v>
      </c>
      <c r="I30" s="79" t="n"/>
      <c r="J30" s="79" t="n"/>
      <c r="K30" s="79" t="n"/>
      <c r="L30" s="79" t="n"/>
      <c r="M30" s="79" t="n"/>
      <c r="N30" s="79" t="n"/>
      <c r="O30" s="79" t="n"/>
      <c r="P30" s="79" t="n"/>
      <c r="Q30" s="79" t="n"/>
      <c r="R30" s="79" t="n"/>
      <c r="S30" s="79" t="n"/>
      <c r="T30" s="79" t="n"/>
      <c r="U30" s="76" t="inlineStr">
        <is>
          <t>면적 재실측 예정(작년수치 그대로씀)</t>
        </is>
      </c>
      <c r="V30" s="77" t="n">
        <v>0.0004173</v>
      </c>
      <c r="W30" s="77" t="n">
        <v>372.9375</v>
      </c>
    </row>
    <row r="31" ht="14.25" customHeight="1" s="60">
      <c r="B31" s="75" t="inlineStr">
        <is>
          <t>대한민국</t>
        </is>
      </c>
      <c r="C31" s="75" t="inlineStr">
        <is>
          <t>물류단지임대구역G</t>
        </is>
      </c>
      <c r="D31" s="79" t="n">
        <v>32800</v>
      </c>
      <c r="E31" s="79" t="n">
        <v>4050</v>
      </c>
      <c r="F31" s="75" t="inlineStr">
        <is>
          <t>전력</t>
        </is>
      </c>
      <c r="G31" s="79" t="inlineStr">
        <is>
          <t>kwh</t>
        </is>
      </c>
      <c r="H31" s="79" t="n"/>
      <c r="I31" s="79" t="n">
        <v>4980000</v>
      </c>
      <c r="J31" s="79" t="n">
        <v>4980000</v>
      </c>
      <c r="K31" s="79" t="n">
        <v>4980000</v>
      </c>
      <c r="L31" s="79" t="n">
        <v>4980000</v>
      </c>
      <c r="M31" s="79" t="n">
        <v>4980000</v>
      </c>
      <c r="N31" s="79" t="n">
        <v>4980000</v>
      </c>
      <c r="O31" s="79" t="n">
        <v>4980000</v>
      </c>
      <c r="P31" s="79" t="n">
        <v>4980000</v>
      </c>
      <c r="Q31" s="79" t="n">
        <v>4980000</v>
      </c>
      <c r="R31" s="79" t="n">
        <v>4980000</v>
      </c>
      <c r="S31" s="79" t="n">
        <v>4980000</v>
      </c>
      <c r="T31" s="79" t="n">
        <v>4980000</v>
      </c>
      <c r="U31" s="78" t="n"/>
      <c r="V31" s="77" t="n">
        <v>0.0004173</v>
      </c>
      <c r="W31" s="77" t="n">
        <v>3079.215987804878</v>
      </c>
    </row>
    <row r="32" ht="14.25" customHeight="1" s="60">
      <c r="B32" s="75" t="inlineStr">
        <is>
          <t>일본</t>
        </is>
      </c>
      <c r="C32" s="75" t="inlineStr">
        <is>
          <t xml:space="preserve">오사카 임대매장 </t>
        </is>
      </c>
      <c r="D32" s="79" t="n">
        <v>6720</v>
      </c>
      <c r="E32" s="79" t="n">
        <v>58</v>
      </c>
      <c r="F32" s="75" t="inlineStr">
        <is>
          <t>전력</t>
        </is>
      </c>
      <c r="G32" s="79" t="inlineStr">
        <is>
          <t>kWh</t>
        </is>
      </c>
      <c r="H32" s="79" t="n">
        <v>16100000</v>
      </c>
      <c r="I32" s="79" t="n"/>
      <c r="J32" s="79" t="n"/>
      <c r="K32" s="79" t="n"/>
      <c r="L32" s="79" t="n"/>
      <c r="M32" s="79" t="n"/>
      <c r="N32" s="79" t="n"/>
      <c r="O32" s="79" t="n"/>
      <c r="P32" s="79" t="n"/>
      <c r="Q32" s="79" t="n"/>
      <c r="R32" s="79" t="n"/>
      <c r="S32" s="79" t="n"/>
      <c r="T32" s="79" t="n"/>
      <c r="U32" s="76" t="inlineStr">
        <is>
          <t>오사카 임대매장 면적 배분(추가)</t>
        </is>
      </c>
      <c r="V32" s="77" t="n">
        <v>0.0004173</v>
      </c>
      <c r="W32" s="77" t="n">
        <v>57.98731250000001</v>
      </c>
    </row>
    <row r="33" ht="14.25" customHeight="1" s="60">
      <c r="B33" s="79" t="n"/>
      <c r="C33" s="79" t="n"/>
      <c r="D33" s="79" t="n"/>
      <c r="E33" s="79" t="n"/>
      <c r="F33" s="75" t="n"/>
      <c r="G33" s="79" t="n"/>
      <c r="H33" s="79" t="n"/>
      <c r="I33" s="79" t="n"/>
      <c r="J33" s="79" t="n"/>
      <c r="K33" s="79" t="n"/>
      <c r="L33" s="79" t="n"/>
      <c r="M33" s="79" t="n"/>
      <c r="N33" s="79" t="n"/>
      <c r="O33" s="79" t="n"/>
      <c r="P33" s="79" t="n"/>
      <c r="Q33" s="79" t="n"/>
      <c r="R33" s="79" t="n"/>
      <c r="S33" s="79" t="n"/>
      <c r="T33" s="79" t="n"/>
      <c r="U33" s="78" t="n"/>
      <c r="V33" s="77" t="n"/>
      <c r="W33" s="77" t="n"/>
    </row>
    <row r="34" ht="14.25" customHeight="1" s="60">
      <c r="B34" s="79" t="n"/>
      <c r="C34" s="79" t="n"/>
      <c r="D34" s="79" t="n"/>
      <c r="E34" s="79" t="n"/>
      <c r="F34" s="75" t="n"/>
      <c r="G34" s="79" t="n"/>
      <c r="H34" s="79" t="n"/>
      <c r="I34" s="79" t="n"/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9" t="n"/>
      <c r="T34" s="79" t="n"/>
      <c r="U34" s="78" t="n"/>
      <c r="V34" s="77" t="n"/>
      <c r="W34" s="77" t="n"/>
    </row>
    <row r="35" ht="14.25" customHeight="1" s="60">
      <c r="B35" s="79" t="n"/>
      <c r="C35" s="79" t="n"/>
      <c r="D35" s="79" t="n"/>
      <c r="E35" s="79" t="n"/>
      <c r="F35" s="75" t="n"/>
      <c r="G35" s="79" t="n"/>
      <c r="H35" s="79" t="n"/>
      <c r="I35" s="79" t="n"/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9" t="n"/>
      <c r="T35" s="79" t="n"/>
      <c r="U35" s="78" t="n"/>
      <c r="V35" s="77" t="n"/>
      <c r="W35" s="77" t="n"/>
    </row>
    <row r="36" ht="14.25" customHeight="1" s="60">
      <c r="B36" s="79" t="n"/>
      <c r="C36" s="79" t="n"/>
      <c r="D36" s="79" t="n"/>
      <c r="E36" s="79" t="n"/>
      <c r="F36" s="75" t="n"/>
      <c r="G36" s="79" t="n"/>
      <c r="H36" s="79" t="n"/>
      <c r="I36" s="79" t="n"/>
      <c r="J36" s="79" t="n"/>
      <c r="K36" s="79" t="n"/>
      <c r="L36" s="79" t="n"/>
      <c r="M36" s="79" t="n"/>
      <c r="N36" s="79" t="n"/>
      <c r="O36" s="79" t="n"/>
      <c r="P36" s="79" t="n"/>
      <c r="Q36" s="79" t="n"/>
      <c r="R36" s="79" t="n"/>
      <c r="S36" s="79" t="n"/>
      <c r="T36" s="79" t="n"/>
      <c r="U36" s="78" t="n"/>
      <c r="V36" s="77" t="n"/>
      <c r="W36" s="77" t="n"/>
    </row>
    <row r="37" ht="14.25" customHeight="1" s="60">
      <c r="B37" s="79" t="n"/>
      <c r="C37" s="79" t="n"/>
      <c r="D37" s="79" t="n"/>
      <c r="E37" s="79" t="n"/>
      <c r="F37" s="75" t="n"/>
      <c r="G37" s="79" t="n"/>
      <c r="H37" s="79" t="n"/>
      <c r="I37" s="79" t="n"/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9" t="n"/>
      <c r="T37" s="79" t="n"/>
      <c r="U37" s="78" t="n"/>
      <c r="V37" s="77" t="n"/>
      <c r="W37" s="77" t="n"/>
    </row>
    <row r="38" ht="14.25" customHeight="1" s="60">
      <c r="B38" s="79" t="n"/>
      <c r="C38" s="79" t="n"/>
      <c r="D38" s="79" t="n"/>
      <c r="E38" s="79" t="n"/>
      <c r="F38" s="75" t="n"/>
      <c r="G38" s="79" t="n"/>
      <c r="H38" s="79" t="n"/>
      <c r="I38" s="79" t="n"/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9" t="n"/>
      <c r="T38" s="79" t="n"/>
      <c r="U38" s="78" t="n"/>
      <c r="V38" s="77" t="n"/>
      <c r="W38" s="77" t="n"/>
    </row>
    <row r="39" ht="14.25" customHeight="1" s="60">
      <c r="B39" s="79" t="n"/>
      <c r="C39" s="79" t="n"/>
      <c r="D39" s="79" t="n"/>
      <c r="E39" s="79" t="n"/>
      <c r="F39" s="75" t="n"/>
      <c r="G39" s="79" t="n"/>
      <c r="H39" s="79" t="n"/>
      <c r="I39" s="79" t="n"/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9" t="n"/>
      <c r="U39" s="78" t="n"/>
      <c r="V39" s="77" t="n"/>
      <c r="W39" s="77" t="n"/>
    </row>
    <row r="40" ht="14.25" customHeight="1" s="60">
      <c r="B40" s="79" t="n"/>
      <c r="C40" s="79" t="n"/>
      <c r="D40" s="79" t="n"/>
      <c r="E40" s="79" t="n"/>
      <c r="F40" s="75" t="n"/>
      <c r="G40" s="79" t="n"/>
      <c r="H40" s="79" t="n"/>
      <c r="I40" s="79" t="n"/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9" t="n"/>
      <c r="T40" s="79" t="n"/>
      <c r="U40" s="78" t="n"/>
      <c r="V40" s="77" t="n"/>
      <c r="W40" s="77" t="n"/>
    </row>
    <row r="41" ht="14.25" customHeight="1" s="60">
      <c r="B41" s="79" t="n"/>
      <c r="C41" s="79" t="n"/>
      <c r="D41" s="79" t="n"/>
      <c r="E41" s="79" t="n"/>
      <c r="F41" s="75" t="n"/>
      <c r="G41" s="79" t="n"/>
      <c r="H41" s="79" t="n"/>
      <c r="I41" s="79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9" t="n"/>
      <c r="T41" s="79" t="n"/>
      <c r="U41" s="78" t="n"/>
      <c r="V41" s="77" t="n"/>
      <c r="W41" s="77" t="n"/>
    </row>
    <row r="42" ht="14.25" customHeight="1" s="60">
      <c r="B42" s="79" t="n"/>
      <c r="C42" s="79" t="n"/>
      <c r="D42" s="79" t="n"/>
      <c r="E42" s="79" t="n"/>
      <c r="F42" s="75" t="n"/>
      <c r="G42" s="79" t="n"/>
      <c r="H42" s="79" t="n"/>
      <c r="I42" s="79" t="n"/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9" t="n"/>
      <c r="T42" s="79" t="n"/>
      <c r="U42" s="78" t="n"/>
      <c r="V42" s="77" t="n"/>
      <c r="W42" s="77" t="n"/>
    </row>
    <row r="43" ht="14.25" customHeight="1" s="60">
      <c r="B43" s="79" t="n"/>
      <c r="C43" s="79" t="n"/>
      <c r="D43" s="79" t="n"/>
      <c r="E43" s="79" t="n"/>
      <c r="F43" s="75" t="n"/>
      <c r="G43" s="79" t="n"/>
      <c r="H43" s="79" t="n"/>
      <c r="I43" s="7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9" t="n"/>
      <c r="T43" s="79" t="n"/>
      <c r="U43" s="78" t="n"/>
      <c r="V43" s="77" t="n"/>
      <c r="W43" s="77" t="n"/>
    </row>
    <row r="44" ht="14.25" customHeight="1" s="60">
      <c r="B44" s="79" t="n"/>
      <c r="C44" s="79" t="n"/>
      <c r="D44" s="79" t="n"/>
      <c r="E44" s="79" t="n"/>
      <c r="F44" s="75" t="n"/>
      <c r="G44" s="79" t="n"/>
      <c r="H44" s="79" t="n"/>
      <c r="I44" s="79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9" t="n"/>
      <c r="T44" s="79" t="n"/>
      <c r="U44" s="78" t="n"/>
      <c r="V44" s="77" t="n"/>
      <c r="W44" s="77" t="n"/>
    </row>
    <row r="45" ht="14.25" customHeight="1" s="60">
      <c r="B45" s="79" t="n"/>
      <c r="C45" s="79" t="n"/>
      <c r="D45" s="79" t="n"/>
      <c r="E45" s="79" t="n"/>
      <c r="F45" s="75" t="n"/>
      <c r="G45" s="79" t="n"/>
      <c r="H45" s="79" t="n"/>
      <c r="I45" s="79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9" t="n"/>
      <c r="T45" s="79" t="n"/>
      <c r="U45" s="78" t="n"/>
      <c r="V45" s="77" t="n"/>
      <c r="W45" s="77" t="n"/>
    </row>
    <row r="46" ht="14.25" customHeight="1" s="60">
      <c r="B46" s="79" t="n"/>
      <c r="C46" s="79" t="n"/>
      <c r="D46" s="79" t="n"/>
      <c r="E46" s="79" t="n"/>
      <c r="F46" s="75" t="n"/>
      <c r="G46" s="79" t="n"/>
      <c r="H46" s="79" t="n"/>
      <c r="I46" s="79" t="n"/>
      <c r="J46" s="79" t="n"/>
      <c r="K46" s="79" t="n"/>
      <c r="L46" s="79" t="n"/>
      <c r="M46" s="79" t="n"/>
      <c r="N46" s="79" t="n"/>
      <c r="O46" s="79" t="n"/>
      <c r="P46" s="79" t="n"/>
      <c r="Q46" s="79" t="n"/>
      <c r="R46" s="79" t="n"/>
      <c r="S46" s="79" t="n"/>
      <c r="T46" s="79" t="n"/>
      <c r="U46" s="78" t="n"/>
      <c r="V46" s="77" t="n"/>
      <c r="W46" s="77" t="n"/>
    </row>
    <row r="47" ht="14.25" customHeight="1" s="60">
      <c r="B47" s="79" t="n"/>
      <c r="C47" s="79" t="n"/>
      <c r="D47" s="79" t="n"/>
      <c r="E47" s="79" t="n"/>
      <c r="F47" s="75" t="n"/>
      <c r="G47" s="79" t="n"/>
      <c r="H47" s="79" t="n"/>
      <c r="I47" s="79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9" t="n"/>
      <c r="T47" s="79" t="n"/>
      <c r="U47" s="78" t="n"/>
      <c r="V47" s="77" t="n"/>
      <c r="W47" s="77" t="n"/>
    </row>
    <row r="48" ht="14.25" customHeight="1" s="60">
      <c r="B48" s="79" t="n"/>
      <c r="C48" s="79" t="n"/>
      <c r="D48" s="79" t="n"/>
      <c r="E48" s="79" t="n"/>
      <c r="F48" s="75" t="n"/>
      <c r="G48" s="79" t="n"/>
      <c r="H48" s="79" t="n"/>
      <c r="I48" s="79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9" t="n"/>
      <c r="T48" s="79" t="n"/>
      <c r="U48" s="78" t="n"/>
      <c r="V48" s="77" t="n"/>
      <c r="W48" s="77" t="n"/>
    </row>
    <row r="49" ht="14.25" customHeight="1" s="60">
      <c r="B49" s="79" t="n"/>
      <c r="C49" s="79" t="n"/>
      <c r="D49" s="79" t="n"/>
      <c r="E49" s="79" t="n"/>
      <c r="F49" s="75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78" t="n"/>
      <c r="V49" s="77" t="n"/>
      <c r="W49" s="77" t="n"/>
    </row>
    <row r="50" ht="14.25" customHeight="1" s="60">
      <c r="B50" s="79" t="n"/>
      <c r="C50" s="79" t="n"/>
      <c r="D50" s="79" t="n"/>
      <c r="E50" s="79" t="n"/>
      <c r="F50" s="75" t="n"/>
      <c r="G50" s="79" t="n"/>
      <c r="H50" s="79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9" t="n"/>
      <c r="T50" s="79" t="n"/>
      <c r="U50" s="78" t="n"/>
      <c r="V50" s="77" t="n"/>
      <c r="W50" s="77" t="n"/>
    </row>
    <row r="51" ht="14.25" customHeight="1" s="60">
      <c r="B51" s="79" t="n"/>
      <c r="C51" s="79" t="n"/>
      <c r="D51" s="79" t="n"/>
      <c r="E51" s="79" t="n"/>
      <c r="F51" s="75" t="n"/>
      <c r="G51" s="79" t="n"/>
      <c r="H51" s="79" t="n"/>
      <c r="I51" s="79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9" t="n"/>
      <c r="T51" s="79" t="n"/>
      <c r="U51" s="78" t="n"/>
      <c r="V51" s="77" t="n"/>
      <c r="W51" s="77" t="n"/>
    </row>
    <row r="52" ht="14.25" customHeight="1" s="60">
      <c r="B52" s="79" t="n"/>
      <c r="C52" s="79" t="n"/>
      <c r="D52" s="79" t="n"/>
      <c r="E52" s="79" t="n"/>
      <c r="F52" s="75" t="n"/>
      <c r="G52" s="79" t="n"/>
      <c r="H52" s="79" t="n"/>
      <c r="I52" s="79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9" t="n"/>
      <c r="T52" s="79" t="n"/>
      <c r="U52" s="78" t="n"/>
      <c r="V52" s="77" t="n"/>
      <c r="W52" s="77" t="n"/>
    </row>
    <row r="53" ht="14.25" customHeight="1" s="60">
      <c r="B53" s="79" t="n"/>
      <c r="C53" s="79" t="n"/>
      <c r="D53" s="79" t="n"/>
      <c r="E53" s="79" t="n"/>
      <c r="F53" s="75" t="n"/>
      <c r="G53" s="79" t="n"/>
      <c r="H53" s="79" t="n"/>
      <c r="I53" s="79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8" t="n"/>
      <c r="V53" s="77" t="n"/>
      <c r="W53" s="77" t="n"/>
    </row>
    <row r="54" ht="14.25" customHeight="1" s="60">
      <c r="B54" s="79" t="n"/>
      <c r="C54" s="79" t="n"/>
      <c r="D54" s="79" t="n"/>
      <c r="E54" s="79" t="n"/>
      <c r="F54" s="75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78" t="n"/>
      <c r="V54" s="77" t="n"/>
      <c r="W54" s="77" t="n"/>
    </row>
    <row r="55" ht="14.25" customHeight="1" s="60">
      <c r="B55" s="79" t="n"/>
      <c r="C55" s="79" t="n"/>
      <c r="D55" s="79" t="n"/>
      <c r="E55" s="79" t="n"/>
      <c r="F55" s="75" t="n"/>
      <c r="G55" s="79" t="n"/>
      <c r="H55" s="79" t="n"/>
      <c r="I55" s="79" t="n"/>
      <c r="J55" s="79" t="n"/>
      <c r="K55" s="79" t="n"/>
      <c r="L55" s="79" t="n"/>
      <c r="M55" s="79" t="n"/>
      <c r="N55" s="79" t="n"/>
      <c r="O55" s="79" t="n"/>
      <c r="P55" s="79" t="n"/>
      <c r="Q55" s="79" t="n"/>
      <c r="R55" s="79" t="n"/>
      <c r="S55" s="79" t="n"/>
      <c r="T55" s="79" t="n"/>
      <c r="U55" s="78" t="n"/>
      <c r="V55" s="77" t="n"/>
      <c r="W55" s="77" t="n"/>
    </row>
  </sheetData>
  <mergeCells count="10">
    <mergeCell ref="U18:U19"/>
    <mergeCell ref="W18:W19"/>
    <mergeCell ref="D18:D19"/>
    <mergeCell ref="B18:B19"/>
    <mergeCell ref="E18:E19"/>
    <mergeCell ref="C18:C19"/>
    <mergeCell ref="I18:T18"/>
    <mergeCell ref="G18:G19"/>
    <mergeCell ref="V18:V19"/>
    <mergeCell ref="F18:F19"/>
  </mergeCells>
  <dataValidations count="2">
    <dataValidation sqref="F21:F220" showDropDown="0" showInputMessage="0" showErrorMessage="0" allowBlank="0" type="list" errorStyle="stop" operator="between">
      <formula1>"전력,도시가스,스팀,경유,휘발유,등유,중유,LPG,천연가스,기타"</formula1>
      <formula2>0</formula2>
    </dataValidation>
    <dataValidation sqref="G21:G220" showDropDown="0" showInputMessage="0" showErrorMessage="0" allowBlank="0" type="list" errorStyle="stop" operator="between">
      <formula1>"kWh,MJ,kg,L,m3,Nm3,ton"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W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59" min="2" max="2"/>
    <col width="18" customWidth="1" style="59" min="3" max="4"/>
    <col width="16" customWidth="1" style="59" min="5" max="6"/>
    <col width="10" customWidth="1" style="59" min="7" max="7"/>
    <col width="19.87" customWidth="1" style="59" min="8" max="8"/>
    <col width="8" customWidth="1" style="59" min="9" max="20"/>
    <col width="18" customWidth="1" style="59" min="21" max="21"/>
    <col width="20" customWidth="1" style="59" min="22" max="22"/>
    <col width="16" customWidth="1" style="59" min="23" max="23"/>
  </cols>
  <sheetData>
    <row r="1"/>
    <row r="2" ht="20.25" customHeight="1" s="60">
      <c r="B2" s="61" t="inlineStr">
        <is>
          <t>C13. 다운스트림 임대자산 3안. 인원수로 비율을 계산해야 할 때</t>
        </is>
      </c>
    </row>
    <row r="3"/>
    <row r="4" ht="14.25" customHeight="1" s="60">
      <c r="B4" s="62" t="inlineStr">
        <is>
          <t>카테고리 정의</t>
        </is>
      </c>
    </row>
    <row r="5" ht="14.25" customHeight="1" s="60">
      <c r="B5" s="63" t="inlineStr">
        <is>
          <t>- 회사가 사용하는 임대자산의 에너지 사용량과 면적 정보를 직접 알 수 없는 경우 산정</t>
        </is>
      </c>
    </row>
    <row r="6" ht="14.25" customHeight="1" s="60">
      <c r="B6" s="63" t="inlineStr">
        <is>
          <t>- 건물 전체 에너지 사용량은 알고 있으나 인원수 기준으로 배분해야 할 때 작성</t>
        </is>
      </c>
    </row>
    <row r="7"/>
    <row r="8"/>
    <row r="9" ht="14.25" customHeight="1" s="60">
      <c r="B9" s="62" t="inlineStr">
        <is>
          <t>작성 기준</t>
        </is>
      </c>
    </row>
    <row r="10" ht="14.25" customHeight="1" s="60">
      <c r="B10" s="63" t="inlineStr">
        <is>
          <t>1) 온실가스 산정 식: Σ((자사 인원수 / 건물전체 인원수) × 건물전체 에너지 사용량 × 에너지원별 배출계수)</t>
        </is>
      </c>
    </row>
    <row r="11" ht="14.25" customHeight="1" s="60">
      <c r="B11" s="63" t="inlineStr">
        <is>
          <t xml:space="preserve"> - 온실가스 배출 계수는 국가 승인 고유 배출계수(국내)와 IPCC 가이드라인 배출계수(해외), 환경부_환경성적표지(EPD) 배출계수를 활용</t>
        </is>
      </c>
    </row>
    <row r="12" ht="14.25" customHeight="1" s="60">
      <c r="B12" s="63" t="inlineStr">
        <is>
          <t>2) 건물전체 인원수와 자사 인원수는 반드시 작성</t>
        </is>
      </c>
    </row>
    <row r="13" ht="14.25" customHeight="1" s="60">
      <c r="B13" s="63" t="inlineStr">
        <is>
          <t>3) 면적 기준 자료가 있는 경우에는 인원수 기준보다 면적 기준 산정을 우선 적용</t>
        </is>
      </c>
    </row>
    <row r="14"/>
    <row r="15"/>
    <row r="16" ht="14.25" customHeight="1" s="60">
      <c r="B16" s="64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0">
      <c r="B17" s="64" t="inlineStr">
        <is>
          <t>※ 주황색으로 표시된 필수 입력칸은 반드시 작성해야 합니다.</t>
        </is>
      </c>
    </row>
    <row r="18" ht="15" customHeight="1" s="60">
      <c r="B18" s="65" t="inlineStr">
        <is>
          <t>*국가</t>
        </is>
      </c>
      <c r="C18" s="65" t="inlineStr">
        <is>
          <t>*임대자산명</t>
        </is>
      </c>
      <c r="D18" s="65" t="inlineStr">
        <is>
          <t>*건물전체 인원수</t>
        </is>
      </c>
      <c r="E18" s="65" t="inlineStr">
        <is>
          <t>*자사 인원수</t>
        </is>
      </c>
      <c r="F18" s="65" t="inlineStr">
        <is>
          <t>*에너지종류</t>
        </is>
      </c>
      <c r="G18" s="65" t="inlineStr">
        <is>
          <t>*단위</t>
        </is>
      </c>
      <c r="H18" s="67" t="inlineStr">
        <is>
          <t>연간 입력</t>
        </is>
      </c>
      <c r="I18" s="67" t="inlineStr">
        <is>
          <t>건물전체 월별사용량</t>
        </is>
      </c>
      <c r="J18" s="68" t="n"/>
      <c r="K18" s="68" t="n"/>
      <c r="L18" s="68" t="n"/>
      <c r="M18" s="68" t="n"/>
      <c r="N18" s="68" t="n"/>
      <c r="O18" s="68" t="n"/>
      <c r="P18" s="68" t="n"/>
      <c r="Q18" s="68" t="n"/>
      <c r="R18" s="68" t="n"/>
      <c r="S18" s="68" t="n"/>
      <c r="T18" s="69" t="n"/>
      <c r="U18" s="66" t="inlineStr">
        <is>
          <t>비고(선택)</t>
        </is>
      </c>
      <c r="V18" s="66" t="inlineStr">
        <is>
          <t>배출계수(tCO2e/단위)</t>
        </is>
      </c>
      <c r="W18" s="66" t="inlineStr">
        <is>
          <t>배출량(tCO2e)</t>
        </is>
      </c>
    </row>
    <row r="19" ht="15.75" customHeight="1" s="60">
      <c r="B19" s="70" t="n"/>
      <c r="C19" s="70" t="n"/>
      <c r="D19" s="70" t="n"/>
      <c r="E19" s="70" t="n"/>
      <c r="F19" s="70" t="n"/>
      <c r="G19" s="70" t="n"/>
      <c r="H19" s="65" t="inlineStr">
        <is>
          <t>*건물전체 연간사용량</t>
        </is>
      </c>
      <c r="I19" s="65" t="inlineStr">
        <is>
          <t>1월</t>
        </is>
      </c>
      <c r="J19" s="65" t="inlineStr">
        <is>
          <t>2월</t>
        </is>
      </c>
      <c r="K19" s="65" t="inlineStr">
        <is>
          <t>3월</t>
        </is>
      </c>
      <c r="L19" s="65" t="inlineStr">
        <is>
          <t>4월</t>
        </is>
      </c>
      <c r="M19" s="65" t="inlineStr">
        <is>
          <t>5월</t>
        </is>
      </c>
      <c r="N19" s="65" t="inlineStr">
        <is>
          <t>6월</t>
        </is>
      </c>
      <c r="O19" s="65" t="inlineStr">
        <is>
          <t>7월</t>
        </is>
      </c>
      <c r="P19" s="65" t="inlineStr">
        <is>
          <t>8월</t>
        </is>
      </c>
      <c r="Q19" s="65" t="inlineStr">
        <is>
          <t>9월</t>
        </is>
      </c>
      <c r="R19" s="65" t="inlineStr">
        <is>
          <t>10월</t>
        </is>
      </c>
      <c r="S19" s="65" t="inlineStr">
        <is>
          <t>11월</t>
        </is>
      </c>
      <c r="T19" s="65" t="inlineStr">
        <is>
          <t>12월</t>
        </is>
      </c>
      <c r="U19" s="70" t="n"/>
      <c r="V19" s="70" t="n"/>
      <c r="W19" s="70" t="n"/>
    </row>
    <row r="20" ht="32.25" customHeight="1" s="60">
      <c r="B20" s="71" t="inlineStr">
        <is>
          <t>대한민국</t>
        </is>
      </c>
      <c r="C20" s="71" t="inlineStr">
        <is>
          <t>임대 오피스 C</t>
        </is>
      </c>
      <c r="D20" s="71" t="n">
        <v>1432</v>
      </c>
      <c r="E20" s="71" t="n">
        <v>122</v>
      </c>
      <c r="F20" s="71" t="inlineStr">
        <is>
          <t>전력</t>
        </is>
      </c>
      <c r="G20" s="72" t="inlineStr">
        <is>
          <t>kWh</t>
        </is>
      </c>
      <c r="H20" s="71" t="n">
        <v>485000</v>
      </c>
      <c r="I20" s="71" t="n"/>
      <c r="J20" s="71" t="n"/>
      <c r="K20" s="71" t="n"/>
      <c r="L20" s="71" t="n"/>
      <c r="M20" s="71" t="n"/>
      <c r="N20" s="71" t="n"/>
      <c r="O20" s="71" t="n"/>
      <c r="P20" s="71" t="n"/>
      <c r="Q20" s="71" t="n"/>
      <c r="R20" s="71" t="n"/>
      <c r="S20" s="71" t="n"/>
      <c r="T20" s="71" t="n"/>
      <c r="U20" s="73" t="inlineStr">
        <is>
          <t>임차인 인원 기준 전력 배분</t>
        </is>
      </c>
      <c r="V20" s="74" t="n">
        <v>0.0004173</v>
      </c>
      <c r="W20" s="74" t="n">
        <v>17.24276606145251</v>
      </c>
    </row>
    <row r="21" ht="32.25" customHeight="1" s="60">
      <c r="B21" s="75" t="inlineStr">
        <is>
          <t>대한민국</t>
        </is>
      </c>
      <c r="C21" s="75" t="inlineStr">
        <is>
          <t>교육시설 임대 D</t>
        </is>
      </c>
      <c r="D21" s="75" t="n">
        <v>520</v>
      </c>
      <c r="E21" s="75" t="n">
        <v>90</v>
      </c>
      <c r="F21" s="75" t="inlineStr">
        <is>
          <t>도시가스(LNG)</t>
        </is>
      </c>
      <c r="G21" s="79" t="inlineStr">
        <is>
          <t>Nm³</t>
        </is>
      </c>
      <c r="H21" s="75" t="n"/>
      <c r="I21" s="75" t="n">
        <v>1600</v>
      </c>
      <c r="J21" s="75" t="n">
        <v>1600</v>
      </c>
      <c r="K21" s="75" t="n">
        <v>1600</v>
      </c>
      <c r="L21" s="75" t="n">
        <v>1600</v>
      </c>
      <c r="M21" s="75" t="n">
        <v>1600</v>
      </c>
      <c r="N21" s="75" t="n">
        <v>1600</v>
      </c>
      <c r="O21" s="75" t="n">
        <v>1600</v>
      </c>
      <c r="P21" s="75" t="n">
        <v>1600</v>
      </c>
      <c r="Q21" s="75" t="n">
        <v>1600</v>
      </c>
      <c r="R21" s="75" t="n">
        <v>1600</v>
      </c>
      <c r="S21" s="75" t="n">
        <v>1600</v>
      </c>
      <c r="T21" s="75" t="n">
        <v>1600</v>
      </c>
      <c r="U21" s="76" t="inlineStr">
        <is>
          <t>임차인 교육공간 난방 사용량</t>
        </is>
      </c>
      <c r="V21" s="77" t="n">
        <v>0.0021621</v>
      </c>
      <c r="W21" s="77" t="n">
        <v>7.184824615384616</v>
      </c>
    </row>
    <row r="22" ht="32.25" customHeight="1" s="60">
      <c r="B22" s="75" t="inlineStr">
        <is>
          <t>일본</t>
        </is>
      </c>
      <c r="C22" s="75" t="inlineStr">
        <is>
          <t>일본 임대오피스</t>
        </is>
      </c>
      <c r="D22" s="75" t="n">
        <v>900</v>
      </c>
      <c r="E22" s="75" t="n">
        <v>40</v>
      </c>
      <c r="F22" s="75" t="inlineStr">
        <is>
          <t>전력</t>
        </is>
      </c>
      <c r="G22" s="79" t="inlineStr">
        <is>
          <t>kWh</t>
        </is>
      </c>
      <c r="H22" s="75" t="n">
        <v>250000</v>
      </c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6" t="inlineStr">
        <is>
          <t>해외 임대오피스 인원 배분</t>
        </is>
      </c>
      <c r="V22" s="77" t="n">
        <v>0.0004173</v>
      </c>
      <c r="W22" s="77" t="n">
        <v>4.636666666666667</v>
      </c>
    </row>
    <row r="23" ht="32.25" customHeight="1" s="60">
      <c r="B23" s="75" t="inlineStr">
        <is>
          <t>대한민국</t>
        </is>
      </c>
      <c r="C23" s="75" t="inlineStr">
        <is>
          <t>콜센터 임대 E</t>
        </is>
      </c>
      <c r="D23" s="75" t="n">
        <v>1200</v>
      </c>
      <c r="E23" s="75" t="n">
        <v>180</v>
      </c>
      <c r="F23" s="75" t="inlineStr">
        <is>
          <t>상수도</t>
        </is>
      </c>
      <c r="G23" s="79" t="inlineStr">
        <is>
          <t>m³</t>
        </is>
      </c>
      <c r="H23" s="75" t="n"/>
      <c r="I23" s="75" t="n">
        <v>1450</v>
      </c>
      <c r="J23" s="75" t="n">
        <v>1450</v>
      </c>
      <c r="K23" s="75" t="n">
        <v>1450</v>
      </c>
      <c r="L23" s="75" t="n">
        <v>1450</v>
      </c>
      <c r="M23" s="75" t="n">
        <v>1450</v>
      </c>
      <c r="N23" s="75" t="n">
        <v>1450</v>
      </c>
      <c r="O23" s="75" t="n">
        <v>1450</v>
      </c>
      <c r="P23" s="75" t="n">
        <v>1450</v>
      </c>
      <c r="Q23" s="75" t="n">
        <v>1450</v>
      </c>
      <c r="R23" s="75" t="n">
        <v>1450</v>
      </c>
      <c r="S23" s="75" t="n">
        <v>1450</v>
      </c>
      <c r="T23" s="75" t="n">
        <v>1450</v>
      </c>
      <c r="U23" s="76" t="inlineStr">
        <is>
          <t>공용 수도 사용량 인원 배분</t>
        </is>
      </c>
      <c r="V23" s="77" t="n">
        <v>0.000332</v>
      </c>
      <c r="W23" s="77" t="n">
        <v>0.8665200000000001</v>
      </c>
    </row>
    <row r="24" ht="32.25" customHeight="1" s="60">
      <c r="B24" s="75" t="inlineStr">
        <is>
          <t>대한민국</t>
        </is>
      </c>
      <c r="C24" s="75" t="inlineStr">
        <is>
          <t>임대 오피스 F</t>
        </is>
      </c>
      <c r="D24" s="79" t="n">
        <v>1650</v>
      </c>
      <c r="E24" s="79" t="n">
        <v>140</v>
      </c>
      <c r="F24" s="75" t="inlineStr">
        <is>
          <t>전력</t>
        </is>
      </c>
      <c r="G24" s="79" t="inlineStr">
        <is>
          <t>kWh</t>
        </is>
      </c>
      <c r="H24" s="79" t="n">
        <v>540000</v>
      </c>
      <c r="I24" s="79" t="n"/>
      <c r="J24" s="79" t="n"/>
      <c r="K24" s="79" t="n"/>
      <c r="L24" s="79" t="n"/>
      <c r="M24" s="79" t="n"/>
      <c r="N24" s="79" t="n"/>
      <c r="O24" s="79" t="n"/>
      <c r="P24" s="79" t="n"/>
      <c r="Q24" s="79" t="n"/>
      <c r="R24" s="79" t="n"/>
      <c r="S24" s="79" t="n"/>
      <c r="T24" s="79" t="n"/>
      <c r="U24" s="76" t="inlineStr">
        <is>
          <t>임대오피스F 인원 기준 전력 배분</t>
        </is>
      </c>
      <c r="V24" s="77" t="n">
        <v>0.0004173</v>
      </c>
      <c r="W24" s="77" t="n">
        <v>19.11992727272728</v>
      </c>
    </row>
    <row r="25" ht="32.25" customHeight="1" s="60">
      <c r="B25" s="75" t="inlineStr">
        <is>
          <t>대한민국</t>
        </is>
      </c>
      <c r="C25" s="75" t="inlineStr">
        <is>
          <t>임대 교육시설 G</t>
        </is>
      </c>
      <c r="D25" s="79" t="n">
        <v>480</v>
      </c>
      <c r="E25" s="79" t="n">
        <v>75</v>
      </c>
      <c r="F25" s="75" t="inlineStr">
        <is>
          <t>도시가스(LNG)</t>
        </is>
      </c>
      <c r="G25" s="79" t="inlineStr">
        <is>
          <t>Nm³</t>
        </is>
      </c>
      <c r="H25" s="79" t="n"/>
      <c r="I25" s="79" t="n">
        <v>1800</v>
      </c>
      <c r="J25" s="79" t="n">
        <v>1800</v>
      </c>
      <c r="K25" s="79" t="n">
        <v>1800</v>
      </c>
      <c r="L25" s="79" t="n">
        <v>1800</v>
      </c>
      <c r="M25" s="79" t="n">
        <v>1800</v>
      </c>
      <c r="N25" s="79" t="n">
        <v>1800</v>
      </c>
      <c r="O25" s="79" t="n">
        <v>1800</v>
      </c>
      <c r="P25" s="79" t="n">
        <v>1800</v>
      </c>
      <c r="Q25" s="79" t="n">
        <v>1800</v>
      </c>
      <c r="R25" s="79" t="n">
        <v>1800</v>
      </c>
      <c r="S25" s="79" t="n">
        <v>1800</v>
      </c>
      <c r="T25" s="79" t="n">
        <v>1800</v>
      </c>
      <c r="U25" s="76" t="inlineStr">
        <is>
          <t>임차인 교육공간 난방</t>
        </is>
      </c>
      <c r="V25" s="77" t="n">
        <v>0.0021621</v>
      </c>
      <c r="W25" s="77" t="n">
        <v>7.297087500000001</v>
      </c>
    </row>
    <row r="26" ht="32.25" customHeight="1" s="60">
      <c r="B26" s="75" t="inlineStr">
        <is>
          <t>일본</t>
        </is>
      </c>
      <c r="C26" s="75" t="inlineStr">
        <is>
          <t>오사카 임대오피스</t>
        </is>
      </c>
      <c r="D26" s="79" t="n">
        <v>980</v>
      </c>
      <c r="E26" s="79" t="n">
        <v>45</v>
      </c>
      <c r="F26" s="75" t="inlineStr">
        <is>
          <t>전력</t>
        </is>
      </c>
      <c r="G26" s="79" t="inlineStr">
        <is>
          <t>kWh</t>
        </is>
      </c>
      <c r="H26" s="79" t="n">
        <v>270000</v>
      </c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6" t="inlineStr">
        <is>
          <t>오사카 임대오피스 인원 배분</t>
        </is>
      </c>
      <c r="V26" s="77" t="n">
        <v>0.0004173</v>
      </c>
      <c r="W26" s="77" t="n">
        <v>5.17366836734694</v>
      </c>
    </row>
    <row r="27" ht="16.5" customHeight="1" s="60">
      <c r="B27" s="75" t="inlineStr">
        <is>
          <t>대한민국</t>
        </is>
      </c>
      <c r="C27" s="75" t="inlineStr">
        <is>
          <t>임대 콜센터 F</t>
        </is>
      </c>
      <c r="D27" s="79" t="n">
        <v>1350</v>
      </c>
      <c r="E27" s="79" t="n">
        <v>200</v>
      </c>
      <c r="F27" s="75" t="inlineStr">
        <is>
          <t>상수도</t>
        </is>
      </c>
      <c r="G27" s="79" t="inlineStr">
        <is>
          <t>m³</t>
        </is>
      </c>
      <c r="H27" s="79" t="n"/>
      <c r="I27" s="79" t="n">
        <v>1550</v>
      </c>
      <c r="J27" s="79" t="n">
        <v>1550</v>
      </c>
      <c r="K27" s="79" t="n">
        <v>1550</v>
      </c>
      <c r="L27" s="79" t="n">
        <v>1550</v>
      </c>
      <c r="M27" s="79" t="n">
        <v>1550</v>
      </c>
      <c r="N27" s="79" t="n">
        <v>1550</v>
      </c>
      <c r="O27" s="79" t="n">
        <v>1550</v>
      </c>
      <c r="P27" s="79" t="n">
        <v>1550</v>
      </c>
      <c r="Q27" s="79" t="n">
        <v>1550</v>
      </c>
      <c r="R27" s="79" t="n">
        <v>1550</v>
      </c>
      <c r="S27" s="79" t="n">
        <v>1550</v>
      </c>
      <c r="T27" s="79" t="n">
        <v>1550</v>
      </c>
      <c r="U27" s="76" t="inlineStr">
        <is>
          <t>공용 수도 인원 배분</t>
        </is>
      </c>
      <c r="V27" s="77" t="n">
        <v>0.000332</v>
      </c>
      <c r="W27" s="77" t="n">
        <v>0.9148444444444443</v>
      </c>
    </row>
    <row r="28" ht="32.25" customHeight="1" s="60">
      <c r="B28" s="75" t="inlineStr">
        <is>
          <t>미국</t>
        </is>
      </c>
      <c r="C28" s="75" t="inlineStr">
        <is>
          <t>뉴욕 임대오피스</t>
        </is>
      </c>
      <c r="D28" s="79" t="n">
        <v>850</v>
      </c>
      <c r="E28" s="79" t="n">
        <v>30</v>
      </c>
      <c r="F28" s="75" t="inlineStr">
        <is>
          <t>전력</t>
        </is>
      </c>
      <c r="G28" s="79" t="inlineStr">
        <is>
          <t>kWh</t>
        </is>
      </c>
      <c r="H28" s="79" t="n">
        <v>210000</v>
      </c>
      <c r="I28" s="79" t="n"/>
      <c r="J28" s="79" t="n"/>
      <c r="K28" s="79" t="n"/>
      <c r="L28" s="79" t="n"/>
      <c r="M28" s="79" t="n"/>
      <c r="N28" s="79" t="n"/>
      <c r="O28" s="79" t="n"/>
      <c r="P28" s="79" t="n"/>
      <c r="Q28" s="79" t="n"/>
      <c r="R28" s="79" t="n"/>
      <c r="S28" s="79" t="n"/>
      <c r="T28" s="79" t="n"/>
      <c r="U28" s="76" t="inlineStr">
        <is>
          <t>뉴욕 임대오피스 인원 배분</t>
        </is>
      </c>
      <c r="V28" s="77" t="n">
        <v>0.0004173</v>
      </c>
      <c r="W28" s="77" t="n">
        <v>3.092929411764706</v>
      </c>
    </row>
    <row r="29" ht="32.25" customHeight="1" s="60">
      <c r="B29" s="75" t="inlineStr">
        <is>
          <t>대한민국</t>
        </is>
      </c>
      <c r="C29" s="75" t="inlineStr">
        <is>
          <t>임대 물류사무동</t>
        </is>
      </c>
      <c r="D29" s="79" t="n">
        <v>320</v>
      </c>
      <c r="E29" s="79" t="n">
        <v>60</v>
      </c>
      <c r="F29" s="75" t="inlineStr">
        <is>
          <t>전력</t>
        </is>
      </c>
      <c r="G29" s="79" t="inlineStr">
        <is>
          <t>kWh</t>
        </is>
      </c>
      <c r="H29" s="79" t="n">
        <v>96000</v>
      </c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6" t="inlineStr">
        <is>
          <t>물류사무동 인원 배분</t>
        </is>
      </c>
      <c r="V29" s="77" t="n">
        <v>0.0004173</v>
      </c>
      <c r="W29" s="77" t="n">
        <v>7.5114</v>
      </c>
    </row>
    <row r="30" ht="14.25" customHeight="1" s="60">
      <c r="B30" s="75" t="inlineStr">
        <is>
          <t>대한민국</t>
        </is>
      </c>
      <c r="C30" s="75" t="inlineStr">
        <is>
          <t>임대오피스F</t>
        </is>
      </c>
      <c r="D30" s="79" t="n">
        <v>1610</v>
      </c>
      <c r="E30" s="79" t="n">
        <v>132</v>
      </c>
      <c r="F30" s="75" t="inlineStr">
        <is>
          <t>전력</t>
        </is>
      </c>
      <c r="G30" s="79" t="inlineStr">
        <is>
          <t>kWh</t>
        </is>
      </c>
      <c r="H30" s="79" t="n">
        <v>528000</v>
      </c>
      <c r="I30" s="79" t="n"/>
      <c r="J30" s="79" t="n"/>
      <c r="K30" s="79" t="n"/>
      <c r="L30" s="79" t="n"/>
      <c r="M30" s="79" t="n"/>
      <c r="N30" s="79" t="n"/>
      <c r="O30" s="79" t="n"/>
      <c r="P30" s="79" t="n"/>
      <c r="Q30" s="79" t="n"/>
      <c r="R30" s="79" t="n"/>
      <c r="S30" s="79" t="n"/>
      <c r="T30" s="79" t="n"/>
      <c r="U30" s="78" t="n"/>
      <c r="V30" s="77" t="n">
        <v>0.0004173</v>
      </c>
      <c r="W30" s="77" t="n">
        <v>18.06468372670807</v>
      </c>
    </row>
    <row r="31" ht="14.25" customHeight="1" s="60">
      <c r="B31" s="75" t="inlineStr">
        <is>
          <t>대한민국</t>
        </is>
      </c>
      <c r="C31" s="75" t="inlineStr">
        <is>
          <t xml:space="preserve">임대교육시설G </t>
        </is>
      </c>
      <c r="D31" s="79" t="n">
        <v>470</v>
      </c>
      <c r="E31" s="79" t="n">
        <v>71</v>
      </c>
      <c r="F31" s="75" t="inlineStr">
        <is>
          <t>도시가스(LNG)</t>
        </is>
      </c>
      <c r="G31" s="79" t="inlineStr">
        <is>
          <t>Nm3</t>
        </is>
      </c>
      <c r="H31" s="79" t="n"/>
      <c r="I31" s="79" t="n">
        <v>1720</v>
      </c>
      <c r="J31" s="79" t="n">
        <v>1720</v>
      </c>
      <c r="K31" s="79" t="n">
        <v>1720</v>
      </c>
      <c r="L31" s="79" t="n">
        <v>1720</v>
      </c>
      <c r="M31" s="79" t="n">
        <v>1720</v>
      </c>
      <c r="N31" s="79" t="n">
        <v>1720</v>
      </c>
      <c r="O31" s="79" t="n">
        <v>1720</v>
      </c>
      <c r="P31" s="79" t="n">
        <v>1720</v>
      </c>
      <c r="Q31" s="79" t="n">
        <v>1720</v>
      </c>
      <c r="R31" s="79" t="n">
        <v>1720</v>
      </c>
      <c r="S31" s="79" t="n">
        <v>1720</v>
      </c>
      <c r="T31" s="79" t="n">
        <v>1720</v>
      </c>
      <c r="U31" s="76" t="inlineStr">
        <is>
          <t>시설명 끝 공백, 단위표기도 Nm3(특수문자X)</t>
        </is>
      </c>
      <c r="V31" s="77" t="n">
        <v>0.0021621</v>
      </c>
      <c r="W31" s="77" t="n">
        <v>6.741335795744681</v>
      </c>
    </row>
    <row r="32" ht="14.25" customHeight="1" s="60">
      <c r="B32" s="75" t="inlineStr">
        <is>
          <t>일본</t>
        </is>
      </c>
      <c r="C32" s="75" t="inlineStr">
        <is>
          <t>오사카 임대오피스</t>
        </is>
      </c>
      <c r="D32" s="79" t="n">
        <v>965</v>
      </c>
      <c r="E32" s="79" t="n">
        <v>41</v>
      </c>
      <c r="F32" s="75" t="inlineStr">
        <is>
          <t>전력</t>
        </is>
      </c>
      <c r="G32" s="79" t="inlineStr">
        <is>
          <t>kwh</t>
        </is>
      </c>
      <c r="H32" s="79" t="n">
        <v>263000</v>
      </c>
      <c r="I32" s="79" t="n"/>
      <c r="J32" s="79" t="n"/>
      <c r="K32" s="79" t="n"/>
      <c r="L32" s="79" t="n"/>
      <c r="M32" s="79" t="n"/>
      <c r="N32" s="79" t="n"/>
      <c r="O32" s="79" t="n"/>
      <c r="P32" s="79" t="n"/>
      <c r="Q32" s="79" t="n"/>
      <c r="R32" s="79" t="n"/>
      <c r="S32" s="79" t="n"/>
      <c r="T32" s="79" t="n"/>
      <c r="U32" s="76" t="inlineStr">
        <is>
          <t>임대교육시설G 인원 배분(추가)</t>
        </is>
      </c>
      <c r="V32" s="77" t="n">
        <v>0.0004173</v>
      </c>
      <c r="W32" s="77" t="n">
        <v>4.662949119170984</v>
      </c>
    </row>
    <row r="33" ht="14.25" customHeight="1" s="60">
      <c r="B33" s="79" t="n"/>
      <c r="C33" s="79" t="n"/>
      <c r="D33" s="79" t="n"/>
      <c r="E33" s="79" t="n"/>
      <c r="F33" s="75" t="n"/>
      <c r="G33" s="79" t="n"/>
      <c r="H33" s="79" t="n"/>
      <c r="I33" s="79" t="n"/>
      <c r="J33" s="79" t="n"/>
      <c r="K33" s="79" t="n"/>
      <c r="L33" s="79" t="n"/>
      <c r="M33" s="79" t="n"/>
      <c r="N33" s="79" t="n"/>
      <c r="O33" s="79" t="n"/>
      <c r="P33" s="79" t="n"/>
      <c r="Q33" s="79" t="n"/>
      <c r="R33" s="79" t="n"/>
      <c r="S33" s="79" t="n"/>
      <c r="T33" s="79" t="n"/>
      <c r="U33" s="78" t="n"/>
      <c r="V33" s="77" t="n"/>
      <c r="W33" s="77" t="n"/>
    </row>
    <row r="34" ht="14.25" customHeight="1" s="60">
      <c r="B34" s="79" t="n"/>
      <c r="C34" s="79" t="n"/>
      <c r="D34" s="79" t="n"/>
      <c r="E34" s="79" t="n"/>
      <c r="F34" s="75" t="n"/>
      <c r="G34" s="79" t="n"/>
      <c r="H34" s="79" t="n"/>
      <c r="I34" s="79" t="n"/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9" t="n"/>
      <c r="T34" s="79" t="n"/>
      <c r="U34" s="78" t="n"/>
      <c r="V34" s="77" t="n"/>
      <c r="W34" s="77" t="n"/>
    </row>
    <row r="35" ht="14.25" customHeight="1" s="60">
      <c r="B35" s="79" t="n"/>
      <c r="C35" s="79" t="n"/>
      <c r="D35" s="79" t="n"/>
      <c r="E35" s="79" t="n"/>
      <c r="F35" s="75" t="n"/>
      <c r="G35" s="79" t="n"/>
      <c r="H35" s="79" t="n"/>
      <c r="I35" s="79" t="n"/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9" t="n"/>
      <c r="T35" s="79" t="n"/>
      <c r="U35" s="78" t="n"/>
      <c r="V35" s="77" t="n"/>
      <c r="W35" s="77" t="n"/>
    </row>
    <row r="36" ht="14.25" customHeight="1" s="60">
      <c r="B36" s="79" t="n"/>
      <c r="C36" s="79" t="n"/>
      <c r="D36" s="79" t="n"/>
      <c r="E36" s="79" t="n"/>
      <c r="F36" s="75" t="n"/>
      <c r="G36" s="79" t="n"/>
      <c r="H36" s="79" t="n"/>
      <c r="I36" s="79" t="n"/>
      <c r="J36" s="79" t="n"/>
      <c r="K36" s="79" t="n"/>
      <c r="L36" s="79" t="n"/>
      <c r="M36" s="79" t="n"/>
      <c r="N36" s="79" t="n"/>
      <c r="O36" s="79" t="n"/>
      <c r="P36" s="79" t="n"/>
      <c r="Q36" s="79" t="n"/>
      <c r="R36" s="79" t="n"/>
      <c r="S36" s="79" t="n"/>
      <c r="T36" s="79" t="n"/>
      <c r="U36" s="78" t="n"/>
      <c r="V36" s="77" t="n"/>
      <c r="W36" s="77" t="n"/>
    </row>
    <row r="37" ht="14.25" customHeight="1" s="60">
      <c r="B37" s="79" t="n"/>
      <c r="C37" s="79" t="n"/>
      <c r="D37" s="79" t="n"/>
      <c r="E37" s="79" t="n"/>
      <c r="F37" s="75" t="n"/>
      <c r="G37" s="79" t="n"/>
      <c r="H37" s="79" t="n"/>
      <c r="I37" s="79" t="n"/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9" t="n"/>
      <c r="T37" s="79" t="n"/>
      <c r="U37" s="78" t="n"/>
      <c r="V37" s="77" t="n"/>
      <c r="W37" s="77" t="n"/>
    </row>
    <row r="38" ht="14.25" customHeight="1" s="60">
      <c r="B38" s="79" t="n"/>
      <c r="C38" s="79" t="n"/>
      <c r="D38" s="79" t="n"/>
      <c r="E38" s="79" t="n"/>
      <c r="F38" s="75" t="n"/>
      <c r="G38" s="79" t="n"/>
      <c r="H38" s="79" t="n"/>
      <c r="I38" s="79" t="n"/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9" t="n"/>
      <c r="T38" s="79" t="n"/>
      <c r="U38" s="78" t="n"/>
      <c r="V38" s="77" t="n"/>
      <c r="W38" s="77" t="n"/>
    </row>
    <row r="39" ht="14.25" customHeight="1" s="60">
      <c r="B39" s="79" t="n"/>
      <c r="C39" s="79" t="n"/>
      <c r="D39" s="79" t="n"/>
      <c r="E39" s="79" t="n"/>
      <c r="F39" s="75" t="n"/>
      <c r="G39" s="79" t="n"/>
      <c r="H39" s="79" t="n"/>
      <c r="I39" s="79" t="n"/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9" t="n"/>
      <c r="U39" s="78" t="n"/>
      <c r="V39" s="77" t="n"/>
      <c r="W39" s="77" t="n"/>
    </row>
    <row r="40" ht="14.25" customHeight="1" s="60">
      <c r="B40" s="79" t="n"/>
      <c r="C40" s="79" t="n"/>
      <c r="D40" s="79" t="n"/>
      <c r="E40" s="79" t="n"/>
      <c r="F40" s="75" t="n"/>
      <c r="G40" s="79" t="n"/>
      <c r="H40" s="79" t="n"/>
      <c r="I40" s="79" t="n"/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9" t="n"/>
      <c r="T40" s="79" t="n"/>
      <c r="U40" s="78" t="n"/>
      <c r="V40" s="77" t="n"/>
      <c r="W40" s="77" t="n"/>
    </row>
    <row r="41" ht="14.25" customHeight="1" s="60">
      <c r="B41" s="79" t="n"/>
      <c r="C41" s="79" t="n"/>
      <c r="D41" s="79" t="n"/>
      <c r="E41" s="79" t="n"/>
      <c r="F41" s="75" t="n"/>
      <c r="G41" s="79" t="n"/>
      <c r="H41" s="79" t="n"/>
      <c r="I41" s="79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9" t="n"/>
      <c r="T41" s="79" t="n"/>
      <c r="U41" s="78" t="n"/>
      <c r="V41" s="77" t="n"/>
      <c r="W41" s="77" t="n"/>
    </row>
    <row r="42" ht="14.25" customHeight="1" s="60">
      <c r="B42" s="79" t="n"/>
      <c r="C42" s="79" t="n"/>
      <c r="D42" s="79" t="n"/>
      <c r="E42" s="79" t="n"/>
      <c r="F42" s="75" t="n"/>
      <c r="G42" s="79" t="n"/>
      <c r="H42" s="79" t="n"/>
      <c r="I42" s="79" t="n"/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9" t="n"/>
      <c r="T42" s="79" t="n"/>
      <c r="U42" s="78" t="n"/>
      <c r="V42" s="77" t="n"/>
      <c r="W42" s="77" t="n"/>
    </row>
    <row r="43" ht="14.25" customHeight="1" s="60">
      <c r="B43" s="79" t="n"/>
      <c r="C43" s="79" t="n"/>
      <c r="D43" s="79" t="n"/>
      <c r="E43" s="79" t="n"/>
      <c r="F43" s="75" t="n"/>
      <c r="G43" s="79" t="n"/>
      <c r="H43" s="79" t="n"/>
      <c r="I43" s="7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9" t="n"/>
      <c r="T43" s="79" t="n"/>
      <c r="U43" s="78" t="n"/>
      <c r="V43" s="77" t="n"/>
      <c r="W43" s="77" t="n"/>
    </row>
    <row r="44" ht="14.25" customHeight="1" s="60">
      <c r="B44" s="79" t="n"/>
      <c r="C44" s="79" t="n"/>
      <c r="D44" s="79" t="n"/>
      <c r="E44" s="79" t="n"/>
      <c r="F44" s="75" t="n"/>
      <c r="G44" s="79" t="n"/>
      <c r="H44" s="79" t="n"/>
      <c r="I44" s="79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9" t="n"/>
      <c r="T44" s="79" t="n"/>
      <c r="U44" s="78" t="n"/>
      <c r="V44" s="77" t="n"/>
      <c r="W44" s="77" t="n"/>
    </row>
    <row r="45" ht="14.25" customHeight="1" s="60">
      <c r="B45" s="79" t="n"/>
      <c r="C45" s="79" t="n"/>
      <c r="D45" s="79" t="n"/>
      <c r="E45" s="79" t="n"/>
      <c r="F45" s="75" t="n"/>
      <c r="G45" s="79" t="n"/>
      <c r="H45" s="79" t="n"/>
      <c r="I45" s="79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9" t="n"/>
      <c r="T45" s="79" t="n"/>
      <c r="U45" s="78" t="n"/>
      <c r="V45" s="77" t="n"/>
      <c r="W45" s="77" t="n"/>
    </row>
    <row r="46" ht="14.25" customHeight="1" s="60">
      <c r="B46" s="79" t="n"/>
      <c r="C46" s="79" t="n"/>
      <c r="D46" s="79" t="n"/>
      <c r="E46" s="79" t="n"/>
      <c r="F46" s="75" t="n"/>
      <c r="G46" s="79" t="n"/>
      <c r="H46" s="79" t="n"/>
      <c r="I46" s="79" t="n"/>
      <c r="J46" s="79" t="n"/>
      <c r="K46" s="79" t="n"/>
      <c r="L46" s="79" t="n"/>
      <c r="M46" s="79" t="n"/>
      <c r="N46" s="79" t="n"/>
      <c r="O46" s="79" t="n"/>
      <c r="P46" s="79" t="n"/>
      <c r="Q46" s="79" t="n"/>
      <c r="R46" s="79" t="n"/>
      <c r="S46" s="79" t="n"/>
      <c r="T46" s="79" t="n"/>
      <c r="U46" s="78" t="n"/>
      <c r="V46" s="77" t="n"/>
      <c r="W46" s="77" t="n"/>
    </row>
    <row r="47" ht="14.25" customHeight="1" s="60">
      <c r="B47" s="79" t="n"/>
      <c r="C47" s="79" t="n"/>
      <c r="D47" s="79" t="n"/>
      <c r="E47" s="79" t="n"/>
      <c r="F47" s="75" t="n"/>
      <c r="G47" s="79" t="n"/>
      <c r="H47" s="79" t="n"/>
      <c r="I47" s="79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9" t="n"/>
      <c r="T47" s="79" t="n"/>
      <c r="U47" s="78" t="n"/>
      <c r="V47" s="77" t="n"/>
      <c r="W47" s="77" t="n"/>
    </row>
    <row r="48" ht="14.25" customHeight="1" s="60">
      <c r="B48" s="79" t="n"/>
      <c r="C48" s="79" t="n"/>
      <c r="D48" s="79" t="n"/>
      <c r="E48" s="79" t="n"/>
      <c r="F48" s="75" t="n"/>
      <c r="G48" s="79" t="n"/>
      <c r="H48" s="79" t="n"/>
      <c r="I48" s="79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9" t="n"/>
      <c r="T48" s="79" t="n"/>
      <c r="U48" s="78" t="n"/>
      <c r="V48" s="77" t="n"/>
      <c r="W48" s="77" t="n"/>
    </row>
    <row r="49" ht="14.25" customHeight="1" s="60">
      <c r="B49" s="79" t="n"/>
      <c r="C49" s="79" t="n"/>
      <c r="D49" s="79" t="n"/>
      <c r="E49" s="79" t="n"/>
      <c r="F49" s="75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78" t="n"/>
      <c r="V49" s="77" t="n"/>
      <c r="W49" s="77" t="n"/>
    </row>
    <row r="50" ht="14.25" customHeight="1" s="60">
      <c r="B50" s="79" t="n"/>
      <c r="C50" s="79" t="n"/>
      <c r="D50" s="79" t="n"/>
      <c r="E50" s="79" t="n"/>
      <c r="F50" s="75" t="n"/>
      <c r="G50" s="79" t="n"/>
      <c r="H50" s="79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9" t="n"/>
      <c r="T50" s="79" t="n"/>
      <c r="U50" s="78" t="n"/>
      <c r="V50" s="77" t="n"/>
      <c r="W50" s="77" t="n"/>
    </row>
    <row r="51" ht="14.25" customHeight="1" s="60">
      <c r="B51" s="79" t="n"/>
      <c r="C51" s="79" t="n"/>
      <c r="D51" s="79" t="n"/>
      <c r="E51" s="79" t="n"/>
      <c r="F51" s="75" t="n"/>
      <c r="G51" s="79" t="n"/>
      <c r="H51" s="79" t="n"/>
      <c r="I51" s="79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9" t="n"/>
      <c r="T51" s="79" t="n"/>
      <c r="U51" s="78" t="n"/>
      <c r="V51" s="77" t="n"/>
      <c r="W51" s="77" t="n"/>
    </row>
    <row r="52" ht="14.25" customHeight="1" s="60">
      <c r="B52" s="79" t="n"/>
      <c r="C52" s="79" t="n"/>
      <c r="D52" s="79" t="n"/>
      <c r="E52" s="79" t="n"/>
      <c r="F52" s="75" t="n"/>
      <c r="G52" s="79" t="n"/>
      <c r="H52" s="79" t="n"/>
      <c r="I52" s="79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9" t="n"/>
      <c r="T52" s="79" t="n"/>
      <c r="U52" s="78" t="n"/>
      <c r="V52" s="77" t="n"/>
      <c r="W52" s="77" t="n"/>
    </row>
    <row r="53" ht="14.25" customHeight="1" s="60">
      <c r="B53" s="79" t="n"/>
      <c r="C53" s="79" t="n"/>
      <c r="D53" s="79" t="n"/>
      <c r="E53" s="79" t="n"/>
      <c r="F53" s="75" t="n"/>
      <c r="G53" s="79" t="n"/>
      <c r="H53" s="79" t="n"/>
      <c r="I53" s="79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8" t="n"/>
      <c r="V53" s="77" t="n"/>
      <c r="W53" s="77" t="n"/>
    </row>
    <row r="54" ht="14.25" customHeight="1" s="60">
      <c r="B54" s="79" t="n"/>
      <c r="C54" s="79" t="n"/>
      <c r="D54" s="79" t="n"/>
      <c r="E54" s="79" t="n"/>
      <c r="F54" s="75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78" t="n"/>
      <c r="V54" s="77" t="n"/>
      <c r="W54" s="77" t="n"/>
    </row>
    <row r="55" ht="14.25" customHeight="1" s="60">
      <c r="B55" s="79" t="n"/>
      <c r="C55" s="79" t="n"/>
      <c r="D55" s="79" t="n"/>
      <c r="E55" s="79" t="n"/>
      <c r="F55" s="75" t="n"/>
      <c r="G55" s="79" t="n"/>
      <c r="H55" s="79" t="n"/>
      <c r="I55" s="79" t="n"/>
      <c r="J55" s="79" t="n"/>
      <c r="K55" s="79" t="n"/>
      <c r="L55" s="79" t="n"/>
      <c r="M55" s="79" t="n"/>
      <c r="N55" s="79" t="n"/>
      <c r="O55" s="79" t="n"/>
      <c r="P55" s="79" t="n"/>
      <c r="Q55" s="79" t="n"/>
      <c r="R55" s="79" t="n"/>
      <c r="S55" s="79" t="n"/>
      <c r="T55" s="79" t="n"/>
      <c r="U55" s="78" t="n"/>
      <c r="V55" s="77" t="n"/>
      <c r="W55" s="77" t="n"/>
    </row>
  </sheetData>
  <mergeCells count="10">
    <mergeCell ref="U18:U19"/>
    <mergeCell ref="W18:W19"/>
    <mergeCell ref="D18:D19"/>
    <mergeCell ref="B18:B19"/>
    <mergeCell ref="E18:E19"/>
    <mergeCell ref="C18:C19"/>
    <mergeCell ref="I18:T18"/>
    <mergeCell ref="G18:G19"/>
    <mergeCell ref="V18:V19"/>
    <mergeCell ref="F18:F19"/>
  </mergeCells>
  <dataValidations count="2">
    <dataValidation sqref="F21:F220" showDropDown="0" showInputMessage="0" showErrorMessage="0" allowBlank="0" type="list" errorStyle="stop" operator="between">
      <formula1>"전력,도시가스,스팀,경유,휘발유,등유,중유,LPG,천연가스,기타"</formula1>
      <formula2>0</formula2>
    </dataValidation>
    <dataValidation sqref="G21:G220" showDropDown="0" showInputMessage="0" showErrorMessage="0" allowBlank="0" type="list" errorStyle="stop" operator="between">
      <formula1>"kWh,MJ,kg,L,m3,Nm3,ton"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I18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3.13" customWidth="1" style="59" min="3" max="3"/>
    <col width="11.38" customWidth="1" style="59" min="4" max="4"/>
    <col width="17.13" customWidth="1" style="59" min="5" max="6"/>
    <col width="14.13" customWidth="1" style="59" min="7" max="7"/>
    <col width="19.38" customWidth="1" style="59" min="8" max="8"/>
    <col width="14.38" customWidth="1" style="59" min="9" max="9"/>
  </cols>
  <sheetData>
    <row r="1"/>
    <row r="2" ht="20.25" customHeight="1" s="60">
      <c r="B2" s="96" t="inlineStr">
        <is>
          <t>C14. 프랜차이즈</t>
        </is>
      </c>
    </row>
    <row r="3"/>
    <row r="4" ht="15" customHeight="1" s="60">
      <c r="B4" s="97" t="inlineStr">
        <is>
          <t>카테고리 정의</t>
        </is>
      </c>
      <c r="C4" s="98" t="n"/>
      <c r="D4" s="98" t="n"/>
      <c r="E4" s="98" t="n"/>
      <c r="F4" s="98" t="n"/>
      <c r="G4" s="98" t="n"/>
      <c r="H4" s="98" t="n"/>
      <c r="I4" s="98" t="n"/>
    </row>
    <row r="5" ht="16.5" customHeight="1" s="60">
      <c r="B5" s="98" t="inlineStr">
        <is>
          <t>- 보고년도 내 당사의 브랜드 사용권을 부여받아 운영 중인 모든 가맹점(프랜차이즈) 내에서 발생한 온실가스 배출량</t>
        </is>
      </c>
      <c r="C5" s="98" t="n"/>
      <c r="D5" s="98" t="n"/>
      <c r="E5" s="98" t="n"/>
      <c r="F5" s="98" t="n"/>
      <c r="G5" s="98" t="n"/>
      <c r="H5" s="98" t="n"/>
      <c r="I5" s="98" t="n"/>
    </row>
    <row r="6" ht="16.5" customHeight="1" s="60">
      <c r="B6" s="98" t="inlineStr">
        <is>
          <t>- 대상: 가맹점 운영을 위해 소비된 모든 연료 및 전력 사용량</t>
        </is>
      </c>
      <c r="C6" s="98" t="n"/>
      <c r="D6" s="98" t="n"/>
      <c r="E6" s="98" t="n"/>
      <c r="F6" s="98" t="n"/>
      <c r="G6" s="98" t="n"/>
      <c r="H6" s="98" t="n"/>
      <c r="I6" s="98" t="n"/>
    </row>
    <row r="7" ht="14.25" customHeight="1" s="60">
      <c r="B7" s="98" t="n"/>
      <c r="C7" s="98" t="n"/>
      <c r="D7" s="98" t="n"/>
      <c r="E7" s="98" t="n"/>
      <c r="F7" s="98" t="n"/>
      <c r="G7" s="98" t="n"/>
      <c r="H7" s="98" t="n"/>
      <c r="I7" s="98" t="n"/>
    </row>
    <row r="8" ht="14.25" customHeight="1" s="60">
      <c r="B8" s="98" t="n"/>
      <c r="C8" s="98" t="n"/>
      <c r="D8" s="98" t="n"/>
      <c r="E8" s="98" t="n"/>
      <c r="F8" s="98" t="n"/>
      <c r="G8" s="98" t="n"/>
      <c r="H8" s="98" t="n"/>
      <c r="I8" s="98" t="n"/>
    </row>
    <row r="9" ht="15" customHeight="1" s="60">
      <c r="B9" s="97" t="inlineStr">
        <is>
          <t>작성 기준</t>
        </is>
      </c>
      <c r="C9" s="98" t="n"/>
      <c r="D9" s="98" t="n"/>
      <c r="E9" s="98" t="n"/>
      <c r="F9" s="98" t="n"/>
      <c r="G9" s="98" t="n"/>
      <c r="H9" s="98" t="n"/>
      <c r="I9" s="98" t="n"/>
    </row>
    <row r="10" ht="16.5" customHeight="1" s="60">
      <c r="B10" s="98" t="inlineStr">
        <is>
          <t>1) 온실가스 산정 식: Σ(가맹점 활동 유형별 사용량 × 에너지원별 배출계수)</t>
        </is>
      </c>
      <c r="C10" s="98" t="n"/>
      <c r="D10" s="98" t="n"/>
      <c r="E10" s="98" t="n"/>
      <c r="F10" s="98" t="n"/>
      <c r="G10" s="98" t="n"/>
      <c r="H10" s="98" t="n"/>
      <c r="I10" s="98" t="n"/>
    </row>
    <row r="11" ht="16.5" customHeight="1" s="60">
      <c r="B11" s="98" t="inlineStr">
        <is>
          <t>- 온실가스 배출계수는 국내인 경우 승인 국가 온실가스 배출계수, 국외인 경우 IPCC 가이드라인 배출계수를 활용</t>
        </is>
      </c>
      <c r="C11" s="98" t="n"/>
      <c r="D11" s="98" t="n"/>
      <c r="E11" s="98" t="n"/>
      <c r="F11" s="98" t="n"/>
      <c r="G11" s="98" t="n"/>
      <c r="H11" s="98" t="n"/>
      <c r="I11" s="98" t="n"/>
    </row>
    <row r="12" ht="16.5" customHeight="1" s="60">
      <c r="B12" s="98" t="inlineStr">
        <is>
          <t>2) 국가, 가맹점 수, 전력사용량, 전력사용량 단위는 반드시 작성</t>
        </is>
      </c>
      <c r="C12" s="98" t="n"/>
      <c r="D12" s="98" t="n"/>
      <c r="E12" s="98" t="n"/>
      <c r="F12" s="98" t="n"/>
      <c r="G12" s="98" t="n"/>
      <c r="H12" s="98" t="n"/>
      <c r="I12" s="98" t="n"/>
    </row>
    <row r="13" ht="16.5" customHeight="1" s="60">
      <c r="B13" s="98" t="inlineStr">
        <is>
          <t>3) 연료 사용이 있는 경우 연료 종류, 연료 사용량, 연료 단위를 함께 작성</t>
        </is>
      </c>
      <c r="C13" s="98" t="n"/>
      <c r="D13" s="98" t="n"/>
      <c r="E13" s="98" t="n"/>
      <c r="F13" s="98" t="n"/>
      <c r="G13" s="98" t="n"/>
      <c r="H13" s="98" t="n"/>
      <c r="I13" s="98" t="n"/>
    </row>
    <row r="14" ht="16.5" customHeight="1" s="60">
      <c r="B14" s="98" t="inlineStr">
        <is>
          <t>4) 동일 국가·프랜차이즈에서 전력과 복수 연료를 사용하는 경우 에너지원별로 행을 나누어 작성 가능</t>
        </is>
      </c>
      <c r="C14" s="98" t="n"/>
      <c r="D14" s="98" t="n"/>
      <c r="E14" s="98" t="n"/>
      <c r="F14" s="98" t="n"/>
      <c r="G14" s="98" t="n"/>
      <c r="H14" s="98" t="n"/>
      <c r="I14" s="98" t="n"/>
    </row>
    <row r="15" ht="14.25" customHeight="1" s="60">
      <c r="B15" s="98" t="n"/>
      <c r="C15" s="98" t="n"/>
      <c r="D15" s="98" t="n"/>
      <c r="E15" s="98" t="n"/>
      <c r="F15" s="98" t="n"/>
      <c r="G15" s="98" t="n"/>
      <c r="H15" s="98" t="n"/>
      <c r="I15" s="98" t="n"/>
    </row>
    <row r="16" ht="14.25" customHeight="1" s="60">
      <c r="B16" s="99" t="inlineStr">
        <is>
          <t>※ 사용 기준: 브랜드별/국가별 가맹점 운영에 사용된 전력 및 연료 사용량을 기준으로 작성합니다.</t>
        </is>
      </c>
      <c r="C16" s="98" t="n"/>
      <c r="D16" s="98" t="n"/>
      <c r="E16" s="98" t="n"/>
      <c r="F16" s="98" t="n"/>
      <c r="G16" s="98" t="n"/>
      <c r="H16" s="98" t="n"/>
      <c r="I16" s="98" t="n"/>
    </row>
    <row r="17" ht="14.25" customHeight="1" s="60">
      <c r="B17" s="64" t="inlineStr">
        <is>
          <t>※ 주황색으로 표시된 필수 입력칸은 반드시 작성해야 합니다.</t>
        </is>
      </c>
      <c r="C17" s="98" t="n"/>
      <c r="D17" s="98" t="n"/>
      <c r="E17" s="98" t="n"/>
      <c r="F17" s="98" t="n"/>
      <c r="G17" s="98" t="n"/>
      <c r="H17" s="98" t="n"/>
      <c r="I17" s="98" t="n"/>
    </row>
    <row r="18" ht="16.5" customHeight="1" s="60">
      <c r="B18" s="100" t="inlineStr">
        <is>
          <t>*국가</t>
        </is>
      </c>
      <c r="C18" s="101" t="inlineStr">
        <is>
          <t>*프랜차이즈명</t>
        </is>
      </c>
      <c r="D18" s="100" t="inlineStr">
        <is>
          <t>*가맹점 수</t>
        </is>
      </c>
      <c r="E18" s="100" t="inlineStr">
        <is>
          <t>*연료 종류</t>
        </is>
      </c>
      <c r="F18" s="100" t="inlineStr">
        <is>
          <t>*연료 사용량</t>
        </is>
      </c>
      <c r="G18" s="100" t="inlineStr">
        <is>
          <t>*연료 단위</t>
        </is>
      </c>
      <c r="H18" s="102" t="inlineStr">
        <is>
          <t>배출계수(tCO2e/단위)</t>
        </is>
      </c>
      <c r="I18" s="102" t="inlineStr">
        <is>
          <t>배출량(tCO2e)</t>
        </is>
      </c>
    </row>
    <row r="19" ht="16.5" customHeight="1" s="60">
      <c r="B19" s="103" t="inlineStr">
        <is>
          <t>대한민국</t>
        </is>
      </c>
      <c r="C19" s="103" t="inlineStr">
        <is>
          <t>뚜레쥬르</t>
        </is>
      </c>
      <c r="D19" s="103" t="n">
        <v>13</v>
      </c>
      <c r="E19" s="103" t="inlineStr">
        <is>
          <t>전력</t>
        </is>
      </c>
      <c r="F19" s="103" t="n">
        <v>480000</v>
      </c>
      <c r="G19" s="104" t="inlineStr">
        <is>
          <t>kWh</t>
        </is>
      </c>
      <c r="H19" s="105" t="n">
        <v>0.0004173</v>
      </c>
      <c r="I19" s="105" t="n">
        <v>200.304</v>
      </c>
    </row>
    <row r="20" ht="16.5" customHeight="1" s="60">
      <c r="B20" s="103" t="inlineStr">
        <is>
          <t>대한민국</t>
        </is>
      </c>
      <c r="C20" s="103" t="inlineStr">
        <is>
          <t>올리브영</t>
        </is>
      </c>
      <c r="D20" s="103" t="n">
        <v>256</v>
      </c>
      <c r="E20" s="103" t="inlineStr">
        <is>
          <t>천연가스(LNG)</t>
        </is>
      </c>
      <c r="F20" s="103" t="n">
        <v>780000</v>
      </c>
      <c r="G20" s="104" t="inlineStr">
        <is>
          <t>Nm³</t>
        </is>
      </c>
      <c r="H20" s="105" t="n">
        <v>0.0021621</v>
      </c>
      <c r="I20" s="105" t="n">
        <v>1686.438</v>
      </c>
    </row>
    <row r="21" ht="16.5" customHeight="1" s="60">
      <c r="B21" s="103" t="inlineStr">
        <is>
          <t>베트남</t>
        </is>
      </c>
      <c r="C21" s="103" t="inlineStr">
        <is>
          <t>해외 가맹점 A</t>
        </is>
      </c>
      <c r="D21" s="103" t="n">
        <v>24</v>
      </c>
      <c r="E21" s="103" t="inlineStr">
        <is>
          <t>전력</t>
        </is>
      </c>
      <c r="F21" s="103" t="n">
        <v>360000</v>
      </c>
      <c r="G21" s="104" t="inlineStr">
        <is>
          <t>kWh</t>
        </is>
      </c>
      <c r="H21" s="105" t="n">
        <v>0.0004173</v>
      </c>
      <c r="I21" s="105" t="n">
        <v>150.228</v>
      </c>
    </row>
    <row r="22" ht="16.5" customHeight="1" s="60">
      <c r="B22" s="103" t="inlineStr">
        <is>
          <t>대한민국</t>
        </is>
      </c>
      <c r="C22" s="103" t="inlineStr">
        <is>
          <t>가맹점 B</t>
        </is>
      </c>
      <c r="D22" s="103" t="n">
        <v>38</v>
      </c>
      <c r="E22" s="103" t="inlineStr">
        <is>
          <t>도시가스(LNG)</t>
        </is>
      </c>
      <c r="F22" s="103" t="n">
        <v>52000</v>
      </c>
      <c r="G22" s="104" t="inlineStr">
        <is>
          <t>Nm³</t>
        </is>
      </c>
      <c r="H22" s="105" t="n">
        <v>0.0021621</v>
      </c>
      <c r="I22" s="105" t="n">
        <v>112.4292</v>
      </c>
    </row>
    <row r="23" ht="16.5" customHeight="1" s="60">
      <c r="B23" s="103" t="inlineStr">
        <is>
          <t>대한민국</t>
        </is>
      </c>
      <c r="C23" s="103" t="inlineStr">
        <is>
          <t>파리바게뜨</t>
        </is>
      </c>
      <c r="D23" s="103" t="n">
        <v>320</v>
      </c>
      <c r="E23" s="103" t="inlineStr">
        <is>
          <t>전력</t>
        </is>
      </c>
      <c r="F23" s="103" t="n">
        <v>1250000</v>
      </c>
      <c r="G23" s="104" t="inlineStr">
        <is>
          <t>kWh</t>
        </is>
      </c>
      <c r="H23" s="105" t="n">
        <v>0.0004173</v>
      </c>
      <c r="I23" s="105" t="n">
        <v>521.625</v>
      </c>
    </row>
    <row r="24" ht="16.5" customHeight="1" s="60">
      <c r="B24" s="103" t="inlineStr">
        <is>
          <t>대한민국</t>
        </is>
      </c>
      <c r="C24" s="103" t="inlineStr">
        <is>
          <t>이디야커피</t>
        </is>
      </c>
      <c r="D24" s="103" t="n">
        <v>180</v>
      </c>
      <c r="E24" s="103" t="inlineStr">
        <is>
          <t>전력</t>
        </is>
      </c>
      <c r="F24" s="103" t="n">
        <v>620000</v>
      </c>
      <c r="G24" s="104" t="inlineStr">
        <is>
          <t>kWh</t>
        </is>
      </c>
      <c r="H24" s="105" t="n">
        <v>0.0004173</v>
      </c>
      <c r="I24" s="105" t="n">
        <v>258.726</v>
      </c>
    </row>
    <row r="25" ht="16.5" customHeight="1" s="60">
      <c r="B25" s="103" t="inlineStr">
        <is>
          <t>대한민국</t>
        </is>
      </c>
      <c r="C25" s="103" t="inlineStr">
        <is>
          <t>교촌치킨</t>
        </is>
      </c>
      <c r="D25" s="103" t="n">
        <v>95</v>
      </c>
      <c r="E25" s="103" t="inlineStr">
        <is>
          <t>도시가스(LNG)</t>
        </is>
      </c>
      <c r="F25" s="103" t="n">
        <v>340000</v>
      </c>
      <c r="G25" s="104" t="inlineStr">
        <is>
          <t>Nm³</t>
        </is>
      </c>
      <c r="H25" s="105" t="n">
        <v>0.0021621</v>
      </c>
      <c r="I25" s="105" t="n">
        <v>735.114</v>
      </c>
    </row>
    <row r="26" ht="16.5" customHeight="1" s="60">
      <c r="B26" s="103" t="inlineStr">
        <is>
          <t>일본</t>
        </is>
      </c>
      <c r="C26" s="103" t="inlineStr">
        <is>
          <t>해외 가맹점 B</t>
        </is>
      </c>
      <c r="D26" s="103" t="n">
        <v>42</v>
      </c>
      <c r="E26" s="103" t="inlineStr">
        <is>
          <t>전력</t>
        </is>
      </c>
      <c r="F26" s="103" t="n">
        <v>480000</v>
      </c>
      <c r="G26" s="104" t="inlineStr">
        <is>
          <t>kWh</t>
        </is>
      </c>
      <c r="H26" s="105" t="n">
        <v>0.0004173</v>
      </c>
      <c r="I26" s="105" t="n">
        <v>200.304</v>
      </c>
    </row>
    <row r="27" ht="16.5" customHeight="1" s="60">
      <c r="B27" s="103" t="inlineStr">
        <is>
          <t>대한민국</t>
        </is>
      </c>
      <c r="C27" s="104" t="inlineStr">
        <is>
          <t>GS25</t>
        </is>
      </c>
      <c r="D27" s="103" t="n">
        <v>890</v>
      </c>
      <c r="E27" s="103" t="inlineStr">
        <is>
          <t>전력</t>
        </is>
      </c>
      <c r="F27" s="103" t="n">
        <v>2100000</v>
      </c>
      <c r="G27" s="104" t="inlineStr">
        <is>
          <t>kWh</t>
        </is>
      </c>
      <c r="H27" s="105" t="n">
        <v>0.0004173</v>
      </c>
      <c r="I27" s="105" t="n">
        <v>876.33</v>
      </c>
    </row>
    <row r="28" ht="16.5" customHeight="1" s="60">
      <c r="B28" s="103" t="inlineStr">
        <is>
          <t>베트남</t>
        </is>
      </c>
      <c r="C28" s="103" t="inlineStr">
        <is>
          <t>해외 가맹점 C</t>
        </is>
      </c>
      <c r="D28" s="103" t="n">
        <v>18</v>
      </c>
      <c r="E28" s="103" t="inlineStr">
        <is>
          <t>전력</t>
        </is>
      </c>
      <c r="F28" s="103" t="n">
        <v>210000</v>
      </c>
      <c r="G28" s="104" t="inlineStr">
        <is>
          <t>kWh</t>
        </is>
      </c>
      <c r="H28" s="105" t="n">
        <v>0.0004173</v>
      </c>
      <c r="I28" s="105" t="n">
        <v>87.633</v>
      </c>
    </row>
    <row r="29" ht="14.25" customHeight="1" s="60">
      <c r="B29" s="103" t="inlineStr">
        <is>
          <t>대한민국</t>
        </is>
      </c>
      <c r="C29" s="103" t="inlineStr">
        <is>
          <t>파리바게뜨 (강남/서초권역)</t>
        </is>
      </c>
      <c r="D29" s="103" t="n">
        <v>45</v>
      </c>
      <c r="E29" s="103" t="inlineStr">
        <is>
          <t>전력</t>
        </is>
      </c>
      <c r="F29" s="103" t="n">
        <v>195000</v>
      </c>
      <c r="G29" s="104" t="inlineStr">
        <is>
          <t>kWh</t>
        </is>
      </c>
      <c r="H29" s="105" t="n">
        <v>0.0004173</v>
      </c>
      <c r="I29" s="105" t="n">
        <v>81.37350000000001</v>
      </c>
    </row>
    <row r="30" ht="14.25" customHeight="1" s="60">
      <c r="B30" s="103" t="inlineStr">
        <is>
          <t>대한민국</t>
        </is>
      </c>
      <c r="C30" s="103" t="inlineStr">
        <is>
          <t>이디야커피-신규출점분</t>
        </is>
      </c>
      <c r="D30" s="103" t="n">
        <v>22</v>
      </c>
      <c r="E30" s="103" t="inlineStr">
        <is>
          <t>전력</t>
        </is>
      </c>
      <c r="F30" s="103" t="n">
        <v>78000</v>
      </c>
      <c r="G30" s="104" t="inlineStr">
        <is>
          <t>kwh</t>
        </is>
      </c>
      <c r="H30" s="105" t="n">
        <v>0.0004173</v>
      </c>
      <c r="I30" s="105" t="n">
        <v>32.5494</v>
      </c>
    </row>
    <row r="31" ht="14.25" customHeight="1" s="60">
      <c r="B31" s="103" t="inlineStr">
        <is>
          <t>대한민국</t>
        </is>
      </c>
      <c r="C31" s="103" t="inlineStr">
        <is>
          <t>교촌치킨</t>
        </is>
      </c>
      <c r="D31" s="103" t="n">
        <v>95</v>
      </c>
      <c r="E31" s="103" t="inlineStr">
        <is>
          <t>도시가스(LNG)</t>
        </is>
      </c>
      <c r="F31" s="103" t="n">
        <v>340500</v>
      </c>
      <c r="G31" s="104" t="inlineStr">
        <is>
          <t>Nm3</t>
        </is>
      </c>
      <c r="H31" s="105" t="n">
        <v>0.0021621</v>
      </c>
      <c r="I31" s="105" t="n">
        <v>736.19505</v>
      </c>
    </row>
    <row r="32" ht="14.25" customHeight="1" s="60">
      <c r="B32" s="103" t="inlineStr">
        <is>
          <t>일본</t>
        </is>
      </c>
      <c r="C32" s="103" t="inlineStr">
        <is>
          <t>해외가맹점B(오사카)</t>
        </is>
      </c>
      <c r="D32" s="103" t="n">
        <v>12</v>
      </c>
      <c r="E32" s="103" t="inlineStr">
        <is>
          <t>전력</t>
        </is>
      </c>
      <c r="F32" s="103" t="n">
        <v>138000</v>
      </c>
      <c r="G32" s="104" t="inlineStr">
        <is>
          <t>kWh</t>
        </is>
      </c>
      <c r="H32" s="105" t="n">
        <v>0.0004173</v>
      </c>
      <c r="I32" s="105" t="n">
        <v>57.5874</v>
      </c>
    </row>
    <row r="33" ht="14.25" customHeight="1" s="60">
      <c r="B33" s="103" t="inlineStr">
        <is>
          <t>대한민국</t>
        </is>
      </c>
      <c r="C33" s="103" t="inlineStr">
        <is>
          <t>GS25 (야간매출비중높은 30개점)</t>
        </is>
      </c>
      <c r="D33" s="103" t="n">
        <v>30</v>
      </c>
      <c r="E33" s="103" t="inlineStr">
        <is>
          <t>전력</t>
        </is>
      </c>
      <c r="F33" s="103" t="n">
        <v>210000</v>
      </c>
      <c r="G33" s="104" t="inlineStr">
        <is>
          <t>kWh</t>
        </is>
      </c>
      <c r="H33" s="105" t="n">
        <v>0.0004173</v>
      </c>
      <c r="I33" s="105" t="n">
        <v>87.633</v>
      </c>
    </row>
    <row r="34" ht="14.25" customHeight="1" s="60">
      <c r="B34" s="103" t="n"/>
      <c r="C34" s="103" t="n"/>
      <c r="D34" s="103" t="n"/>
      <c r="E34" s="103" t="n"/>
      <c r="F34" s="103" t="n"/>
      <c r="G34" s="104" t="n"/>
      <c r="H34" s="105" t="n"/>
      <c r="I34" s="105" t="n"/>
    </row>
    <row r="35" ht="14.25" customHeight="1" s="60">
      <c r="B35" s="103" t="n"/>
      <c r="C35" s="103" t="n"/>
      <c r="D35" s="103" t="n"/>
      <c r="E35" s="103" t="n"/>
      <c r="F35" s="103" t="n"/>
      <c r="G35" s="104" t="n"/>
      <c r="H35" s="105" t="n"/>
      <c r="I35" s="105" t="n"/>
    </row>
    <row r="36" ht="14.25" customHeight="1" s="60">
      <c r="B36" s="103" t="n"/>
      <c r="C36" s="103" t="n"/>
      <c r="D36" s="103" t="n"/>
      <c r="E36" s="103" t="n"/>
      <c r="F36" s="103" t="n"/>
      <c r="G36" s="104" t="n"/>
      <c r="H36" s="105" t="n"/>
      <c r="I36" s="105" t="n"/>
    </row>
    <row r="37" ht="14.25" customHeight="1" s="60">
      <c r="B37" s="103" t="n"/>
      <c r="C37" s="103" t="n"/>
      <c r="D37" s="103" t="n"/>
      <c r="E37" s="103" t="n"/>
      <c r="F37" s="103" t="n"/>
      <c r="G37" s="104" t="n"/>
      <c r="H37" s="105" t="n"/>
      <c r="I37" s="105" t="n"/>
    </row>
    <row r="38" ht="14.25" customHeight="1" s="60">
      <c r="B38" s="103" t="n"/>
      <c r="C38" s="103" t="n"/>
      <c r="D38" s="103" t="n"/>
      <c r="E38" s="103" t="n"/>
      <c r="F38" s="103" t="n"/>
      <c r="G38" s="104" t="n"/>
      <c r="H38" s="105" t="n"/>
      <c r="I38" s="105" t="n"/>
    </row>
    <row r="39" ht="14.25" customHeight="1" s="60">
      <c r="B39" s="103" t="n"/>
      <c r="C39" s="103" t="n"/>
      <c r="D39" s="103" t="n"/>
      <c r="E39" s="103" t="n"/>
      <c r="F39" s="103" t="n"/>
      <c r="G39" s="104" t="n"/>
      <c r="H39" s="105" t="n"/>
      <c r="I39" s="105" t="n"/>
    </row>
    <row r="40" ht="14.25" customHeight="1" s="60">
      <c r="B40" s="103" t="n"/>
      <c r="C40" s="103" t="n"/>
      <c r="D40" s="103" t="n"/>
      <c r="E40" s="103" t="n"/>
      <c r="F40" s="103" t="n"/>
      <c r="G40" s="104" t="n"/>
      <c r="H40" s="105" t="n"/>
      <c r="I40" s="105" t="n"/>
    </row>
    <row r="41" ht="14.25" customHeight="1" s="60">
      <c r="B41" s="103" t="n"/>
      <c r="C41" s="103" t="n"/>
      <c r="D41" s="103" t="n"/>
      <c r="E41" s="103" t="n"/>
      <c r="F41" s="103" t="n"/>
      <c r="G41" s="104" t="n"/>
      <c r="H41" s="105" t="n"/>
      <c r="I41" s="105" t="n"/>
    </row>
    <row r="42" ht="14.25" customHeight="1" s="60">
      <c r="B42" s="103" t="n"/>
      <c r="C42" s="103" t="n"/>
      <c r="D42" s="103" t="n"/>
      <c r="E42" s="103" t="n"/>
      <c r="F42" s="103" t="n"/>
      <c r="G42" s="104" t="n"/>
      <c r="H42" s="105" t="n"/>
      <c r="I42" s="105" t="n"/>
    </row>
    <row r="43" ht="14.25" customHeight="1" s="60">
      <c r="B43" s="103" t="n"/>
      <c r="C43" s="103" t="n"/>
      <c r="D43" s="103" t="n"/>
      <c r="E43" s="103" t="n"/>
      <c r="F43" s="103" t="n"/>
      <c r="G43" s="104" t="n"/>
      <c r="H43" s="105" t="n"/>
      <c r="I43" s="105" t="n"/>
    </row>
    <row r="44" ht="14.25" customHeight="1" s="60">
      <c r="B44" s="103" t="n"/>
      <c r="C44" s="103" t="n"/>
      <c r="D44" s="103" t="n"/>
      <c r="E44" s="103" t="n"/>
      <c r="F44" s="103" t="n"/>
      <c r="G44" s="104" t="n"/>
      <c r="H44" s="105" t="n"/>
      <c r="I44" s="105" t="n"/>
    </row>
    <row r="45" ht="14.25" customHeight="1" s="60">
      <c r="B45" s="103" t="n"/>
      <c r="C45" s="103" t="n"/>
      <c r="D45" s="103" t="n"/>
      <c r="E45" s="103" t="n"/>
      <c r="F45" s="103" t="n"/>
      <c r="G45" s="104" t="n"/>
      <c r="H45" s="105" t="n"/>
      <c r="I45" s="105" t="n"/>
    </row>
    <row r="46" ht="14.25" customHeight="1" s="60">
      <c r="B46" s="103" t="n"/>
      <c r="C46" s="103" t="n"/>
      <c r="D46" s="103" t="n"/>
      <c r="E46" s="103" t="n"/>
      <c r="F46" s="103" t="n"/>
      <c r="G46" s="104" t="n"/>
      <c r="H46" s="105" t="n"/>
      <c r="I46" s="105" t="n"/>
    </row>
    <row r="47" ht="14.25" customHeight="1" s="60">
      <c r="B47" s="103" t="n"/>
      <c r="C47" s="103" t="n"/>
      <c r="D47" s="103" t="n"/>
      <c r="E47" s="103" t="n"/>
      <c r="F47" s="103" t="n"/>
      <c r="G47" s="104" t="n"/>
      <c r="H47" s="105" t="n"/>
      <c r="I47" s="105" t="n"/>
    </row>
    <row r="48" ht="14.25" customHeight="1" s="60">
      <c r="B48" s="103" t="n"/>
      <c r="C48" s="103" t="n"/>
      <c r="D48" s="103" t="n"/>
      <c r="E48" s="103" t="n"/>
      <c r="F48" s="103" t="n"/>
      <c r="G48" s="104" t="n"/>
      <c r="H48" s="105" t="n"/>
      <c r="I48" s="105" t="n"/>
    </row>
    <row r="49" ht="14.25" customHeight="1" s="60">
      <c r="B49" s="103" t="n"/>
      <c r="C49" s="103" t="n"/>
      <c r="D49" s="103" t="n"/>
      <c r="E49" s="103" t="n"/>
      <c r="F49" s="103" t="n"/>
      <c r="G49" s="104" t="n"/>
      <c r="H49" s="105" t="n"/>
      <c r="I49" s="105" t="n"/>
    </row>
    <row r="50" ht="14.25" customHeight="1" s="60">
      <c r="B50" s="103" t="n"/>
      <c r="C50" s="103" t="n"/>
      <c r="D50" s="103" t="n"/>
      <c r="E50" s="103" t="n"/>
      <c r="F50" s="103" t="n"/>
      <c r="G50" s="104" t="n"/>
      <c r="H50" s="105" t="n"/>
      <c r="I50" s="105" t="n"/>
    </row>
    <row r="51" ht="14.25" customHeight="1" s="60">
      <c r="B51" s="103" t="n"/>
      <c r="C51" s="103" t="n"/>
      <c r="D51" s="103" t="n"/>
      <c r="E51" s="103" t="n"/>
      <c r="F51" s="103" t="n"/>
      <c r="G51" s="104" t="n"/>
      <c r="H51" s="105" t="n"/>
      <c r="I51" s="105" t="n"/>
    </row>
    <row r="52" ht="14.25" customHeight="1" s="60">
      <c r="B52" s="103" t="n"/>
      <c r="C52" s="103" t="n"/>
      <c r="D52" s="103" t="n"/>
      <c r="E52" s="103" t="n"/>
      <c r="F52" s="103" t="n"/>
      <c r="G52" s="104" t="n"/>
      <c r="H52" s="105" t="n"/>
      <c r="I52" s="105" t="n"/>
    </row>
    <row r="53" ht="14.25" customHeight="1" s="60">
      <c r="B53" s="103" t="n"/>
      <c r="C53" s="103" t="n"/>
      <c r="D53" s="103" t="n"/>
      <c r="E53" s="103" t="n"/>
      <c r="F53" s="103" t="n"/>
      <c r="G53" s="104" t="n"/>
      <c r="H53" s="105" t="n"/>
      <c r="I53" s="105" t="n"/>
    </row>
    <row r="54" ht="14.25" customHeight="1" s="60">
      <c r="B54" s="103" t="n"/>
      <c r="C54" s="103" t="n"/>
      <c r="D54" s="103" t="n"/>
      <c r="E54" s="103" t="n"/>
      <c r="F54" s="103" t="n"/>
      <c r="G54" s="104" t="n"/>
      <c r="H54" s="105" t="n"/>
      <c r="I54" s="105" t="n"/>
    </row>
    <row r="55" ht="14.25" customHeight="1" s="60">
      <c r="B55" s="103" t="n"/>
      <c r="C55" s="103" t="n"/>
      <c r="D55" s="103" t="n"/>
      <c r="E55" s="103" t="n"/>
      <c r="F55" s="103" t="n"/>
      <c r="G55" s="104" t="n"/>
      <c r="H55" s="105" t="n"/>
      <c r="I55" s="105" t="n"/>
    </row>
    <row r="56" ht="14.25" customHeight="1" s="60">
      <c r="B56" s="103" t="n"/>
      <c r="C56" s="103" t="n"/>
      <c r="D56" s="103" t="n"/>
      <c r="E56" s="103" t="n"/>
      <c r="F56" s="103" t="n"/>
      <c r="G56" s="104" t="n"/>
      <c r="H56" s="105" t="n"/>
      <c r="I56" s="105" t="n"/>
    </row>
    <row r="57" ht="14.25" customHeight="1" s="60">
      <c r="B57" s="103" t="n"/>
      <c r="C57" s="103" t="n"/>
      <c r="D57" s="103" t="n"/>
      <c r="E57" s="103" t="n"/>
      <c r="F57" s="103" t="n"/>
      <c r="G57" s="104" t="n"/>
      <c r="H57" s="105" t="n"/>
      <c r="I57" s="105" t="n"/>
    </row>
    <row r="58" ht="14.25" customHeight="1" s="60">
      <c r="B58" s="103" t="n"/>
      <c r="C58" s="103" t="n"/>
      <c r="D58" s="103" t="n"/>
      <c r="E58" s="103" t="n"/>
      <c r="F58" s="103" t="n"/>
      <c r="G58" s="104" t="n"/>
      <c r="H58" s="105" t="n"/>
      <c r="I58" s="105" t="n"/>
    </row>
    <row r="59" ht="14.25" customHeight="1" s="60">
      <c r="B59" s="103" t="n"/>
      <c r="C59" s="103" t="n"/>
      <c r="D59" s="103" t="n"/>
      <c r="E59" s="103" t="n"/>
      <c r="F59" s="103" t="n"/>
      <c r="G59" s="104" t="n"/>
      <c r="H59" s="105" t="n"/>
      <c r="I59" s="105" t="n"/>
    </row>
    <row r="60" ht="14.25" customHeight="1" s="60">
      <c r="B60" s="103" t="n"/>
      <c r="C60" s="103" t="n"/>
      <c r="D60" s="103" t="n"/>
      <c r="E60" s="103" t="n"/>
      <c r="F60" s="103" t="n"/>
      <c r="G60" s="104" t="n"/>
      <c r="H60" s="105" t="n"/>
      <c r="I60" s="105" t="n"/>
    </row>
    <row r="61" ht="14.25" customHeight="1" s="60">
      <c r="B61" s="103" t="n"/>
      <c r="C61" s="103" t="n"/>
      <c r="D61" s="103" t="n"/>
      <c r="E61" s="103" t="n"/>
      <c r="F61" s="103" t="n"/>
      <c r="G61" s="104" t="n"/>
      <c r="H61" s="105" t="n"/>
      <c r="I61" s="105" t="n"/>
    </row>
    <row r="62" ht="14.25" customHeight="1" s="60">
      <c r="B62" s="103" t="n"/>
      <c r="C62" s="103" t="n"/>
      <c r="D62" s="103" t="n"/>
      <c r="E62" s="103" t="n"/>
      <c r="F62" s="103" t="n"/>
      <c r="G62" s="104" t="n"/>
      <c r="H62" s="105" t="n"/>
      <c r="I62" s="105" t="n"/>
    </row>
    <row r="63" ht="14.25" customHeight="1" s="60">
      <c r="B63" s="103" t="n"/>
      <c r="C63" s="103" t="n"/>
      <c r="D63" s="103" t="n"/>
      <c r="E63" s="103" t="n"/>
      <c r="F63" s="103" t="n"/>
      <c r="G63" s="104" t="n"/>
      <c r="H63" s="105" t="n"/>
      <c r="I63" s="105" t="n"/>
    </row>
    <row r="64" ht="14.25" customHeight="1" s="60">
      <c r="B64" s="103" t="n"/>
      <c r="C64" s="103" t="n"/>
      <c r="D64" s="103" t="n"/>
      <c r="E64" s="103" t="n"/>
      <c r="F64" s="103" t="n"/>
      <c r="G64" s="104" t="n"/>
      <c r="H64" s="105" t="n"/>
      <c r="I64" s="105" t="n"/>
    </row>
    <row r="65" ht="14.25" customHeight="1" s="60">
      <c r="B65" s="103" t="n"/>
      <c r="C65" s="103" t="n"/>
      <c r="D65" s="103" t="n"/>
      <c r="E65" s="103" t="n"/>
      <c r="F65" s="103" t="n"/>
      <c r="G65" s="104" t="n"/>
      <c r="H65" s="105" t="n"/>
      <c r="I65" s="105" t="n"/>
    </row>
    <row r="66" ht="14.25" customHeight="1" s="60">
      <c r="B66" s="103" t="n"/>
      <c r="C66" s="103" t="n"/>
      <c r="D66" s="103" t="n"/>
      <c r="E66" s="103" t="n"/>
      <c r="F66" s="103" t="n"/>
      <c r="G66" s="104" t="n"/>
      <c r="H66" s="105" t="n"/>
      <c r="I66" s="105" t="n"/>
    </row>
    <row r="67" ht="14.25" customHeight="1" s="60">
      <c r="B67" s="103" t="n"/>
      <c r="C67" s="103" t="n"/>
      <c r="D67" s="103" t="n"/>
      <c r="E67" s="103" t="n"/>
      <c r="F67" s="103" t="n"/>
      <c r="G67" s="104" t="n"/>
      <c r="H67" s="105" t="n"/>
      <c r="I67" s="105" t="n"/>
    </row>
    <row r="68" ht="14.25" customHeight="1" s="60">
      <c r="B68" s="103" t="n"/>
      <c r="C68" s="103" t="n"/>
      <c r="D68" s="103" t="n"/>
      <c r="E68" s="103" t="n"/>
      <c r="F68" s="103" t="n"/>
      <c r="G68" s="104" t="n"/>
      <c r="H68" s="105" t="n"/>
      <c r="I68" s="105" t="n"/>
    </row>
    <row r="69" ht="14.25" customHeight="1" s="60">
      <c r="B69" s="103" t="n"/>
      <c r="C69" s="103" t="n"/>
      <c r="D69" s="103" t="n"/>
      <c r="E69" s="103" t="n"/>
      <c r="F69" s="103" t="n"/>
      <c r="G69" s="104" t="n"/>
      <c r="H69" s="105" t="n"/>
      <c r="I69" s="105" t="n"/>
    </row>
    <row r="70" ht="14.25" customHeight="1" s="60">
      <c r="B70" s="103" t="n"/>
      <c r="C70" s="103" t="n"/>
      <c r="D70" s="103" t="n"/>
      <c r="E70" s="103" t="n"/>
      <c r="F70" s="103" t="n"/>
      <c r="G70" s="104" t="n"/>
      <c r="H70" s="105" t="n"/>
      <c r="I70" s="105" t="n"/>
    </row>
    <row r="71" ht="14.25" customHeight="1" s="60">
      <c r="B71" s="103" t="n"/>
      <c r="C71" s="103" t="n"/>
      <c r="D71" s="103" t="n"/>
      <c r="E71" s="103" t="n"/>
      <c r="F71" s="103" t="n"/>
      <c r="G71" s="104" t="n"/>
      <c r="H71" s="105" t="n"/>
      <c r="I71" s="105" t="n"/>
    </row>
    <row r="72" ht="14.25" customHeight="1" s="60">
      <c r="B72" s="103" t="n"/>
      <c r="C72" s="103" t="n"/>
      <c r="D72" s="103" t="n"/>
      <c r="E72" s="103" t="n"/>
      <c r="F72" s="103" t="n"/>
      <c r="G72" s="104" t="n"/>
      <c r="H72" s="105" t="n"/>
      <c r="I72" s="105" t="n"/>
    </row>
    <row r="73" ht="14.25" customHeight="1" s="60">
      <c r="B73" s="103" t="n"/>
      <c r="C73" s="103" t="n"/>
      <c r="D73" s="103" t="n"/>
      <c r="E73" s="103" t="n"/>
      <c r="F73" s="103" t="n"/>
      <c r="G73" s="104" t="n"/>
      <c r="H73" s="105" t="n"/>
      <c r="I73" s="105" t="n"/>
    </row>
    <row r="74" ht="14.25" customHeight="1" s="60">
      <c r="B74" s="103" t="n"/>
      <c r="C74" s="103" t="n"/>
      <c r="D74" s="103" t="n"/>
      <c r="E74" s="103" t="n"/>
      <c r="F74" s="103" t="n"/>
      <c r="G74" s="104" t="n"/>
      <c r="H74" s="105" t="n"/>
      <c r="I74" s="105" t="n"/>
    </row>
    <row r="75" ht="14.25" customHeight="1" s="60">
      <c r="B75" s="103" t="n"/>
      <c r="C75" s="103" t="n"/>
      <c r="D75" s="103" t="n"/>
      <c r="E75" s="103" t="n"/>
      <c r="F75" s="103" t="n"/>
      <c r="G75" s="104" t="n"/>
      <c r="H75" s="105" t="n"/>
      <c r="I75" s="105" t="n"/>
    </row>
    <row r="76" ht="14.25" customHeight="1" s="60">
      <c r="B76" s="103" t="n"/>
      <c r="C76" s="103" t="n"/>
      <c r="D76" s="103" t="n"/>
      <c r="E76" s="103" t="n"/>
      <c r="F76" s="103" t="n"/>
      <c r="G76" s="104" t="n"/>
      <c r="H76" s="105" t="n"/>
      <c r="I76" s="105" t="n"/>
    </row>
    <row r="77" ht="14.25" customHeight="1" s="60">
      <c r="B77" s="103" t="n"/>
      <c r="C77" s="103" t="n"/>
      <c r="D77" s="103" t="n"/>
      <c r="E77" s="103" t="n"/>
      <c r="F77" s="103" t="n"/>
      <c r="G77" s="104" t="n"/>
      <c r="H77" s="105" t="n"/>
      <c r="I77" s="105" t="n"/>
    </row>
    <row r="78" ht="14.25" customHeight="1" s="60">
      <c r="B78" s="103" t="n"/>
      <c r="C78" s="103" t="n"/>
      <c r="D78" s="103" t="n"/>
      <c r="E78" s="103" t="n"/>
      <c r="F78" s="103" t="n"/>
      <c r="G78" s="104" t="n"/>
      <c r="H78" s="105" t="n"/>
      <c r="I78" s="105" t="n"/>
    </row>
    <row r="79" ht="14.25" customHeight="1" s="60">
      <c r="B79" s="103" t="n"/>
      <c r="C79" s="103" t="n"/>
      <c r="D79" s="103" t="n"/>
      <c r="E79" s="103" t="n"/>
      <c r="F79" s="103" t="n"/>
      <c r="G79" s="104" t="n"/>
      <c r="H79" s="105" t="n"/>
      <c r="I79" s="105" t="n"/>
    </row>
    <row r="80" ht="14.25" customHeight="1" s="60">
      <c r="B80" s="103" t="n"/>
      <c r="C80" s="103" t="n"/>
      <c r="D80" s="103" t="n"/>
      <c r="E80" s="103" t="n"/>
      <c r="F80" s="103" t="n"/>
      <c r="G80" s="104" t="n"/>
      <c r="H80" s="105" t="n"/>
      <c r="I80" s="105" t="n"/>
    </row>
    <row r="81" ht="14.25" customHeight="1" s="60">
      <c r="B81" s="103" t="n"/>
      <c r="C81" s="103" t="n"/>
      <c r="D81" s="103" t="n"/>
      <c r="E81" s="103" t="n"/>
      <c r="F81" s="103" t="n"/>
      <c r="G81" s="104" t="n"/>
      <c r="H81" s="105" t="n"/>
      <c r="I81" s="105" t="n"/>
    </row>
    <row r="82" ht="14.25" customHeight="1" s="60">
      <c r="B82" s="103" t="n"/>
      <c r="C82" s="103" t="n"/>
      <c r="D82" s="103" t="n"/>
      <c r="E82" s="103" t="n"/>
      <c r="F82" s="103" t="n"/>
      <c r="G82" s="104" t="n"/>
      <c r="H82" s="105" t="n"/>
      <c r="I82" s="105" t="n"/>
    </row>
    <row r="83" ht="14.25" customHeight="1" s="60">
      <c r="B83" s="103" t="n"/>
      <c r="C83" s="103" t="n"/>
      <c r="D83" s="103" t="n"/>
      <c r="E83" s="103" t="n"/>
      <c r="F83" s="103" t="n"/>
      <c r="G83" s="104" t="n"/>
      <c r="H83" s="105" t="n"/>
      <c r="I83" s="105" t="n"/>
    </row>
    <row r="84" ht="14.25" customHeight="1" s="60">
      <c r="B84" s="103" t="n"/>
      <c r="C84" s="103" t="n"/>
      <c r="D84" s="103" t="n"/>
      <c r="E84" s="103" t="n"/>
      <c r="F84" s="103" t="n"/>
      <c r="G84" s="104" t="n"/>
      <c r="H84" s="105" t="n"/>
      <c r="I84" s="105" t="n"/>
    </row>
    <row r="85" ht="14.25" customHeight="1" s="60">
      <c r="B85" s="103" t="n"/>
      <c r="C85" s="103" t="n"/>
      <c r="D85" s="103" t="n"/>
      <c r="E85" s="103" t="n"/>
      <c r="F85" s="103" t="n"/>
      <c r="G85" s="104" t="n"/>
      <c r="H85" s="105" t="n"/>
      <c r="I85" s="105" t="n"/>
    </row>
    <row r="86" ht="14.25" customHeight="1" s="60">
      <c r="B86" s="103" t="n"/>
      <c r="C86" s="103" t="n"/>
      <c r="D86" s="103" t="n"/>
      <c r="E86" s="103" t="n"/>
      <c r="F86" s="103" t="n"/>
      <c r="G86" s="104" t="n"/>
      <c r="H86" s="105" t="n"/>
      <c r="I86" s="105" t="n"/>
    </row>
    <row r="87" ht="14.25" customHeight="1" s="60">
      <c r="B87" s="103" t="n"/>
      <c r="C87" s="103" t="n"/>
      <c r="D87" s="103" t="n"/>
      <c r="E87" s="103" t="n"/>
      <c r="F87" s="103" t="n"/>
      <c r="G87" s="104" t="n"/>
      <c r="H87" s="105" t="n"/>
      <c r="I87" s="105" t="n"/>
    </row>
    <row r="88" ht="14.25" customHeight="1" s="60">
      <c r="B88" s="103" t="n"/>
      <c r="C88" s="103" t="n"/>
      <c r="D88" s="103" t="n"/>
      <c r="E88" s="103" t="n"/>
      <c r="F88" s="103" t="n"/>
      <c r="G88" s="104" t="n"/>
      <c r="H88" s="105" t="n"/>
      <c r="I88" s="105" t="n"/>
    </row>
    <row r="89" ht="14.25" customHeight="1" s="60">
      <c r="B89" s="103" t="n"/>
      <c r="C89" s="103" t="n"/>
      <c r="D89" s="103" t="n"/>
      <c r="E89" s="103" t="n"/>
      <c r="F89" s="103" t="n"/>
      <c r="G89" s="104" t="n"/>
      <c r="H89" s="105" t="n"/>
      <c r="I89" s="105" t="n"/>
    </row>
    <row r="90" ht="14.25" customHeight="1" s="60">
      <c r="B90" s="103" t="n"/>
      <c r="C90" s="103" t="n"/>
      <c r="D90" s="103" t="n"/>
      <c r="E90" s="103" t="n"/>
      <c r="F90" s="103" t="n"/>
      <c r="G90" s="104" t="n"/>
      <c r="H90" s="105" t="n"/>
      <c r="I90" s="105" t="n"/>
    </row>
    <row r="91" ht="14.25" customHeight="1" s="60">
      <c r="B91" s="103" t="n"/>
      <c r="C91" s="103" t="n"/>
      <c r="D91" s="103" t="n"/>
      <c r="E91" s="103" t="n"/>
      <c r="F91" s="103" t="n"/>
      <c r="G91" s="104" t="n"/>
      <c r="H91" s="105" t="n"/>
      <c r="I91" s="105" t="n"/>
    </row>
    <row r="92" ht="14.25" customHeight="1" s="60">
      <c r="B92" s="103" t="n"/>
      <c r="C92" s="103" t="n"/>
      <c r="D92" s="103" t="n"/>
      <c r="E92" s="103" t="n"/>
      <c r="F92" s="103" t="n"/>
      <c r="G92" s="104" t="n"/>
      <c r="H92" s="105" t="n"/>
      <c r="I92" s="105" t="n"/>
    </row>
    <row r="93" ht="14.25" customHeight="1" s="60">
      <c r="B93" s="103" t="n"/>
      <c r="C93" s="103" t="n"/>
      <c r="D93" s="103" t="n"/>
      <c r="E93" s="103" t="n"/>
      <c r="F93" s="103" t="n"/>
      <c r="G93" s="104" t="n"/>
      <c r="H93" s="105" t="n"/>
      <c r="I93" s="105" t="n"/>
    </row>
    <row r="94" ht="14.25" customHeight="1" s="60">
      <c r="B94" s="103" t="n"/>
      <c r="C94" s="103" t="n"/>
      <c r="D94" s="103" t="n"/>
      <c r="E94" s="103" t="n"/>
      <c r="F94" s="103" t="n"/>
      <c r="G94" s="104" t="n"/>
      <c r="H94" s="105" t="n"/>
      <c r="I94" s="105" t="n"/>
    </row>
    <row r="95" ht="14.25" customHeight="1" s="60">
      <c r="B95" s="103" t="n"/>
      <c r="C95" s="103" t="n"/>
      <c r="D95" s="103" t="n"/>
      <c r="E95" s="103" t="n"/>
      <c r="F95" s="103" t="n"/>
      <c r="G95" s="104" t="n"/>
      <c r="H95" s="105" t="n"/>
      <c r="I95" s="105" t="n"/>
    </row>
    <row r="96" ht="14.25" customHeight="1" s="60">
      <c r="B96" s="103" t="n"/>
      <c r="C96" s="103" t="n"/>
      <c r="D96" s="103" t="n"/>
      <c r="E96" s="103" t="n"/>
      <c r="F96" s="103" t="n"/>
      <c r="G96" s="104" t="n"/>
      <c r="H96" s="105" t="n"/>
      <c r="I96" s="105" t="n"/>
    </row>
    <row r="97" ht="14.25" customHeight="1" s="60">
      <c r="B97" s="103" t="n"/>
      <c r="C97" s="103" t="n"/>
      <c r="D97" s="103" t="n"/>
      <c r="E97" s="103" t="n"/>
      <c r="F97" s="103" t="n"/>
      <c r="G97" s="104" t="n"/>
      <c r="H97" s="105" t="n"/>
      <c r="I97" s="105" t="n"/>
    </row>
    <row r="98" ht="14.25" customHeight="1" s="60">
      <c r="B98" s="103" t="n"/>
      <c r="C98" s="103" t="n"/>
      <c r="D98" s="103" t="n"/>
      <c r="E98" s="103" t="n"/>
      <c r="F98" s="103" t="n"/>
      <c r="G98" s="104" t="n"/>
      <c r="H98" s="105" t="n"/>
      <c r="I98" s="105" t="n"/>
    </row>
    <row r="99" ht="14.25" customHeight="1" s="60">
      <c r="B99" s="103" t="n"/>
      <c r="C99" s="103" t="n"/>
      <c r="D99" s="103" t="n"/>
      <c r="E99" s="103" t="n"/>
      <c r="F99" s="103" t="n"/>
      <c r="G99" s="104" t="n"/>
      <c r="H99" s="105" t="n"/>
      <c r="I99" s="105" t="n"/>
    </row>
    <row r="100" ht="14.25" customHeight="1" s="60">
      <c r="B100" s="103" t="n"/>
      <c r="C100" s="103" t="n"/>
      <c r="D100" s="103" t="n"/>
      <c r="E100" s="103" t="n"/>
      <c r="F100" s="103" t="n"/>
      <c r="G100" s="104" t="n"/>
      <c r="H100" s="105" t="n"/>
      <c r="I100" s="105" t="n"/>
    </row>
    <row r="101" ht="14.25" customHeight="1" s="60">
      <c r="B101" s="103" t="n"/>
      <c r="C101" s="103" t="n"/>
      <c r="D101" s="103" t="n"/>
      <c r="E101" s="103" t="n"/>
      <c r="F101" s="103" t="n"/>
      <c r="G101" s="104" t="n"/>
      <c r="H101" s="105" t="n"/>
      <c r="I101" s="105" t="n"/>
    </row>
    <row r="102" ht="14.25" customHeight="1" s="60">
      <c r="B102" s="103" t="n"/>
      <c r="C102" s="103" t="n"/>
      <c r="D102" s="103" t="n"/>
      <c r="E102" s="103" t="n"/>
      <c r="F102" s="103" t="n"/>
      <c r="G102" s="104" t="n"/>
      <c r="H102" s="105" t="n"/>
      <c r="I102" s="105" t="n"/>
    </row>
    <row r="103" ht="14.25" customHeight="1" s="60">
      <c r="B103" s="103" t="n"/>
      <c r="C103" s="103" t="n"/>
      <c r="D103" s="103" t="n"/>
      <c r="E103" s="103" t="n"/>
      <c r="F103" s="103" t="n"/>
      <c r="G103" s="104" t="n"/>
      <c r="H103" s="105" t="n"/>
      <c r="I103" s="105" t="n"/>
    </row>
    <row r="104" ht="14.25" customHeight="1" s="60">
      <c r="B104" s="103" t="n"/>
      <c r="C104" s="103" t="n"/>
      <c r="D104" s="103" t="n"/>
      <c r="E104" s="103" t="n"/>
      <c r="F104" s="103" t="n"/>
      <c r="G104" s="104" t="n"/>
      <c r="H104" s="105" t="n"/>
      <c r="I104" s="105" t="n"/>
    </row>
    <row r="105" ht="14.25" customHeight="1" s="60">
      <c r="B105" s="103" t="n"/>
      <c r="C105" s="103" t="n"/>
      <c r="D105" s="103" t="n"/>
      <c r="E105" s="103" t="n"/>
      <c r="F105" s="103" t="n"/>
      <c r="G105" s="104" t="n"/>
      <c r="H105" s="105" t="n"/>
      <c r="I105" s="105" t="n"/>
    </row>
    <row r="106" ht="14.25" customHeight="1" s="60">
      <c r="B106" s="103" t="n"/>
      <c r="C106" s="103" t="n"/>
      <c r="D106" s="103" t="n"/>
      <c r="E106" s="103" t="n"/>
      <c r="F106" s="103" t="n"/>
      <c r="G106" s="104" t="n"/>
      <c r="H106" s="105" t="n"/>
      <c r="I106" s="105" t="n"/>
    </row>
    <row r="107" ht="14.25" customHeight="1" s="60">
      <c r="B107" s="103" t="n"/>
      <c r="C107" s="103" t="n"/>
      <c r="D107" s="103" t="n"/>
      <c r="E107" s="103" t="n"/>
      <c r="F107" s="103" t="n"/>
      <c r="G107" s="104" t="n"/>
      <c r="H107" s="105" t="n"/>
      <c r="I107" s="105" t="n"/>
    </row>
    <row r="108" ht="14.25" customHeight="1" s="60">
      <c r="B108" s="103" t="n"/>
      <c r="C108" s="103" t="n"/>
      <c r="D108" s="103" t="n"/>
      <c r="E108" s="103" t="n"/>
      <c r="F108" s="103" t="n"/>
      <c r="G108" s="104" t="n"/>
      <c r="H108" s="105" t="n"/>
      <c r="I108" s="105" t="n"/>
    </row>
    <row r="109" ht="14.25" customHeight="1" s="60">
      <c r="B109" s="103" t="n"/>
      <c r="C109" s="103" t="n"/>
      <c r="D109" s="103" t="n"/>
      <c r="E109" s="103" t="n"/>
      <c r="F109" s="103" t="n"/>
      <c r="G109" s="104" t="n"/>
      <c r="H109" s="105" t="n"/>
      <c r="I109" s="105" t="n"/>
    </row>
    <row r="110" ht="14.25" customHeight="1" s="60">
      <c r="B110" s="103" t="n"/>
      <c r="C110" s="103" t="n"/>
      <c r="D110" s="103" t="n"/>
      <c r="E110" s="103" t="n"/>
      <c r="F110" s="103" t="n"/>
      <c r="G110" s="104" t="n"/>
      <c r="H110" s="105" t="n"/>
      <c r="I110" s="105" t="n"/>
    </row>
    <row r="111" ht="14.25" customHeight="1" s="60">
      <c r="B111" s="103" t="n"/>
      <c r="C111" s="103" t="n"/>
      <c r="D111" s="103" t="n"/>
      <c r="E111" s="103" t="n"/>
      <c r="F111" s="103" t="n"/>
      <c r="G111" s="104" t="n"/>
      <c r="H111" s="105" t="n"/>
      <c r="I111" s="105" t="n"/>
    </row>
    <row r="112" ht="14.25" customHeight="1" s="60">
      <c r="B112" s="103" t="n"/>
      <c r="C112" s="103" t="n"/>
      <c r="D112" s="103" t="n"/>
      <c r="E112" s="103" t="n"/>
      <c r="F112" s="103" t="n"/>
      <c r="G112" s="104" t="n"/>
      <c r="H112" s="105" t="n"/>
      <c r="I112" s="105" t="n"/>
    </row>
    <row r="113" ht="14.25" customHeight="1" s="60">
      <c r="B113" s="103" t="n"/>
      <c r="C113" s="103" t="n"/>
      <c r="D113" s="103" t="n"/>
      <c r="E113" s="103" t="n"/>
      <c r="F113" s="103" t="n"/>
      <c r="G113" s="104" t="n"/>
      <c r="H113" s="105" t="n"/>
      <c r="I113" s="105" t="n"/>
    </row>
    <row r="114" ht="14.25" customHeight="1" s="60">
      <c r="B114" s="103" t="n"/>
      <c r="C114" s="103" t="n"/>
      <c r="D114" s="103" t="n"/>
      <c r="E114" s="103" t="n"/>
      <c r="F114" s="103" t="n"/>
      <c r="G114" s="104" t="n"/>
      <c r="H114" s="105" t="n"/>
      <c r="I114" s="105" t="n"/>
    </row>
    <row r="115" ht="14.25" customHeight="1" s="60">
      <c r="B115" s="103" t="n"/>
      <c r="C115" s="103" t="n"/>
      <c r="D115" s="103" t="n"/>
      <c r="E115" s="103" t="n"/>
      <c r="F115" s="103" t="n"/>
      <c r="G115" s="104" t="n"/>
      <c r="H115" s="105" t="n"/>
      <c r="I115" s="105" t="n"/>
    </row>
    <row r="116" ht="14.25" customHeight="1" s="60">
      <c r="B116" s="103" t="n"/>
      <c r="C116" s="103" t="n"/>
      <c r="D116" s="103" t="n"/>
      <c r="E116" s="103" t="n"/>
      <c r="F116" s="103" t="n"/>
      <c r="G116" s="104" t="n"/>
      <c r="H116" s="105" t="n"/>
      <c r="I116" s="105" t="n"/>
    </row>
    <row r="117" ht="14.25" customHeight="1" s="60">
      <c r="B117" s="103" t="n"/>
      <c r="C117" s="103" t="n"/>
      <c r="D117" s="103" t="n"/>
      <c r="E117" s="103" t="n"/>
      <c r="F117" s="103" t="n"/>
      <c r="G117" s="104" t="n"/>
      <c r="H117" s="105" t="n"/>
      <c r="I117" s="105" t="n"/>
    </row>
    <row r="118" ht="14.25" customHeight="1" s="60">
      <c r="B118" s="103" t="n"/>
      <c r="C118" s="103" t="n"/>
      <c r="D118" s="103" t="n"/>
      <c r="E118" s="103" t="n"/>
      <c r="F118" s="103" t="n"/>
      <c r="G118" s="104" t="n"/>
      <c r="H118" s="105" t="n"/>
      <c r="I118" s="105" t="n"/>
    </row>
    <row r="119" ht="14.25" customHeight="1" s="60">
      <c r="B119" s="103" t="n"/>
      <c r="C119" s="103" t="n"/>
      <c r="D119" s="103" t="n"/>
      <c r="E119" s="103" t="n"/>
      <c r="F119" s="103" t="n"/>
      <c r="G119" s="104" t="n"/>
      <c r="H119" s="105" t="n"/>
      <c r="I119" s="105" t="n"/>
    </row>
    <row r="120" ht="14.25" customHeight="1" s="60">
      <c r="B120" s="103" t="n"/>
      <c r="C120" s="103" t="n"/>
      <c r="D120" s="103" t="n"/>
      <c r="E120" s="103" t="n"/>
      <c r="F120" s="103" t="n"/>
      <c r="G120" s="104" t="n"/>
      <c r="H120" s="105" t="n"/>
      <c r="I120" s="105" t="n"/>
    </row>
    <row r="121" ht="14.25" customHeight="1" s="60">
      <c r="B121" s="103" t="n"/>
      <c r="C121" s="103" t="n"/>
      <c r="D121" s="103" t="n"/>
      <c r="E121" s="103" t="n"/>
      <c r="F121" s="103" t="n"/>
      <c r="G121" s="104" t="n"/>
      <c r="H121" s="105" t="n"/>
      <c r="I121" s="105" t="n"/>
    </row>
    <row r="122" ht="14.25" customHeight="1" s="60">
      <c r="B122" s="103" t="n"/>
      <c r="C122" s="103" t="n"/>
      <c r="D122" s="103" t="n"/>
      <c r="E122" s="103" t="n"/>
      <c r="F122" s="103" t="n"/>
      <c r="G122" s="104" t="n"/>
      <c r="H122" s="105" t="n"/>
      <c r="I122" s="105" t="n"/>
    </row>
    <row r="123" ht="14.25" customHeight="1" s="60">
      <c r="B123" s="103" t="n"/>
      <c r="C123" s="103" t="n"/>
      <c r="D123" s="103" t="n"/>
      <c r="E123" s="103" t="n"/>
      <c r="F123" s="103" t="n"/>
      <c r="G123" s="104" t="n"/>
      <c r="H123" s="105" t="n"/>
      <c r="I123" s="105" t="n"/>
    </row>
    <row r="124" ht="14.25" customHeight="1" s="60">
      <c r="B124" s="103" t="n"/>
      <c r="C124" s="103" t="n"/>
      <c r="D124" s="103" t="n"/>
      <c r="E124" s="103" t="n"/>
      <c r="F124" s="103" t="n"/>
      <c r="G124" s="104" t="n"/>
      <c r="H124" s="105" t="n"/>
      <c r="I124" s="105" t="n"/>
    </row>
    <row r="125" ht="14.25" customHeight="1" s="60">
      <c r="B125" s="103" t="n"/>
      <c r="C125" s="103" t="n"/>
      <c r="D125" s="103" t="n"/>
      <c r="E125" s="103" t="n"/>
      <c r="F125" s="103" t="n"/>
      <c r="G125" s="104" t="n"/>
      <c r="H125" s="105" t="n"/>
      <c r="I125" s="105" t="n"/>
    </row>
    <row r="126" ht="14.25" customHeight="1" s="60">
      <c r="B126" s="103" t="n"/>
      <c r="C126" s="103" t="n"/>
      <c r="D126" s="103" t="n"/>
      <c r="E126" s="103" t="n"/>
      <c r="F126" s="103" t="n"/>
      <c r="G126" s="104" t="n"/>
      <c r="H126" s="105" t="n"/>
      <c r="I126" s="105" t="n"/>
    </row>
    <row r="127" ht="14.25" customHeight="1" s="60">
      <c r="B127" s="103" t="n"/>
      <c r="C127" s="103" t="n"/>
      <c r="D127" s="103" t="n"/>
      <c r="E127" s="103" t="n"/>
      <c r="F127" s="103" t="n"/>
      <c r="G127" s="104" t="n"/>
      <c r="H127" s="105" t="n"/>
      <c r="I127" s="105" t="n"/>
    </row>
    <row r="128" ht="14.25" customHeight="1" s="60">
      <c r="B128" s="103" t="n"/>
      <c r="C128" s="103" t="n"/>
      <c r="D128" s="103" t="n"/>
      <c r="E128" s="103" t="n"/>
      <c r="F128" s="103" t="n"/>
      <c r="G128" s="104" t="n"/>
      <c r="H128" s="105" t="n"/>
      <c r="I128" s="105" t="n"/>
    </row>
    <row r="129" ht="14.25" customHeight="1" s="60">
      <c r="B129" s="103" t="n"/>
      <c r="C129" s="103" t="n"/>
      <c r="D129" s="103" t="n"/>
      <c r="E129" s="103" t="n"/>
      <c r="F129" s="103" t="n"/>
      <c r="G129" s="104" t="n"/>
      <c r="H129" s="105" t="n"/>
      <c r="I129" s="105" t="n"/>
    </row>
    <row r="130" ht="14.25" customHeight="1" s="60">
      <c r="B130" s="103" t="n"/>
      <c r="C130" s="103" t="n"/>
      <c r="D130" s="103" t="n"/>
      <c r="E130" s="103" t="n"/>
      <c r="F130" s="103" t="n"/>
      <c r="G130" s="104" t="n"/>
      <c r="H130" s="105" t="n"/>
      <c r="I130" s="105" t="n"/>
    </row>
    <row r="131" ht="14.25" customHeight="1" s="60">
      <c r="B131" s="103" t="n"/>
      <c r="C131" s="103" t="n"/>
      <c r="D131" s="103" t="n"/>
      <c r="E131" s="103" t="n"/>
      <c r="F131" s="103" t="n"/>
      <c r="G131" s="104" t="n"/>
      <c r="H131" s="105" t="n"/>
      <c r="I131" s="105" t="n"/>
    </row>
    <row r="132" ht="14.25" customHeight="1" s="60">
      <c r="B132" s="103" t="n"/>
      <c r="C132" s="103" t="n"/>
      <c r="D132" s="103" t="n"/>
      <c r="E132" s="103" t="n"/>
      <c r="F132" s="103" t="n"/>
      <c r="G132" s="104" t="n"/>
      <c r="H132" s="105" t="n"/>
      <c r="I132" s="105" t="n"/>
    </row>
    <row r="133" ht="14.25" customHeight="1" s="60">
      <c r="B133" s="103" t="n"/>
      <c r="C133" s="103" t="n"/>
      <c r="D133" s="103" t="n"/>
      <c r="E133" s="103" t="n"/>
      <c r="F133" s="103" t="n"/>
      <c r="G133" s="104" t="n"/>
      <c r="H133" s="105" t="n"/>
      <c r="I133" s="105" t="n"/>
    </row>
    <row r="134" ht="14.25" customHeight="1" s="60">
      <c r="B134" s="103" t="n"/>
      <c r="C134" s="103" t="n"/>
      <c r="D134" s="103" t="n"/>
      <c r="E134" s="103" t="n"/>
      <c r="F134" s="103" t="n"/>
      <c r="G134" s="104" t="n"/>
      <c r="H134" s="105" t="n"/>
      <c r="I134" s="105" t="n"/>
    </row>
    <row r="135" ht="14.25" customHeight="1" s="60">
      <c r="B135" s="103" t="n"/>
      <c r="C135" s="103" t="n"/>
      <c r="D135" s="103" t="n"/>
      <c r="E135" s="103" t="n"/>
      <c r="F135" s="103" t="n"/>
      <c r="G135" s="104" t="n"/>
      <c r="H135" s="105" t="n"/>
      <c r="I135" s="105" t="n"/>
    </row>
    <row r="136" ht="14.25" customHeight="1" s="60">
      <c r="B136" s="103" t="n"/>
      <c r="C136" s="103" t="n"/>
      <c r="D136" s="103" t="n"/>
      <c r="E136" s="103" t="n"/>
      <c r="F136" s="103" t="n"/>
      <c r="G136" s="104" t="n"/>
      <c r="H136" s="105" t="n"/>
      <c r="I136" s="105" t="n"/>
    </row>
    <row r="137" ht="14.25" customHeight="1" s="60">
      <c r="B137" s="103" t="n"/>
      <c r="C137" s="103" t="n"/>
      <c r="D137" s="103" t="n"/>
      <c r="E137" s="103" t="n"/>
      <c r="F137" s="103" t="n"/>
      <c r="G137" s="104" t="n"/>
      <c r="H137" s="105" t="n"/>
      <c r="I137" s="105" t="n"/>
    </row>
    <row r="138" ht="14.25" customHeight="1" s="60">
      <c r="B138" s="103" t="n"/>
      <c r="C138" s="103" t="n"/>
      <c r="D138" s="103" t="n"/>
      <c r="E138" s="103" t="n"/>
      <c r="F138" s="103" t="n"/>
      <c r="G138" s="104" t="n"/>
      <c r="H138" s="105" t="n"/>
      <c r="I138" s="105" t="n"/>
    </row>
    <row r="139" ht="14.25" customHeight="1" s="60">
      <c r="B139" s="103" t="n"/>
      <c r="C139" s="103" t="n"/>
      <c r="D139" s="103" t="n"/>
      <c r="E139" s="103" t="n"/>
      <c r="F139" s="103" t="n"/>
      <c r="G139" s="104" t="n"/>
      <c r="H139" s="105" t="n"/>
      <c r="I139" s="105" t="n"/>
    </row>
    <row r="140" ht="14.25" customHeight="1" s="60">
      <c r="B140" s="103" t="n"/>
      <c r="C140" s="103" t="n"/>
      <c r="D140" s="103" t="n"/>
      <c r="E140" s="103" t="n"/>
      <c r="F140" s="103" t="n"/>
      <c r="G140" s="104" t="n"/>
      <c r="H140" s="105" t="n"/>
      <c r="I140" s="105" t="n"/>
    </row>
    <row r="141" ht="14.25" customHeight="1" s="60">
      <c r="B141" s="103" t="n"/>
      <c r="C141" s="103" t="n"/>
      <c r="D141" s="103" t="n"/>
      <c r="E141" s="103" t="n"/>
      <c r="F141" s="103" t="n"/>
      <c r="G141" s="104" t="n"/>
      <c r="H141" s="105" t="n"/>
      <c r="I141" s="105" t="n"/>
    </row>
    <row r="142" ht="14.25" customHeight="1" s="60">
      <c r="B142" s="103" t="n"/>
      <c r="C142" s="103" t="n"/>
      <c r="D142" s="103" t="n"/>
      <c r="E142" s="103" t="n"/>
      <c r="F142" s="103" t="n"/>
      <c r="G142" s="104" t="n"/>
      <c r="H142" s="105" t="n"/>
      <c r="I142" s="105" t="n"/>
    </row>
    <row r="143" ht="14.25" customHeight="1" s="60">
      <c r="B143" s="103" t="n"/>
      <c r="C143" s="103" t="n"/>
      <c r="D143" s="103" t="n"/>
      <c r="E143" s="103" t="n"/>
      <c r="F143" s="103" t="n"/>
      <c r="G143" s="104" t="n"/>
      <c r="H143" s="105" t="n"/>
      <c r="I143" s="105" t="n"/>
    </row>
    <row r="144" ht="14.25" customHeight="1" s="60">
      <c r="B144" s="103" t="n"/>
      <c r="C144" s="103" t="n"/>
      <c r="D144" s="103" t="n"/>
      <c r="E144" s="103" t="n"/>
      <c r="F144" s="103" t="n"/>
      <c r="G144" s="104" t="n"/>
      <c r="H144" s="105" t="n"/>
      <c r="I144" s="105" t="n"/>
    </row>
    <row r="145" ht="14.25" customHeight="1" s="60">
      <c r="B145" s="103" t="n"/>
      <c r="C145" s="103" t="n"/>
      <c r="D145" s="103" t="n"/>
      <c r="E145" s="103" t="n"/>
      <c r="F145" s="103" t="n"/>
      <c r="G145" s="104" t="n"/>
      <c r="H145" s="105" t="n"/>
      <c r="I145" s="105" t="n"/>
    </row>
    <row r="146" ht="14.25" customHeight="1" s="60">
      <c r="B146" s="103" t="n"/>
      <c r="C146" s="103" t="n"/>
      <c r="D146" s="103" t="n"/>
      <c r="E146" s="103" t="n"/>
      <c r="F146" s="103" t="n"/>
      <c r="G146" s="104" t="n"/>
      <c r="H146" s="105" t="n"/>
      <c r="I146" s="105" t="n"/>
    </row>
    <row r="147" ht="14.25" customHeight="1" s="60">
      <c r="B147" s="103" t="n"/>
      <c r="C147" s="103" t="n"/>
      <c r="D147" s="103" t="n"/>
      <c r="E147" s="103" t="n"/>
      <c r="F147" s="103" t="n"/>
      <c r="G147" s="104" t="n"/>
      <c r="H147" s="105" t="n"/>
      <c r="I147" s="105" t="n"/>
    </row>
    <row r="148" ht="14.25" customHeight="1" s="60">
      <c r="B148" s="103" t="n"/>
      <c r="C148" s="103" t="n"/>
      <c r="D148" s="103" t="n"/>
      <c r="E148" s="103" t="n"/>
      <c r="F148" s="103" t="n"/>
      <c r="G148" s="104" t="n"/>
      <c r="H148" s="105" t="n"/>
      <c r="I148" s="105" t="n"/>
    </row>
    <row r="149" ht="14.25" customHeight="1" s="60">
      <c r="B149" s="103" t="n"/>
      <c r="C149" s="103" t="n"/>
      <c r="D149" s="103" t="n"/>
      <c r="E149" s="103" t="n"/>
      <c r="F149" s="103" t="n"/>
      <c r="G149" s="104" t="n"/>
      <c r="H149" s="105" t="n"/>
      <c r="I149" s="105" t="n"/>
    </row>
    <row r="150" ht="14.25" customHeight="1" s="60">
      <c r="B150" s="103" t="n"/>
      <c r="C150" s="103" t="n"/>
      <c r="D150" s="103" t="n"/>
      <c r="E150" s="103" t="n"/>
      <c r="F150" s="103" t="n"/>
      <c r="G150" s="104" t="n"/>
      <c r="H150" s="105" t="n"/>
      <c r="I150" s="105" t="n"/>
    </row>
    <row r="151" ht="14.25" customHeight="1" s="60">
      <c r="B151" s="103" t="n"/>
      <c r="C151" s="103" t="n"/>
      <c r="D151" s="103" t="n"/>
      <c r="E151" s="103" t="n"/>
      <c r="F151" s="103" t="n"/>
      <c r="G151" s="104" t="n"/>
      <c r="H151" s="105" t="n"/>
      <c r="I151" s="105" t="n"/>
    </row>
    <row r="152" ht="14.25" customHeight="1" s="60">
      <c r="B152" s="103" t="n"/>
      <c r="C152" s="103" t="n"/>
      <c r="D152" s="103" t="n"/>
      <c r="E152" s="103" t="n"/>
      <c r="F152" s="103" t="n"/>
      <c r="G152" s="104" t="n"/>
      <c r="H152" s="105" t="n"/>
      <c r="I152" s="105" t="n"/>
    </row>
    <row r="153" ht="14.25" customHeight="1" s="60">
      <c r="B153" s="103" t="n"/>
      <c r="C153" s="103" t="n"/>
      <c r="D153" s="103" t="n"/>
      <c r="E153" s="103" t="n"/>
      <c r="F153" s="103" t="n"/>
      <c r="G153" s="104" t="n"/>
      <c r="H153" s="105" t="n"/>
      <c r="I153" s="105" t="n"/>
    </row>
    <row r="154" ht="14.25" customHeight="1" s="60">
      <c r="B154" s="103" t="n"/>
      <c r="C154" s="103" t="n"/>
      <c r="D154" s="103" t="n"/>
      <c r="E154" s="103" t="n"/>
      <c r="F154" s="103" t="n"/>
      <c r="G154" s="104" t="n"/>
      <c r="H154" s="105" t="n"/>
      <c r="I154" s="105" t="n"/>
    </row>
    <row r="155" ht="14.25" customHeight="1" s="60">
      <c r="B155" s="103" t="n"/>
      <c r="C155" s="103" t="n"/>
      <c r="D155" s="103" t="n"/>
      <c r="E155" s="103" t="n"/>
      <c r="F155" s="103" t="n"/>
      <c r="G155" s="104" t="n"/>
      <c r="H155" s="105" t="n"/>
      <c r="I155" s="105" t="n"/>
    </row>
    <row r="156" ht="14.25" customHeight="1" s="60">
      <c r="B156" s="103" t="n"/>
      <c r="C156" s="103" t="n"/>
      <c r="D156" s="103" t="n"/>
      <c r="E156" s="103" t="n"/>
      <c r="F156" s="103" t="n"/>
      <c r="G156" s="104" t="n"/>
      <c r="H156" s="105" t="n"/>
      <c r="I156" s="105" t="n"/>
    </row>
    <row r="157" ht="14.25" customHeight="1" s="60">
      <c r="B157" s="103" t="n"/>
      <c r="C157" s="103" t="n"/>
      <c r="D157" s="103" t="n"/>
      <c r="E157" s="103" t="n"/>
      <c r="F157" s="103" t="n"/>
      <c r="G157" s="104" t="n"/>
      <c r="H157" s="105" t="n"/>
      <c r="I157" s="105" t="n"/>
    </row>
    <row r="158" ht="14.25" customHeight="1" s="60">
      <c r="B158" s="103" t="n"/>
      <c r="C158" s="103" t="n"/>
      <c r="D158" s="103" t="n"/>
      <c r="E158" s="103" t="n"/>
      <c r="F158" s="103" t="n"/>
      <c r="G158" s="104" t="n"/>
      <c r="H158" s="105" t="n"/>
      <c r="I158" s="105" t="n"/>
    </row>
    <row r="159" ht="14.25" customHeight="1" s="60">
      <c r="B159" s="103" t="n"/>
      <c r="C159" s="103" t="n"/>
      <c r="D159" s="103" t="n"/>
      <c r="E159" s="103" t="n"/>
      <c r="F159" s="103" t="n"/>
      <c r="G159" s="104" t="n"/>
      <c r="H159" s="105" t="n"/>
      <c r="I159" s="105" t="n"/>
    </row>
    <row r="160" ht="14.25" customHeight="1" s="60">
      <c r="B160" s="103" t="n"/>
      <c r="C160" s="103" t="n"/>
      <c r="D160" s="103" t="n"/>
      <c r="E160" s="103" t="n"/>
      <c r="F160" s="103" t="n"/>
      <c r="G160" s="104" t="n"/>
      <c r="H160" s="105" t="n"/>
      <c r="I160" s="105" t="n"/>
    </row>
    <row r="161" ht="14.25" customHeight="1" s="60">
      <c r="B161" s="103" t="n"/>
      <c r="C161" s="103" t="n"/>
      <c r="D161" s="103" t="n"/>
      <c r="E161" s="103" t="n"/>
      <c r="F161" s="103" t="n"/>
      <c r="G161" s="104" t="n"/>
      <c r="H161" s="105" t="n"/>
      <c r="I161" s="105" t="n"/>
    </row>
    <row r="162" ht="14.25" customHeight="1" s="60">
      <c r="B162" s="103" t="n"/>
      <c r="C162" s="103" t="n"/>
      <c r="D162" s="103" t="n"/>
      <c r="E162" s="103" t="n"/>
      <c r="F162" s="103" t="n"/>
      <c r="G162" s="104" t="n"/>
      <c r="H162" s="105" t="n"/>
      <c r="I162" s="105" t="n"/>
    </row>
    <row r="163" ht="14.25" customHeight="1" s="60">
      <c r="B163" s="103" t="n"/>
      <c r="C163" s="103" t="n"/>
      <c r="D163" s="103" t="n"/>
      <c r="E163" s="103" t="n"/>
      <c r="F163" s="103" t="n"/>
      <c r="G163" s="104" t="n"/>
      <c r="H163" s="105" t="n"/>
      <c r="I163" s="105" t="n"/>
    </row>
    <row r="164" ht="14.25" customHeight="1" s="60">
      <c r="B164" s="103" t="n"/>
      <c r="C164" s="103" t="n"/>
      <c r="D164" s="103" t="n"/>
      <c r="E164" s="103" t="n"/>
      <c r="F164" s="103" t="n"/>
      <c r="G164" s="104" t="n"/>
      <c r="H164" s="105" t="n"/>
      <c r="I164" s="105" t="n"/>
    </row>
    <row r="165" ht="14.25" customHeight="1" s="60">
      <c r="B165" s="103" t="n"/>
      <c r="C165" s="103" t="n"/>
      <c r="D165" s="103" t="n"/>
      <c r="E165" s="103" t="n"/>
      <c r="F165" s="103" t="n"/>
      <c r="G165" s="104" t="n"/>
      <c r="H165" s="105" t="n"/>
      <c r="I165" s="105" t="n"/>
    </row>
    <row r="166" ht="14.25" customHeight="1" s="60">
      <c r="B166" s="103" t="n"/>
      <c r="C166" s="103" t="n"/>
      <c r="D166" s="103" t="n"/>
      <c r="E166" s="103" t="n"/>
      <c r="F166" s="103" t="n"/>
      <c r="G166" s="104" t="n"/>
      <c r="H166" s="105" t="n"/>
      <c r="I166" s="105" t="n"/>
    </row>
    <row r="167" ht="14.25" customHeight="1" s="60">
      <c r="B167" s="103" t="n"/>
      <c r="C167" s="103" t="n"/>
      <c r="D167" s="103" t="n"/>
      <c r="E167" s="103" t="n"/>
      <c r="F167" s="103" t="n"/>
      <c r="G167" s="104" t="n"/>
      <c r="H167" s="105" t="n"/>
      <c r="I167" s="105" t="n"/>
    </row>
    <row r="168" ht="14.25" customHeight="1" s="60">
      <c r="B168" s="103" t="n"/>
      <c r="C168" s="103" t="n"/>
      <c r="D168" s="103" t="n"/>
      <c r="E168" s="103" t="n"/>
      <c r="F168" s="103" t="n"/>
      <c r="G168" s="104" t="n"/>
      <c r="H168" s="105" t="n"/>
      <c r="I168" s="105" t="n"/>
    </row>
    <row r="169" ht="14.25" customHeight="1" s="60">
      <c r="B169" s="103" t="n"/>
      <c r="C169" s="103" t="n"/>
      <c r="D169" s="103" t="n"/>
      <c r="E169" s="103" t="n"/>
      <c r="F169" s="103" t="n"/>
      <c r="G169" s="104" t="n"/>
      <c r="H169" s="105" t="n"/>
      <c r="I169" s="105" t="n"/>
    </row>
    <row r="170" ht="14.25" customHeight="1" s="60">
      <c r="B170" s="103" t="n"/>
      <c r="C170" s="103" t="n"/>
      <c r="D170" s="103" t="n"/>
      <c r="E170" s="103" t="n"/>
      <c r="F170" s="103" t="n"/>
      <c r="G170" s="104" t="n"/>
      <c r="H170" s="105" t="n"/>
      <c r="I170" s="105" t="n"/>
    </row>
    <row r="171" ht="14.25" customHeight="1" s="60">
      <c r="B171" s="103" t="n"/>
      <c r="C171" s="103" t="n"/>
      <c r="D171" s="103" t="n"/>
      <c r="E171" s="103" t="n"/>
      <c r="F171" s="103" t="n"/>
      <c r="G171" s="104" t="n"/>
      <c r="H171" s="105" t="n"/>
      <c r="I171" s="105" t="n"/>
    </row>
    <row r="172" ht="14.25" customHeight="1" s="60">
      <c r="B172" s="103" t="n"/>
      <c r="C172" s="103" t="n"/>
      <c r="D172" s="103" t="n"/>
      <c r="E172" s="103" t="n"/>
      <c r="F172" s="103" t="n"/>
      <c r="G172" s="104" t="n"/>
      <c r="H172" s="105" t="n"/>
      <c r="I172" s="105" t="n"/>
    </row>
    <row r="173" ht="14.25" customHeight="1" s="60">
      <c r="B173" s="103" t="n"/>
      <c r="C173" s="103" t="n"/>
      <c r="D173" s="103" t="n"/>
      <c r="E173" s="103" t="n"/>
      <c r="F173" s="103" t="n"/>
      <c r="G173" s="104" t="n"/>
      <c r="H173" s="105" t="n"/>
      <c r="I173" s="105" t="n"/>
    </row>
    <row r="174" ht="14.25" customHeight="1" s="60">
      <c r="B174" s="103" t="n"/>
      <c r="C174" s="103" t="n"/>
      <c r="D174" s="103" t="n"/>
      <c r="E174" s="103" t="n"/>
      <c r="F174" s="103" t="n"/>
      <c r="G174" s="104" t="n"/>
      <c r="H174" s="105" t="n"/>
      <c r="I174" s="105" t="n"/>
    </row>
    <row r="175" ht="14.25" customHeight="1" s="60">
      <c r="B175" s="103" t="n"/>
      <c r="C175" s="103" t="n"/>
      <c r="D175" s="103" t="n"/>
      <c r="E175" s="103" t="n"/>
      <c r="F175" s="103" t="n"/>
      <c r="G175" s="104" t="n"/>
      <c r="H175" s="105" t="n"/>
      <c r="I175" s="105" t="n"/>
    </row>
    <row r="176" ht="14.25" customHeight="1" s="60">
      <c r="B176" s="103" t="n"/>
      <c r="C176" s="103" t="n"/>
      <c r="D176" s="103" t="n"/>
      <c r="E176" s="103" t="n"/>
      <c r="F176" s="103" t="n"/>
      <c r="G176" s="104" t="n"/>
      <c r="H176" s="105" t="n"/>
      <c r="I176" s="105" t="n"/>
    </row>
    <row r="177" ht="14.25" customHeight="1" s="60">
      <c r="B177" s="103" t="n"/>
      <c r="C177" s="103" t="n"/>
      <c r="D177" s="103" t="n"/>
      <c r="E177" s="103" t="n"/>
      <c r="F177" s="103" t="n"/>
      <c r="G177" s="104" t="n"/>
      <c r="H177" s="105" t="n"/>
      <c r="I177" s="105" t="n"/>
    </row>
    <row r="178" ht="14.25" customHeight="1" s="60">
      <c r="B178" s="103" t="n"/>
      <c r="C178" s="103" t="n"/>
      <c r="D178" s="103" t="n"/>
      <c r="E178" s="103" t="n"/>
      <c r="F178" s="103" t="n"/>
      <c r="G178" s="104" t="n"/>
      <c r="H178" s="105" t="n"/>
      <c r="I178" s="105" t="n"/>
    </row>
    <row r="179" ht="14.25" customHeight="1" s="60">
      <c r="B179" s="103" t="n"/>
      <c r="C179" s="103" t="n"/>
      <c r="D179" s="103" t="n"/>
      <c r="E179" s="103" t="n"/>
      <c r="F179" s="103" t="n"/>
      <c r="G179" s="104" t="n"/>
      <c r="H179" s="105" t="n"/>
      <c r="I179" s="105" t="n"/>
    </row>
    <row r="180" ht="14.25" customHeight="1" s="60">
      <c r="B180" s="103" t="n"/>
      <c r="C180" s="103" t="n"/>
      <c r="D180" s="103" t="n"/>
      <c r="E180" s="103" t="n"/>
      <c r="F180" s="103" t="n"/>
      <c r="G180" s="104" t="n"/>
      <c r="H180" s="105" t="n"/>
      <c r="I180" s="105" t="n"/>
    </row>
    <row r="181" ht="14.25" customHeight="1" s="60">
      <c r="B181" s="103" t="n"/>
      <c r="C181" s="103" t="n"/>
      <c r="D181" s="103" t="n"/>
      <c r="E181" s="103" t="n"/>
      <c r="F181" s="103" t="n"/>
      <c r="G181" s="104" t="n"/>
      <c r="H181" s="105" t="n"/>
      <c r="I181" s="105" t="n"/>
    </row>
    <row r="182" ht="14.25" customHeight="1" s="60">
      <c r="B182" s="103" t="n"/>
      <c r="C182" s="103" t="n"/>
      <c r="D182" s="103" t="n"/>
      <c r="E182" s="103" t="n"/>
      <c r="F182" s="103" t="n"/>
      <c r="G182" s="104" t="n"/>
      <c r="H182" s="105" t="n"/>
      <c r="I182" s="105" t="n"/>
    </row>
    <row r="183" ht="14.25" customHeight="1" s="60">
      <c r="B183" s="103" t="n"/>
      <c r="C183" s="103" t="n"/>
      <c r="D183" s="103" t="n"/>
      <c r="E183" s="103" t="n"/>
      <c r="F183" s="103" t="n"/>
      <c r="G183" s="104" t="n"/>
      <c r="H183" s="105" t="n"/>
      <c r="I183" s="105" t="n"/>
    </row>
    <row r="184" ht="14.25" customHeight="1" s="60">
      <c r="B184" s="103" t="n"/>
      <c r="C184" s="103" t="n"/>
      <c r="D184" s="103" t="n"/>
      <c r="E184" s="103" t="n"/>
      <c r="F184" s="103" t="n"/>
      <c r="G184" s="104" t="n"/>
      <c r="H184" s="105" t="n"/>
      <c r="I184" s="105" t="n"/>
    </row>
    <row r="185" ht="14.25" customHeight="1" s="60">
      <c r="B185" s="103" t="n"/>
      <c r="C185" s="103" t="n"/>
      <c r="D185" s="103" t="n"/>
      <c r="E185" s="103" t="n"/>
      <c r="F185" s="103" t="n"/>
      <c r="G185" s="104" t="n"/>
      <c r="H185" s="105" t="n"/>
      <c r="I185" s="105" t="n"/>
    </row>
    <row r="186" ht="14.25" customHeight="1" s="60">
      <c r="B186" s="103" t="n"/>
      <c r="C186" s="103" t="n"/>
      <c r="D186" s="103" t="n"/>
      <c r="E186" s="103" t="n"/>
      <c r="F186" s="103" t="n"/>
      <c r="G186" s="104" t="n"/>
      <c r="H186" s="105" t="n"/>
      <c r="I186" s="105" t="n"/>
    </row>
    <row r="187" ht="14.25" customHeight="1" s="60">
      <c r="B187" s="103" t="n"/>
      <c r="C187" s="103" t="n"/>
      <c r="D187" s="103" t="n"/>
      <c r="E187" s="103" t="n"/>
      <c r="F187" s="103" t="n"/>
      <c r="G187" s="104" t="n"/>
      <c r="H187" s="105" t="n"/>
      <c r="I187" s="105" t="n"/>
    </row>
    <row r="188" ht="14.25" customHeight="1" s="60">
      <c r="B188" s="103" t="n"/>
      <c r="C188" s="103" t="n"/>
      <c r="D188" s="103" t="n"/>
      <c r="E188" s="103" t="n"/>
      <c r="F188" s="103" t="n"/>
      <c r="G188" s="104" t="n"/>
      <c r="H188" s="105" t="n"/>
      <c r="I188" s="105" t="n"/>
    </row>
    <row r="189" ht="14.25" customHeight="1" s="60">
      <c r="B189" s="103" t="n"/>
      <c r="C189" s="103" t="n"/>
      <c r="D189" s="103" t="n"/>
      <c r="E189" s="103" t="n"/>
      <c r="F189" s="103" t="n"/>
      <c r="G189" s="104" t="n"/>
      <c r="H189" s="105" t="n"/>
      <c r="I189" s="105" t="n"/>
    </row>
  </sheetData>
  <dataValidations count="2">
    <dataValidation sqref="G19:G189" showDropDown="0" showInputMessage="1" showErrorMessage="0" allowBlank="0" promptTitle="연료 단위" prompt="연료 사용량 단위를 선택하세요." type="list" errorStyle="stop" operator="between">
      <formula1>"선택안함,L,kL,m³,Nm³,Sm³,kg,ton,MJ,GJ,kWh,MWh"</formula1>
      <formula2>0</formula2>
    </dataValidation>
    <dataValidation sqref="E19:E189" showDropDown="0" showInputMessage="1" showErrorMessage="0" allowBlank="0" promptTitle="연료 종류" prompt="연료 종류를 선택하세요. 해당 없으면 선택안함을 선택하세요." type="list" errorStyle="stop" operator="between">
      <formula1>"선택안함,도시가스(LNG),천연가스(LNG),CNG(차량),LNG(차량),LPG(차량),도시가스(LPG),액화석유가스(LPG),경유,보일러 등유,실내 등유,항공유,휘발유,열(스팀)"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F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9.13" customWidth="1" style="59" min="2" max="2"/>
    <col width="16.12" customWidth="1" style="59" min="3" max="3"/>
    <col width="31.25" customWidth="1" style="59" min="4" max="5"/>
    <col width="19.13" customWidth="1" style="59" min="6" max="6"/>
  </cols>
  <sheetData>
    <row r="1"/>
    <row r="2" ht="20.25" customHeight="1" s="60">
      <c r="B2" s="106" t="inlineStr">
        <is>
          <t>C15. 투자</t>
        </is>
      </c>
    </row>
    <row r="3"/>
    <row r="4" ht="15" customHeight="1" s="60">
      <c r="B4" s="97" t="inlineStr">
        <is>
          <t>작성 기준</t>
        </is>
      </c>
    </row>
    <row r="5" ht="16.5" customHeight="1" s="60">
      <c r="B5" s="107" t="inlineStr">
        <is>
          <t>1. 본 템플릿은 보고년도에 당사가 수행한 투자활동(지분 투자 등)으로 인해 발생한 온실가스를 산정하기 위한 항목입니다.</t>
        </is>
      </c>
    </row>
    <row r="6" ht="16.5" customHeight="1" s="60">
      <c r="B6" s="107" t="inlineStr">
        <is>
          <t>- 대상: 당사가 투자를 진행한 피투자기업, 프로젝트, 또는 금융 자산 운영 과정에서 발생하는 배출량</t>
        </is>
      </c>
    </row>
    <row r="7" ht="16.5" customHeight="1" s="60">
      <c r="B7" s="107" t="inlineStr">
        <is>
          <t>2. 온실가스 산정식은 아래와 같습니다.</t>
        </is>
      </c>
    </row>
    <row r="8" ht="16.5" customHeight="1" s="60">
      <c r="B8" s="107" t="inlineStr">
        <is>
          <t>&lt;참고&gt; Σ (투자 대상의 Scope 1&amp;2 배출량 × 당사의 지분 비율)</t>
        </is>
      </c>
    </row>
    <row r="9" ht="14.25" customHeight="1" s="60">
      <c r="B9" s="107" t="n"/>
      <c r="C9" s="107" t="n"/>
      <c r="D9" s="107" t="n"/>
      <c r="E9" s="107" t="n"/>
      <c r="F9" s="107" t="n"/>
    </row>
    <row r="10" ht="14.25" customHeight="1" s="60">
      <c r="B10" s="99" t="inlineStr">
        <is>
          <t>※ 지분 비율은 보고년도 말 기준 당사가 보유한 의결권 또는 자산 가치 비율을 의미합니다.</t>
        </is>
      </c>
    </row>
    <row r="11" ht="14.25" customHeight="1" s="60">
      <c r="B11" s="108" t="inlineStr">
        <is>
          <t>※ Scope 1&amp;2 배출량은 tCO2e 기준으로 입력합니다.</t>
        </is>
      </c>
    </row>
    <row r="12" ht="15" customHeight="1" s="60">
      <c r="B12" s="109" t="inlineStr">
        <is>
          <t>※ 주황색으로 표시된 필수 입력칸은 반드시 작성해야 합니다.</t>
        </is>
      </c>
    </row>
    <row r="13" ht="16.5" customHeight="1" s="60">
      <c r="B13" s="110" t="inlineStr">
        <is>
          <t>피투자기업명 (필수)</t>
        </is>
      </c>
      <c r="C13" s="110" t="inlineStr">
        <is>
          <t>지분율(%) (선택)</t>
        </is>
      </c>
      <c r="D13" s="111" t="inlineStr">
        <is>
          <t>*피투자기업 Scope1배출량</t>
        </is>
      </c>
      <c r="E13" s="111" t="inlineStr">
        <is>
          <t>*피투자기업 Scope2배출량</t>
        </is>
      </c>
      <c r="F13" s="110" t="inlineStr">
        <is>
          <t>산정 배출량(tCO2e)</t>
        </is>
      </c>
    </row>
    <row r="14" ht="16.5" customHeight="1" s="60">
      <c r="B14" s="112" t="inlineStr">
        <is>
          <t>피투자기업 A</t>
        </is>
      </c>
      <c r="C14" s="113" t="n">
        <v>15</v>
      </c>
      <c r="D14" s="114" t="n">
        <v>1200</v>
      </c>
      <c r="E14" s="114" t="n">
        <v>850</v>
      </c>
      <c r="F14" s="115">
        <f>IF(OR(C14="",D14="",E14=""),"",(D14+E14)*C14/100)</f>
        <v/>
      </c>
    </row>
    <row r="15" ht="16.5" customHeight="1" s="60">
      <c r="B15" s="112" t="inlineStr">
        <is>
          <t>프로젝트 SPC B</t>
        </is>
      </c>
      <c r="C15" s="113" t="n">
        <v>35</v>
      </c>
      <c r="D15" s="114" t="n">
        <v>540</v>
      </c>
      <c r="E15" s="114" t="n">
        <v>310</v>
      </c>
      <c r="F15" s="115">
        <f>IF(OR(C15="",D15="",E15=""),"",(D15+E15)*C15/100)</f>
        <v/>
      </c>
    </row>
    <row r="16" ht="16.5" customHeight="1" s="60">
      <c r="B16" s="112" t="inlineStr">
        <is>
          <t>해외 합작법인 C</t>
        </is>
      </c>
      <c r="C16" s="113" t="n">
        <v>8.5</v>
      </c>
      <c r="D16" s="114" t="n">
        <v>4200</v>
      </c>
      <c r="E16" s="114" t="n">
        <v>1800</v>
      </c>
      <c r="F16" s="115">
        <f>IF(OR(C16="",D16="",E16=""),"",(D16+E16)*C16/100)</f>
        <v/>
      </c>
    </row>
    <row r="17" ht="30" customHeight="1" s="60">
      <c r="B17" s="112" t="inlineStr">
        <is>
          <t>금융자산 포트폴리오 D</t>
        </is>
      </c>
      <c r="C17" s="113" t="n">
        <v>2.2</v>
      </c>
      <c r="D17" s="114" t="n">
        <v>9800</v>
      </c>
      <c r="E17" s="114" t="n">
        <v>6400</v>
      </c>
      <c r="F17" s="115">
        <f>IF(OR(C17="",D17="",E17=""),"",(D17+E17)*C17/100)</f>
        <v/>
      </c>
    </row>
    <row r="18" ht="32.25" customHeight="1" s="60">
      <c r="B18" s="112" t="inlineStr">
        <is>
          <t>스타트업 액셀러레이터 E</t>
        </is>
      </c>
      <c r="C18" s="116" t="n">
        <v>12</v>
      </c>
      <c r="D18" s="117" t="n">
        <v>320</v>
      </c>
      <c r="E18" s="117" t="n">
        <v>180</v>
      </c>
      <c r="F18" s="118">
        <f>IF(OR(C18="",D18="",E18=""),"",(D18+E18)*C18/100)</f>
        <v/>
      </c>
    </row>
    <row r="19" ht="30" customHeight="1" s="60">
      <c r="B19" s="112" t="inlineStr">
        <is>
          <t>친환경 소재 스타트업 F</t>
        </is>
      </c>
      <c r="C19" s="116" t="n">
        <v>20</v>
      </c>
      <c r="D19" s="117" t="n">
        <v>95</v>
      </c>
      <c r="E19" s="117" t="n">
        <v>60</v>
      </c>
      <c r="F19" s="118">
        <f>IF(OR(C19="",D19="",E19=""),"",(D19+E19)*C19/100)</f>
        <v/>
      </c>
    </row>
    <row r="20" ht="16.5" customHeight="1" s="60">
      <c r="B20" s="112" t="inlineStr">
        <is>
          <t>해외 리츠 펀드 G</t>
        </is>
      </c>
      <c r="C20" s="116" t="n">
        <v>5.5</v>
      </c>
      <c r="D20" s="117" t="n">
        <v>15000</v>
      </c>
      <c r="E20" s="117" t="n">
        <v>8200</v>
      </c>
      <c r="F20" s="118">
        <f>IF(OR(C20="",D20="",E20=""),"",(D20+E20)*C20/100)</f>
        <v/>
      </c>
    </row>
    <row r="21" ht="16.5" customHeight="1" s="60">
      <c r="B21" s="112" t="inlineStr">
        <is>
          <t>물류 스타트업 H</t>
        </is>
      </c>
      <c r="C21" s="116" t="n">
        <v>18</v>
      </c>
      <c r="D21" s="117" t="n">
        <v>210</v>
      </c>
      <c r="E21" s="117" t="n">
        <v>140</v>
      </c>
      <c r="F21" s="118">
        <f>IF(OR(C21="",D21="",E21=""),"",(D21+E21)*C21/100)</f>
        <v/>
      </c>
    </row>
    <row r="22" ht="14.25" customHeight="1" s="60">
      <c r="B22" s="112" t="inlineStr">
        <is>
          <t>합작법인 I(지분정리중)</t>
        </is>
      </c>
      <c r="C22" s="116" t="n">
        <v>3.8</v>
      </c>
      <c r="D22" s="117" t="n">
        <v>4100</v>
      </c>
      <c r="E22" s="117" t="n">
        <v>2650</v>
      </c>
      <c r="F22" s="118">
        <f>IF(OR(C22="",D22="",E22=""),"",(D22+E22)*C22/100)</f>
        <v/>
      </c>
    </row>
    <row r="23" ht="14.25" customHeight="1" s="60">
      <c r="B23" s="112" t="inlineStr">
        <is>
          <t xml:space="preserve">리츠펀드 J-2 </t>
        </is>
      </c>
      <c r="C23" s="116" t="n">
        <v>6.1</v>
      </c>
      <c r="D23" s="117" t="n">
        <v>12800</v>
      </c>
      <c r="E23" s="117" t="n">
        <v>7400</v>
      </c>
      <c r="F23" s="118">
        <f>IF(OR(C23="",D23="",E23=""),"",(D23+E23)*C23/100)</f>
        <v/>
      </c>
    </row>
    <row r="24" ht="14.25" customHeight="1" s="60">
      <c r="B24" s="112" t="inlineStr">
        <is>
          <t>물류센터운영법인 K</t>
        </is>
      </c>
      <c r="C24" s="116" t="n">
        <v>22</v>
      </c>
      <c r="D24" s="117" t="n">
        <v>380</v>
      </c>
      <c r="E24" s="117" t="n">
        <v>260</v>
      </c>
      <c r="F24" s="118">
        <f>IF(OR(C24="",D24="",E24=""),"",(D24+E24)*C24/100)</f>
        <v/>
      </c>
    </row>
  </sheetData>
  <mergeCells count="9">
    <mergeCell ref="B4:F4"/>
    <mergeCell ref="B12:F12"/>
    <mergeCell ref="B7:F7"/>
    <mergeCell ref="B6:F6"/>
    <mergeCell ref="B2:F2"/>
    <mergeCell ref="B10:F10"/>
    <mergeCell ref="B11:F11"/>
    <mergeCell ref="B5:F5"/>
    <mergeCell ref="B8:F8"/>
  </mergeCells>
  <dataValidations count="2">
    <dataValidation sqref="D14:E24" showDropDown="0" showInputMessage="1" showErrorMessage="0" allowBlank="0" promptTitle="배출량 입력" prompt="tCO2e 기준 숫자만 입력하세요." type="decimal" errorStyle="stop" operator="greaterThanOrEqual">
      <formula1>0</formula1>
      <formula2>0</formula2>
    </dataValidation>
    <dataValidation sqref="C14:C24" showDropDown="0" showInputMessage="1" showErrorMessage="0" allowBlank="0" promptTitle="지분율 입력" prompt="0~100 사이의 값을 입력하세요. 예: 25.5" type="decimal" errorStyle="stop" operator="between">
      <formula1>0</formula1>
      <formula2>100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2026-07-29T01:43:24Z</dcterms:created>
  <dcterms:modified xsi:type="dcterms:W3CDTF">2026-07-30T04:39:35Z</dcterms:modified>
  <cp:revision>0</cp:revision>
</cp:coreProperties>
</file>