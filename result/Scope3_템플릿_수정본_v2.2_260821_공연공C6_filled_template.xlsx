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\Desktop\project-server\Scope3\Scope3_AI\result\"/>
    </mc:Choice>
  </mc:AlternateContent>
  <xr:revisionPtr revIDLastSave="0" documentId="13_ncr:1_{E5D874E3-2679-48CA-A995-16EE94DF5F5D}" xr6:coauthVersionLast="47" xr6:coauthVersionMax="47" xr10:uidLastSave="{00000000-0000-0000-0000-000000000000}"/>
  <bookViews>
    <workbookView xWindow="-120" yWindow="-120" windowWidth="38640" windowHeight="21120" tabRatio="727" activeTab="1" xr2:uid="{00000000-000D-0000-FFFF-FFFF00000000}"/>
  </bookViews>
  <sheets>
    <sheet name="기업정보" sheetId="1" r:id="rId1"/>
    <sheet name="C6-1_출장거리" sheetId="2" r:id="rId2"/>
    <sheet name="배출계수_드롭다운" sheetId="3" r:id="rId3"/>
    <sheet name="드롭다운_매핑검토" sheetId="4" r:id="rId4"/>
    <sheet name="회사별_교통수단매핑" sheetId="5" r:id="rId5"/>
  </sheets>
  <definedNames>
    <definedName name="DD_APPLIED_COMPANY">기업정보!$E$2:$E$50</definedName>
    <definedName name="DD_ENERGY">배출계수_드롭다운!$B$3:$B$16</definedName>
    <definedName name="DD_ENERGY_UNIT">배출계수_드롭다운!$C$3:$C$7</definedName>
    <definedName name="DD_PURCHASE_GROUP">배출계수_드롭다운!$A$3:$A$19</definedName>
    <definedName name="DD_TRANSPORT_DISTANCE">배출계수_드롭다운!$D$3:$D$9</definedName>
    <definedName name="DD_TRANSPORT_SPEND">배출계수_드롭다운!$E$3:$E$19</definedName>
    <definedName name="DD_TRANSPORT_WEIGHT_UNIT">배출계수_드롭다운!$K$3:$K$4</definedName>
    <definedName name="DD_TRAVEL_DISTANCE">배출계수_드롭다운!$F$3:$F$15</definedName>
    <definedName name="DD_TRAVEL_SPEND">배출계수_드롭다운!$G$3:$G$8</definedName>
    <definedName name="DD_WASTE_C5_TYPE">배출계수_드롭다운!$H$3:$H$18</definedName>
    <definedName name="DD_WASTE_METHOD">배출계수_드롭다운!$I$3:$I$6</definedName>
    <definedName name="DD_WASTE_UNIT">배출계수_드롭다운!$J$3:$J$4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5" l="1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2" i="5"/>
  <c r="I630" i="2"/>
  <c r="I629" i="2"/>
  <c r="I628" i="2"/>
  <c r="I627" i="2"/>
  <c r="I626" i="2"/>
  <c r="I625" i="2"/>
  <c r="I624" i="2"/>
  <c r="I623" i="2"/>
  <c r="I622" i="2"/>
  <c r="D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D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D593" i="2"/>
  <c r="I592" i="2"/>
  <c r="D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D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D564" i="2"/>
  <c r="I563" i="2"/>
  <c r="D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D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D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D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D493" i="2"/>
  <c r="I492" i="2"/>
  <c r="D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D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D464" i="2"/>
  <c r="I463" i="2"/>
  <c r="D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D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D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D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D393" i="2"/>
  <c r="I392" i="2"/>
  <c r="D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D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D365" i="2"/>
  <c r="I364" i="2"/>
  <c r="D364" i="2"/>
  <c r="I363" i="2"/>
  <c r="I362" i="2"/>
  <c r="I361" i="2"/>
  <c r="I360" i="2"/>
  <c r="I359" i="2"/>
  <c r="I358" i="2"/>
  <c r="I357" i="2"/>
  <c r="I356" i="2"/>
  <c r="I355" i="2"/>
  <c r="I354" i="2"/>
  <c r="I353" i="2"/>
  <c r="D353" i="2"/>
  <c r="I352" i="2"/>
  <c r="D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D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D325" i="2"/>
  <c r="I324" i="2"/>
  <c r="D324" i="2"/>
  <c r="I323" i="2"/>
  <c r="I322" i="2"/>
  <c r="I321" i="2"/>
  <c r="I320" i="2"/>
  <c r="I319" i="2"/>
  <c r="I318" i="2"/>
  <c r="I317" i="2"/>
  <c r="I316" i="2"/>
  <c r="I315" i="2"/>
  <c r="I314" i="2"/>
  <c r="I313" i="2"/>
  <c r="D313" i="2"/>
  <c r="I312" i="2"/>
  <c r="D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D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D285" i="2"/>
  <c r="I284" i="2"/>
  <c r="D284" i="2"/>
  <c r="I283" i="2"/>
  <c r="I282" i="2"/>
  <c r="I281" i="2"/>
  <c r="I280" i="2"/>
  <c r="I279" i="2"/>
  <c r="I278" i="2"/>
  <c r="I277" i="2"/>
  <c r="I276" i="2"/>
  <c r="I275" i="2"/>
  <c r="I274" i="2"/>
  <c r="I273" i="2"/>
  <c r="D273" i="2"/>
  <c r="I272" i="2"/>
  <c r="D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D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D245" i="2"/>
  <c r="I244" i="2"/>
  <c r="D244" i="2"/>
  <c r="I243" i="2"/>
  <c r="I242" i="2"/>
  <c r="I241" i="2"/>
  <c r="I240" i="2"/>
  <c r="I239" i="2"/>
  <c r="I238" i="2"/>
  <c r="I237" i="2"/>
  <c r="I236" i="2"/>
  <c r="I235" i="2"/>
  <c r="I234" i="2"/>
  <c r="I233" i="2"/>
  <c r="D233" i="2"/>
  <c r="I232" i="2"/>
  <c r="D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D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D205" i="2"/>
  <c r="I204" i="2"/>
  <c r="D204" i="2"/>
  <c r="I203" i="2"/>
  <c r="I202" i="2"/>
  <c r="I201" i="2"/>
  <c r="I200" i="2"/>
  <c r="I199" i="2"/>
  <c r="I198" i="2"/>
  <c r="I197" i="2"/>
  <c r="I196" i="2"/>
  <c r="I195" i="2"/>
  <c r="I194" i="2"/>
  <c r="I193" i="2"/>
  <c r="D193" i="2"/>
  <c r="I192" i="2"/>
  <c r="D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D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D165" i="2"/>
  <c r="I164" i="2"/>
  <c r="D164" i="2"/>
  <c r="I163" i="2"/>
  <c r="I162" i="2"/>
  <c r="I161" i="2"/>
  <c r="I160" i="2"/>
  <c r="I159" i="2"/>
  <c r="I158" i="2"/>
  <c r="I157" i="2"/>
  <c r="I156" i="2"/>
  <c r="I155" i="2"/>
  <c r="I154" i="2"/>
  <c r="I153" i="2"/>
  <c r="D153" i="2"/>
  <c r="I152" i="2"/>
  <c r="D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D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D125" i="2"/>
  <c r="I124" i="2"/>
  <c r="D124" i="2"/>
  <c r="I123" i="2"/>
  <c r="I122" i="2"/>
  <c r="I121" i="2"/>
  <c r="I120" i="2"/>
  <c r="I119" i="2"/>
  <c r="I118" i="2"/>
  <c r="I117" i="2"/>
  <c r="I116" i="2"/>
  <c r="I115" i="2"/>
  <c r="I114" i="2"/>
  <c r="I113" i="2"/>
  <c r="D113" i="2"/>
  <c r="I112" i="2"/>
  <c r="D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D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D85" i="2"/>
  <c r="I84" i="2"/>
  <c r="D84" i="2"/>
  <c r="I83" i="2"/>
  <c r="I82" i="2"/>
  <c r="I81" i="2"/>
  <c r="I80" i="2"/>
  <c r="I79" i="2"/>
  <c r="I78" i="2"/>
  <c r="I77" i="2"/>
  <c r="I76" i="2"/>
  <c r="I75" i="2"/>
  <c r="I74" i="2"/>
  <c r="I73" i="2"/>
  <c r="D73" i="2"/>
  <c r="I72" i="2"/>
  <c r="D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D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D45" i="2"/>
  <c r="I44" i="2"/>
  <c r="D44" i="2"/>
  <c r="I43" i="2"/>
  <c r="I42" i="2"/>
  <c r="I41" i="2"/>
  <c r="I40" i="2"/>
  <c r="I39" i="2"/>
  <c r="I38" i="2"/>
  <c r="I37" i="2"/>
  <c r="I36" i="2"/>
  <c r="I35" i="2"/>
  <c r="I34" i="2"/>
  <c r="I33" i="2"/>
  <c r="D33" i="2"/>
  <c r="I32" i="2"/>
  <c r="D32" i="2"/>
  <c r="I31" i="2"/>
  <c r="I30" i="2"/>
  <c r="I29" i="2"/>
  <c r="I28" i="2"/>
  <c r="I27" i="2"/>
  <c r="I26" i="2"/>
  <c r="I25" i="2"/>
  <c r="I24" i="2"/>
  <c r="I23" i="2"/>
  <c r="I22" i="2"/>
  <c r="I21" i="2"/>
  <c r="C14" i="2"/>
  <c r="D612" i="2" s="1"/>
  <c r="D114" i="2" l="1"/>
  <c r="D154" i="2"/>
  <c r="D194" i="2"/>
  <c r="D234" i="2"/>
  <c r="D274" i="2"/>
  <c r="D314" i="2"/>
  <c r="D354" i="2"/>
  <c r="D438" i="2"/>
  <c r="D538" i="2"/>
  <c r="D624" i="2"/>
  <c r="D594" i="2"/>
  <c r="D88" i="2"/>
  <c r="D168" i="2"/>
  <c r="D208" i="2"/>
  <c r="D222" i="2"/>
  <c r="D248" i="2"/>
  <c r="D262" i="2"/>
  <c r="D288" i="2"/>
  <c r="D302" i="2"/>
  <c r="D328" i="2"/>
  <c r="D342" i="2"/>
  <c r="D368" i="2"/>
  <c r="D382" i="2"/>
  <c r="D424" i="2"/>
  <c r="D453" i="2"/>
  <c r="D482" i="2"/>
  <c r="D524" i="2"/>
  <c r="D553" i="2"/>
  <c r="D582" i="2"/>
  <c r="D275" i="2"/>
  <c r="D343" i="2"/>
  <c r="D623" i="2"/>
  <c r="D621" i="2"/>
  <c r="D611" i="2"/>
  <c r="D601" i="2"/>
  <c r="D591" i="2"/>
  <c r="D581" i="2"/>
  <c r="D571" i="2"/>
  <c r="D561" i="2"/>
  <c r="D551" i="2"/>
  <c r="D541" i="2"/>
  <c r="D531" i="2"/>
  <c r="D521" i="2"/>
  <c r="D511" i="2"/>
  <c r="D501" i="2"/>
  <c r="D491" i="2"/>
  <c r="D481" i="2"/>
  <c r="D471" i="2"/>
  <c r="D461" i="2"/>
  <c r="D451" i="2"/>
  <c r="D441" i="2"/>
  <c r="D431" i="2"/>
  <c r="D421" i="2"/>
  <c r="D411" i="2"/>
  <c r="D401" i="2"/>
  <c r="D391" i="2"/>
  <c r="D381" i="2"/>
  <c r="D371" i="2"/>
  <c r="D361" i="2"/>
  <c r="D351" i="2"/>
  <c r="D341" i="2"/>
  <c r="D331" i="2"/>
  <c r="D321" i="2"/>
  <c r="D311" i="2"/>
  <c r="D301" i="2"/>
  <c r="D291" i="2"/>
  <c r="D281" i="2"/>
  <c r="D271" i="2"/>
  <c r="D261" i="2"/>
  <c r="D251" i="2"/>
  <c r="D241" i="2"/>
  <c r="D231" i="2"/>
  <c r="D221" i="2"/>
  <c r="D211" i="2"/>
  <c r="D201" i="2"/>
  <c r="D191" i="2"/>
  <c r="D181" i="2"/>
  <c r="D171" i="2"/>
  <c r="D161" i="2"/>
  <c r="D151" i="2"/>
  <c r="D141" i="2"/>
  <c r="D131" i="2"/>
  <c r="D121" i="2"/>
  <c r="D111" i="2"/>
  <c r="D101" i="2"/>
  <c r="D91" i="2"/>
  <c r="D81" i="2"/>
  <c r="D71" i="2"/>
  <c r="D61" i="2"/>
  <c r="D51" i="2"/>
  <c r="D41" i="2"/>
  <c r="D31" i="2"/>
  <c r="D21" i="2"/>
  <c r="D630" i="2"/>
  <c r="D620" i="2"/>
  <c r="D610" i="2"/>
  <c r="D600" i="2"/>
  <c r="D590" i="2"/>
  <c r="D580" i="2"/>
  <c r="D570" i="2"/>
  <c r="D560" i="2"/>
  <c r="D550" i="2"/>
  <c r="D540" i="2"/>
  <c r="D530" i="2"/>
  <c r="D520" i="2"/>
  <c r="D510" i="2"/>
  <c r="D500" i="2"/>
  <c r="D490" i="2"/>
  <c r="D480" i="2"/>
  <c r="D470" i="2"/>
  <c r="D460" i="2"/>
  <c r="D450" i="2"/>
  <c r="D440" i="2"/>
  <c r="D430" i="2"/>
  <c r="D420" i="2"/>
  <c r="D410" i="2"/>
  <c r="D400" i="2"/>
  <c r="D390" i="2"/>
  <c r="D380" i="2"/>
  <c r="D370" i="2"/>
  <c r="D360" i="2"/>
  <c r="D350" i="2"/>
  <c r="D340" i="2"/>
  <c r="D330" i="2"/>
  <c r="D320" i="2"/>
  <c r="D310" i="2"/>
  <c r="D300" i="2"/>
  <c r="D290" i="2"/>
  <c r="D280" i="2"/>
  <c r="D270" i="2"/>
  <c r="D260" i="2"/>
  <c r="D250" i="2"/>
  <c r="D240" i="2"/>
  <c r="D230" i="2"/>
  <c r="D220" i="2"/>
  <c r="D210" i="2"/>
  <c r="D200" i="2"/>
  <c r="D190" i="2"/>
  <c r="D180" i="2"/>
  <c r="D170" i="2"/>
  <c r="D160" i="2"/>
  <c r="D150" i="2"/>
  <c r="D140" i="2"/>
  <c r="D130" i="2"/>
  <c r="D120" i="2"/>
  <c r="D110" i="2"/>
  <c r="D100" i="2"/>
  <c r="D90" i="2"/>
  <c r="D80" i="2"/>
  <c r="D70" i="2"/>
  <c r="D60" i="2"/>
  <c r="D50" i="2"/>
  <c r="D40" i="2"/>
  <c r="D30" i="2"/>
  <c r="D629" i="2"/>
  <c r="D619" i="2"/>
  <c r="D609" i="2"/>
  <c r="D599" i="2"/>
  <c r="D589" i="2"/>
  <c r="D579" i="2"/>
  <c r="D569" i="2"/>
  <c r="D559" i="2"/>
  <c r="D549" i="2"/>
  <c r="D539" i="2"/>
  <c r="D529" i="2"/>
  <c r="D519" i="2"/>
  <c r="D509" i="2"/>
  <c r="D499" i="2"/>
  <c r="D489" i="2"/>
  <c r="D479" i="2"/>
  <c r="D469" i="2"/>
  <c r="D459" i="2"/>
  <c r="D449" i="2"/>
  <c r="D439" i="2"/>
  <c r="D429" i="2"/>
  <c r="D419" i="2"/>
  <c r="D409" i="2"/>
  <c r="D399" i="2"/>
  <c r="D389" i="2"/>
  <c r="D379" i="2"/>
  <c r="D369" i="2"/>
  <c r="D359" i="2"/>
  <c r="D349" i="2"/>
  <c r="D339" i="2"/>
  <c r="D329" i="2"/>
  <c r="D319" i="2"/>
  <c r="D309" i="2"/>
  <c r="D299" i="2"/>
  <c r="D289" i="2"/>
  <c r="D279" i="2"/>
  <c r="D269" i="2"/>
  <c r="D259" i="2"/>
  <c r="D249" i="2"/>
  <c r="D239" i="2"/>
  <c r="D229" i="2"/>
  <c r="D219" i="2"/>
  <c r="D209" i="2"/>
  <c r="D199" i="2"/>
  <c r="D189" i="2"/>
  <c r="D179" i="2"/>
  <c r="D169" i="2"/>
  <c r="D159" i="2"/>
  <c r="D149" i="2"/>
  <c r="D139" i="2"/>
  <c r="D129" i="2"/>
  <c r="D119" i="2"/>
  <c r="D109" i="2"/>
  <c r="D99" i="2"/>
  <c r="D89" i="2"/>
  <c r="D79" i="2"/>
  <c r="D69" i="2"/>
  <c r="D59" i="2"/>
  <c r="D49" i="2"/>
  <c r="D39" i="2"/>
  <c r="D29" i="2"/>
  <c r="D627" i="2"/>
  <c r="D617" i="2"/>
  <c r="D607" i="2"/>
  <c r="D597" i="2"/>
  <c r="D587" i="2"/>
  <c r="D577" i="2"/>
  <c r="D567" i="2"/>
  <c r="D557" i="2"/>
  <c r="D547" i="2"/>
  <c r="D537" i="2"/>
  <c r="D527" i="2"/>
  <c r="D517" i="2"/>
  <c r="D507" i="2"/>
  <c r="D497" i="2"/>
  <c r="D487" i="2"/>
  <c r="D477" i="2"/>
  <c r="D467" i="2"/>
  <c r="D457" i="2"/>
  <c r="D447" i="2"/>
  <c r="D437" i="2"/>
  <c r="D427" i="2"/>
  <c r="D417" i="2"/>
  <c r="D407" i="2"/>
  <c r="D397" i="2"/>
  <c r="D387" i="2"/>
  <c r="D377" i="2"/>
  <c r="D367" i="2"/>
  <c r="D357" i="2"/>
  <c r="D347" i="2"/>
  <c r="D337" i="2"/>
  <c r="D327" i="2"/>
  <c r="D317" i="2"/>
  <c r="D307" i="2"/>
  <c r="D297" i="2"/>
  <c r="D287" i="2"/>
  <c r="D277" i="2"/>
  <c r="D267" i="2"/>
  <c r="D257" i="2"/>
  <c r="D247" i="2"/>
  <c r="D237" i="2"/>
  <c r="D227" i="2"/>
  <c r="D217" i="2"/>
  <c r="D207" i="2"/>
  <c r="D197" i="2"/>
  <c r="D187" i="2"/>
  <c r="D177" i="2"/>
  <c r="D167" i="2"/>
  <c r="D157" i="2"/>
  <c r="D147" i="2"/>
  <c r="D137" i="2"/>
  <c r="D127" i="2"/>
  <c r="D117" i="2"/>
  <c r="D107" i="2"/>
  <c r="D97" i="2"/>
  <c r="D87" i="2"/>
  <c r="D77" i="2"/>
  <c r="D67" i="2"/>
  <c r="D57" i="2"/>
  <c r="D47" i="2"/>
  <c r="D37" i="2"/>
  <c r="D27" i="2"/>
  <c r="D626" i="2"/>
  <c r="D616" i="2"/>
  <c r="D606" i="2"/>
  <c r="D596" i="2"/>
  <c r="D586" i="2"/>
  <c r="D576" i="2"/>
  <c r="D566" i="2"/>
  <c r="D556" i="2"/>
  <c r="D546" i="2"/>
  <c r="D536" i="2"/>
  <c r="D526" i="2"/>
  <c r="D516" i="2"/>
  <c r="D506" i="2"/>
  <c r="D496" i="2"/>
  <c r="D486" i="2"/>
  <c r="D476" i="2"/>
  <c r="D466" i="2"/>
  <c r="D456" i="2"/>
  <c r="D446" i="2"/>
  <c r="D436" i="2"/>
  <c r="D426" i="2"/>
  <c r="D416" i="2"/>
  <c r="D406" i="2"/>
  <c r="D396" i="2"/>
  <c r="D386" i="2"/>
  <c r="D376" i="2"/>
  <c r="D366" i="2"/>
  <c r="D356" i="2"/>
  <c r="D346" i="2"/>
  <c r="D336" i="2"/>
  <c r="D326" i="2"/>
  <c r="D316" i="2"/>
  <c r="D306" i="2"/>
  <c r="D296" i="2"/>
  <c r="D286" i="2"/>
  <c r="D276" i="2"/>
  <c r="D266" i="2"/>
  <c r="D256" i="2"/>
  <c r="D246" i="2"/>
  <c r="D236" i="2"/>
  <c r="D226" i="2"/>
  <c r="D216" i="2"/>
  <c r="D206" i="2"/>
  <c r="D196" i="2"/>
  <c r="D186" i="2"/>
  <c r="D176" i="2"/>
  <c r="D166" i="2"/>
  <c r="D156" i="2"/>
  <c r="D146" i="2"/>
  <c r="D136" i="2"/>
  <c r="D126" i="2"/>
  <c r="D116" i="2"/>
  <c r="D106" i="2"/>
  <c r="D96" i="2"/>
  <c r="D86" i="2"/>
  <c r="D76" i="2"/>
  <c r="D66" i="2"/>
  <c r="D56" i="2"/>
  <c r="D46" i="2"/>
  <c r="D36" i="2"/>
  <c r="D26" i="2"/>
  <c r="D615" i="2"/>
  <c r="D605" i="2"/>
  <c r="D595" i="2"/>
  <c r="D585" i="2"/>
  <c r="D575" i="2"/>
  <c r="D565" i="2"/>
  <c r="D555" i="2"/>
  <c r="D545" i="2"/>
  <c r="D535" i="2"/>
  <c r="D525" i="2"/>
  <c r="D515" i="2"/>
  <c r="D505" i="2"/>
  <c r="D495" i="2"/>
  <c r="D485" i="2"/>
  <c r="D475" i="2"/>
  <c r="D465" i="2"/>
  <c r="D455" i="2"/>
  <c r="D445" i="2"/>
  <c r="D435" i="2"/>
  <c r="D425" i="2"/>
  <c r="D415" i="2"/>
  <c r="D405" i="2"/>
  <c r="D395" i="2"/>
  <c r="D385" i="2"/>
  <c r="D625" i="2"/>
  <c r="D523" i="2"/>
  <c r="D115" i="2"/>
  <c r="D195" i="2"/>
  <c r="D454" i="2"/>
  <c r="D498" i="2"/>
  <c r="D598" i="2"/>
  <c r="D423" i="2"/>
  <c r="D494" i="2"/>
  <c r="D128" i="2"/>
  <c r="D75" i="2"/>
  <c r="D235" i="2"/>
  <c r="D63" i="2"/>
  <c r="D263" i="2"/>
  <c r="D412" i="2"/>
  <c r="D483" i="2"/>
  <c r="D398" i="2"/>
  <c r="D24" i="2"/>
  <c r="D64" i="2"/>
  <c r="D104" i="2"/>
  <c r="D144" i="2"/>
  <c r="D184" i="2"/>
  <c r="D224" i="2"/>
  <c r="D264" i="2"/>
  <c r="D304" i="2"/>
  <c r="D344" i="2"/>
  <c r="D384" i="2"/>
  <c r="D413" i="2"/>
  <c r="D442" i="2"/>
  <c r="D484" i="2"/>
  <c r="D513" i="2"/>
  <c r="D542" i="2"/>
  <c r="D584" i="2"/>
  <c r="D613" i="2"/>
  <c r="D628" i="2"/>
  <c r="D394" i="2"/>
  <c r="D22" i="2"/>
  <c r="D48" i="2"/>
  <c r="D568" i="2"/>
  <c r="D103" i="2"/>
  <c r="D52" i="2"/>
  <c r="D223" i="2"/>
  <c r="D303" i="2"/>
  <c r="D38" i="2"/>
  <c r="D292" i="2"/>
  <c r="D358" i="2"/>
  <c r="D428" i="2"/>
  <c r="D65" i="2"/>
  <c r="D443" i="2"/>
  <c r="D552" i="2"/>
  <c r="D34" i="2"/>
  <c r="D102" i="2"/>
  <c r="D182" i="2"/>
  <c r="D155" i="2"/>
  <c r="D614" i="2"/>
  <c r="D93" i="2"/>
  <c r="D253" i="2"/>
  <c r="D402" i="2"/>
  <c r="D444" i="2"/>
  <c r="D473" i="2"/>
  <c r="D502" i="2"/>
  <c r="D544" i="2"/>
  <c r="D573" i="2"/>
  <c r="D602" i="2"/>
  <c r="D143" i="2"/>
  <c r="D554" i="2"/>
  <c r="D92" i="2"/>
  <c r="D185" i="2"/>
  <c r="D133" i="2"/>
  <c r="D334" i="2"/>
  <c r="D488" i="2"/>
  <c r="D588" i="2"/>
  <c r="D23" i="2"/>
  <c r="D583" i="2"/>
  <c r="D238" i="2"/>
  <c r="D293" i="2"/>
  <c r="D134" i="2"/>
  <c r="D174" i="2"/>
  <c r="D214" i="2"/>
  <c r="D228" i="2"/>
  <c r="D532" i="2"/>
  <c r="D574" i="2"/>
  <c r="D142" i="2"/>
  <c r="D35" i="2"/>
  <c r="D78" i="2"/>
  <c r="D332" i="2"/>
  <c r="D372" i="2"/>
  <c r="D528" i="2"/>
  <c r="D414" i="2"/>
  <c r="D213" i="2"/>
  <c r="D333" i="2"/>
  <c r="D373" i="2"/>
  <c r="D254" i="2"/>
  <c r="D374" i="2"/>
  <c r="D42" i="2"/>
  <c r="D82" i="2"/>
  <c r="D122" i="2"/>
  <c r="D202" i="2"/>
  <c r="D242" i="2"/>
  <c r="D282" i="2"/>
  <c r="D348" i="2"/>
  <c r="D362" i="2"/>
  <c r="D503" i="2"/>
  <c r="D295" i="2"/>
  <c r="D335" i="2"/>
  <c r="D375" i="2"/>
  <c r="D418" i="2"/>
  <c r="D518" i="2"/>
  <c r="D618" i="2"/>
  <c r="D452" i="2"/>
  <c r="D74" i="2"/>
  <c r="D183" i="2"/>
  <c r="D383" i="2"/>
  <c r="D118" i="2"/>
  <c r="D158" i="2"/>
  <c r="D172" i="2"/>
  <c r="D212" i="2"/>
  <c r="D252" i="2"/>
  <c r="D318" i="2"/>
  <c r="D105" i="2"/>
  <c r="D145" i="2"/>
  <c r="D265" i="2"/>
  <c r="D53" i="2"/>
  <c r="D458" i="2"/>
  <c r="D94" i="2"/>
  <c r="D162" i="2"/>
  <c r="D188" i="2"/>
  <c r="D308" i="2"/>
  <c r="D322" i="2"/>
  <c r="D403" i="2"/>
  <c r="D432" i="2"/>
  <c r="D603" i="2"/>
  <c r="D55" i="2"/>
  <c r="D95" i="2"/>
  <c r="D135" i="2"/>
  <c r="D175" i="2"/>
  <c r="D215" i="2"/>
  <c r="D255" i="2"/>
  <c r="D43" i="2"/>
  <c r="D83" i="2"/>
  <c r="D123" i="2"/>
  <c r="D163" i="2"/>
  <c r="D203" i="2"/>
  <c r="D243" i="2"/>
  <c r="D283" i="2"/>
  <c r="D323" i="2"/>
  <c r="D363" i="2"/>
  <c r="D404" i="2"/>
  <c r="D433" i="2"/>
  <c r="D462" i="2"/>
  <c r="D504" i="2"/>
  <c r="D533" i="2"/>
  <c r="D562" i="2"/>
  <c r="D604" i="2"/>
  <c r="D62" i="2"/>
  <c r="D315" i="2"/>
  <c r="D355" i="2"/>
  <c r="D468" i="2"/>
  <c r="D512" i="2"/>
  <c r="D132" i="2"/>
  <c r="D198" i="2"/>
  <c r="D278" i="2"/>
  <c r="D25" i="2"/>
  <c r="D225" i="2"/>
  <c r="D305" i="2"/>
  <c r="D345" i="2"/>
  <c r="D472" i="2"/>
  <c r="D514" i="2"/>
  <c r="D543" i="2"/>
  <c r="D572" i="2"/>
  <c r="D173" i="2"/>
  <c r="D558" i="2"/>
  <c r="D54" i="2"/>
  <c r="D294" i="2"/>
  <c r="D388" i="2"/>
  <c r="D28" i="2"/>
  <c r="D68" i="2"/>
  <c r="D108" i="2"/>
  <c r="D148" i="2"/>
  <c r="D268" i="2"/>
  <c r="D474" i="2"/>
  <c r="D448" i="2"/>
  <c r="D548" i="2"/>
</calcChain>
</file>

<file path=xl/sharedStrings.xml><?xml version="1.0" encoding="utf-8"?>
<sst xmlns="http://schemas.openxmlformats.org/spreadsheetml/2006/main" count="3511" uniqueCount="862">
  <si>
    <t>C6. 임직원 출장 1안. 이동거리 기반</t>
  </si>
  <si>
    <t>카테고리 정의</t>
  </si>
  <si>
    <t>- 보고년도에 임직원 업무 출장 시 항공, 철도, 차량 등 교통수단 이용으로 발생한 온실가스 배출량</t>
  </si>
  <si>
    <t>- 출발지와 도착지 또는 이동거리를 알고 있는 출장에 적용</t>
  </si>
  <si>
    <t>작성 기준</t>
  </si>
  <si>
    <t>1) 온실가스 산정 식: Σ(왕복 이동거리 × 교통수단별 배출계수 × 인원수 × 이동횟수)</t>
  </si>
  <si>
    <t xml:space="preserve"> - 온실가스 배출계수는 UK defra 평가계수를 활용 (*UK Government GHG Conversion Factor )</t>
  </si>
  <si>
    <t>2) 편도거리나 출도착지 둘 중 하나는 반드시 작성(노란 박스) / 항공을 이용한 경우 출도착지는 도시명·주소 대신 공항명(예: 인천국제공항)으로 작성 권장 - 미기재 시 AI가 가까운 주요 공항으로 추정해 거리를 계산합니다(주소 기준으로 바로 계산하면 실제 항공 이동거리와 달라질 수 있음)</t>
  </si>
  <si>
    <t>3) 숙박비와 교통비 지출금액만 아는 경우 C6-2 시트에 작성</t>
  </si>
  <si>
    <t>*적용 기업명</t>
  </si>
  <si>
    <t>※ '기업정보' 시트에서 선택한 적용 기업명이 자동 반영됩니다. 상세 교통수단명(Y열) 입력 시 *교통수단(D열)이 '회사별_교통수단매핑' 매핑표를 기준으로 자동 매칭됩니다.</t>
  </si>
  <si>
    <t>※ 사용 기준: 월별 자료가 있으면 1월~12월 칸에 입력하고, 연간 총량만 있으면 연간 입력 칸에 입력합니다. 동일 행에서 연간과 월별을 중복 입력하지 마세요.</t>
  </si>
  <si>
    <t>※ 주황색으로 표시된 필수 입력칸은 반드시 작성해야 합니다.</t>
  </si>
  <si>
    <t>※ 회색으로 표시된 입력란(배출계수, 배출량)은 자동으로 산출되므로 별도로 입력하지 않으셔도 됩니다.</t>
  </si>
  <si>
    <t>*국가</t>
  </si>
  <si>
    <t>*출장주체</t>
  </si>
  <si>
    <t>*교통수단</t>
  </si>
  <si>
    <t>*인원수</t>
  </si>
  <si>
    <t>출도착지</t>
  </si>
  <si>
    <t>연간 입력</t>
  </si>
  <si>
    <t>월별 이동횟수</t>
  </si>
  <si>
    <t>비고(선택)</t>
  </si>
  <si>
    <t>배출계수(tCO2e/km)</t>
  </si>
  <si>
    <t>배출량(tCO2e)</t>
  </si>
  <si>
    <t>상세 교통수단명(선택)</t>
  </si>
  <si>
    <t>출발지</t>
  </si>
  <si>
    <t>도착지</t>
  </si>
  <si>
    <t>편도거리(km)(선택)</t>
  </si>
  <si>
    <t>연간이동횟수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</si>
  <si>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</si>
  <si>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</si>
  <si>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</si>
  <si>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</si>
  <si>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</si>
  <si>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</si>
  <si>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</si>
  <si>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</si>
  <si>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</si>
  <si>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</si>
  <si>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</si>
  <si>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</si>
  <si>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대한민국</t>
  </si>
  <si>
    <t>광주전북지부</t>
  </si>
  <si>
    <t>광주광역시 서구 죽봉대로 52</t>
  </si>
  <si>
    <t>경남 의령군 가례면 가례로 677</t>
  </si>
  <si>
    <t>고속버스</t>
  </si>
  <si>
    <t>광주광역시 서구 죽봉대로 53</t>
  </si>
  <si>
    <t>경북 영주시 봉현면 테라피로 209</t>
  </si>
  <si>
    <t>광주광역시 서구 죽봉대로 54</t>
  </si>
  <si>
    <t>서울특별시 강남구 언주로 508</t>
  </si>
  <si>
    <t>광주광역시 서구 죽봉대로 55</t>
  </si>
  <si>
    <t>전남 강진군 도암면 다산인재길 10</t>
  </si>
  <si>
    <t>광주광역시 서구 죽봉대로 56</t>
  </si>
  <si>
    <t>전남 나주시 경현동</t>
  </si>
  <si>
    <t>광주광역시 서구 죽봉대로 57</t>
  </si>
  <si>
    <t>전남 무안군 삼향읍 어진누리길 10</t>
  </si>
  <si>
    <t>광주광역시 서구 죽봉대로 58</t>
  </si>
  <si>
    <t>전남 영암군 삼호읍 대불로 91</t>
  </si>
  <si>
    <t>광주광역시 서구 죽봉대로 59</t>
  </si>
  <si>
    <t>전남 장흥군 장흥읍 평화우산길 212-43</t>
  </si>
  <si>
    <t>광주광역시 서구 죽봉대로 60</t>
  </si>
  <si>
    <t>전라북도 전주시 완산구 평화동2가</t>
  </si>
  <si>
    <t>광주광역시 서구 죽봉대로 61</t>
  </si>
  <si>
    <t>전북 고창군 고창읍 석정2로 179</t>
  </si>
  <si>
    <t>광주광역시 서구 죽봉대로 62</t>
  </si>
  <si>
    <t>전북 남원시 동충동</t>
  </si>
  <si>
    <t>광주광역시 서구 죽봉대로 63</t>
  </si>
  <si>
    <t>전북 부안군 변산면 변산로 2060</t>
  </si>
  <si>
    <t>광주광역시 서구 죽봉대로 64</t>
  </si>
  <si>
    <t>전북 전주시</t>
  </si>
  <si>
    <t>광주광역시 서구 죽봉대로 65</t>
  </si>
  <si>
    <t>전북 전주시 덕진구</t>
  </si>
  <si>
    <t>광주광역시 서구 죽봉대로 66</t>
  </si>
  <si>
    <t>전북 전주시 덕진구 들사평로 38</t>
  </si>
  <si>
    <t>광주광역시 서구 죽봉대로 67</t>
  </si>
  <si>
    <t>전북 전주시 덕진구 중동 772-408</t>
  </si>
  <si>
    <t>광주광역시 서구 죽봉대로 68</t>
  </si>
  <si>
    <t>전북 전주시 덕진구 팔복동1가 49-3</t>
  </si>
  <si>
    <t>광주광역시 서구 죽봉대로 69</t>
  </si>
  <si>
    <t>전북 전주시 완산구 낙수정2길 92</t>
  </si>
  <si>
    <t>광주광역시 서구 죽봉대로 70</t>
  </si>
  <si>
    <t>전북 전주시 완산구 쑥고개로 241-8</t>
  </si>
  <si>
    <t>광주광역시 서구 죽봉대로 71</t>
  </si>
  <si>
    <t>전북 전주시 완산구 용머리로 77</t>
  </si>
  <si>
    <t>광주광역시 서구 죽봉대로 72</t>
  </si>
  <si>
    <t>전북 전주시 완산구 전주객사3길 34</t>
  </si>
  <si>
    <t>광주광역시 서구 죽봉대로 73</t>
  </si>
  <si>
    <t>전북 전주시 완산구 팔달로 212-3</t>
  </si>
  <si>
    <t>광주광역시 서구 죽봉대로 74</t>
  </si>
  <si>
    <t>전북 전주시 완산구 홍산로 111</t>
  </si>
  <si>
    <t>광주광역시 서구 죽봉대로 75</t>
  </si>
  <si>
    <t>전북 전주시 완산구 효자동1가</t>
  </si>
  <si>
    <t>광주광역시 서구 죽봉대로 76</t>
  </si>
  <si>
    <t>전북 전주시 완산구 효자동3가</t>
  </si>
  <si>
    <t>광주광역시 서구 죽봉대로 77</t>
  </si>
  <si>
    <t>전북 전주시 완산구 효자로 225</t>
  </si>
  <si>
    <t>광주광역시 서구 죽봉대로 78</t>
  </si>
  <si>
    <t>전북 정읍시 수성6로 29</t>
  </si>
  <si>
    <t>광주광역시 서구 죽봉대로 79</t>
  </si>
  <si>
    <t>전북도 전주시 덕진구 명주5길 11</t>
  </si>
  <si>
    <t>광주광역시 서구 죽봉대로 80</t>
  </si>
  <si>
    <t>전북특별자치도 김제시 모악 15길 1</t>
  </si>
  <si>
    <t>광주광역시 서구 죽봉대로 81</t>
  </si>
  <si>
    <t>전북특별자치도 남원시 산성길 87</t>
  </si>
  <si>
    <t>광주광역시 서구 죽봉대로 82</t>
  </si>
  <si>
    <t>전북특별자치도 전주시 덕진구 백제대로 567</t>
  </si>
  <si>
    <t>광주광역시 서구 죽봉대로 83</t>
  </si>
  <si>
    <t>전북특별자치도 전주시 완산구 현무1길 20</t>
  </si>
  <si>
    <t>광주광역시 서구 죽봉대로 84</t>
  </si>
  <si>
    <t>충남 공주시 반포면 가마봉길 100</t>
  </si>
  <si>
    <t>광주광역시 서구 죽봉대로 85</t>
  </si>
  <si>
    <t>충청남도 논산시 양촌면 황산벌로 1040</t>
  </si>
  <si>
    <t>광주광역시 서구 죽봉대로 86</t>
  </si>
  <si>
    <t>충청북도 제천시 청풍면 청풍호로 1798</t>
  </si>
  <si>
    <t>광주광역시 서구 죽봉대로 87</t>
  </si>
  <si>
    <t>제주 서귀포시 법환동</t>
  </si>
  <si>
    <t>국내선 항공</t>
  </si>
  <si>
    <t>광주광역시 서구 죽봉대로 88</t>
  </si>
  <si>
    <t>제주 서귀포시 토평동</t>
  </si>
  <si>
    <t>광주광역시 서구 죽봉대로 89</t>
  </si>
  <si>
    <t>제주특별자치도 서귀포시 서호중앙로 63</t>
  </si>
  <si>
    <t>광주광역시 서구 죽봉대로 90</t>
  </si>
  <si>
    <t>자동차</t>
  </si>
  <si>
    <t>광주광역시 서구 죽봉대로 91</t>
  </si>
  <si>
    <t>전남 무안군 삼향읍</t>
  </si>
  <si>
    <t>광주광역시 서구 죽봉대로 92</t>
  </si>
  <si>
    <t>전라남도 무안군 망운면 공항로 970-260</t>
  </si>
  <si>
    <t>광주광역시 서구 죽봉대로 93</t>
  </si>
  <si>
    <t>광주광역시 서구 죽봉대로 94</t>
  </si>
  <si>
    <t>광주광역시 서구 죽봉대로 95</t>
  </si>
  <si>
    <t>광주광역시 서구 죽봉대로 96</t>
  </si>
  <si>
    <t>전북특별자치도 전주시 완산구 효자로 225</t>
  </si>
  <si>
    <t>광주광역시 서구 죽봉대로 97</t>
  </si>
  <si>
    <t>경기도 고양시 일산서구 킨텍스로 217-60</t>
  </si>
  <si>
    <t>철도(KTX/SRT)</t>
  </si>
  <si>
    <t>광주광역시 서구 죽봉대로 98</t>
  </si>
  <si>
    <t>서울 강남구 남부순환로 3104</t>
  </si>
  <si>
    <t>광주광역시 서구 죽봉대로 99</t>
  </si>
  <si>
    <t>서울 서대문구 통일로 135</t>
  </si>
  <si>
    <t>광주광역시 서구 죽봉대로 100</t>
  </si>
  <si>
    <t>서울 서초구 반포대로 217</t>
  </si>
  <si>
    <t>광주광역시 서구 죽봉대로 101</t>
  </si>
  <si>
    <t>광주광역시 서구 죽봉대로 102</t>
  </si>
  <si>
    <t>서울특별시 용산구 한강대로23길 55</t>
  </si>
  <si>
    <t>광주광역시 서구 죽봉대로 103</t>
  </si>
  <si>
    <t>전북 군산시 사옥로 69</t>
  </si>
  <si>
    <t>광주광역시 서구 죽봉대로 104</t>
  </si>
  <si>
    <t>광주광역시 서구 죽봉대로 105</t>
  </si>
  <si>
    <t>충청남도 천안시 동남구 수신면 수신로 576</t>
  </si>
  <si>
    <t>대구지부</t>
  </si>
  <si>
    <t>대구광역시 중구 대봉로 260</t>
  </si>
  <si>
    <t>경상북도 예천군 호명읍 행복로 15</t>
  </si>
  <si>
    <t>경남 창원시 마산합포구 노산서 18길 141</t>
  </si>
  <si>
    <t>경북 경주시 화랑로 89</t>
  </si>
  <si>
    <t>경북 안동시 육사로 205</t>
  </si>
  <si>
    <t>경북 안동시 일직면 국곡리</t>
  </si>
  <si>
    <t>경북 안동시 일직면 중앙통길 12</t>
  </si>
  <si>
    <t>경북 안동시 풍천면</t>
  </si>
  <si>
    <t>경북 칠곡군 동명면 한티로 586</t>
  </si>
  <si>
    <t>부산 해운대구 APEC로 55</t>
  </si>
  <si>
    <t>부산지부</t>
  </si>
  <si>
    <t>부산광역시 동구 부산진성공원로 23</t>
  </si>
  <si>
    <t>경남 거제시 일운면 거제대로2660</t>
  </si>
  <si>
    <t>경남 진주시 월아산로 2026</t>
  </si>
  <si>
    <t>경남 창원시 의창구 팔용동</t>
  </si>
  <si>
    <t>경상남도 김해시</t>
  </si>
  <si>
    <t>울산 남구 삼산로 204</t>
  </si>
  <si>
    <t xml:space="preserve">울산 북구 진장유통로16 </t>
  </si>
  <si>
    <t>울산 중구 남외동</t>
  </si>
  <si>
    <t>울산광역시 남구 대학로 93</t>
  </si>
  <si>
    <t>제주 서귀포시 막숙포로 118</t>
  </si>
  <si>
    <t>제주 서귀포시 색달동</t>
  </si>
  <si>
    <t>경남 김해시 한림면</t>
  </si>
  <si>
    <t>경남 사천시 용현면 시청로 77</t>
  </si>
  <si>
    <t>경남 산천군 금서면 동의보감로 645-40</t>
  </si>
  <si>
    <t>경남 양산시 중앙ㅇ로 33-2</t>
  </si>
  <si>
    <t>경남 창원시 성산구 창이대로 681</t>
  </si>
  <si>
    <t>경상남도 창원시 의창구 대산면 봉강가술로471번길 46-6</t>
  </si>
  <si>
    <t>김천시 물망골길39</t>
  </si>
  <si>
    <t>마산 합포구</t>
  </si>
  <si>
    <t>울산광역시 남구 중앙로 201</t>
  </si>
  <si>
    <t>서울상록회관</t>
  </si>
  <si>
    <t>강원 속초시 대포항희망길 106</t>
  </si>
  <si>
    <t>강원 원주시 남원로 441</t>
  </si>
  <si>
    <t>강원 원주시 지정면</t>
  </si>
  <si>
    <t>강원 춘천시 동면 순환대로 1122</t>
  </si>
  <si>
    <t>강원 춘천시 동면 춘천순환로 770</t>
  </si>
  <si>
    <t>강원 춘천시 신북읍</t>
  </si>
  <si>
    <t>강원특별자치도 춘천시 동내면 거두택지길 70</t>
  </si>
  <si>
    <t>경기도 양평군 강하면 강남로 316</t>
  </si>
  <si>
    <t>경남 진주시 충무공동</t>
  </si>
  <si>
    <t>대전광역시 유성구 노은동로 111</t>
  </si>
  <si>
    <t>대전시 중구 목중로 54번길 10</t>
  </si>
  <si>
    <t>서울 송파구 신천동</t>
  </si>
  <si>
    <t>서울 영등포구 여의도동</t>
  </si>
  <si>
    <t>세종 가름로 180</t>
  </si>
  <si>
    <t>세종시 어진동</t>
  </si>
  <si>
    <t>세종특별자치시 도움5로 20</t>
  </si>
  <si>
    <t>세종특별자치시 도움6로 11</t>
  </si>
  <si>
    <t>세종특별자치시 한누리대로 492</t>
  </si>
  <si>
    <t>세종특별자치시 한누리대로 499</t>
  </si>
  <si>
    <t>전북특별자치도 전주시 덕진구 가인로 33</t>
  </si>
  <si>
    <t>전북특별자치도 전주시 덕진구 농생명로 300</t>
  </si>
  <si>
    <t>충남 홍성군 홍북읍</t>
  </si>
  <si>
    <t>충청남도 예산군 덕산면 온천단지3로 45-7</t>
  </si>
  <si>
    <t>충청북도 청주시 흥덕구 봉명동</t>
  </si>
  <si>
    <t>충청북도 충주시 수안보면 주정산로 22</t>
  </si>
  <si>
    <t>서울 중구 청계천로 14</t>
  </si>
  <si>
    <t>세종 어진동</t>
  </si>
  <si>
    <t>제주 서귀포시 서호동</t>
  </si>
  <si>
    <t>제주 서귀포시 서홍동</t>
  </si>
  <si>
    <t>제주 서귀포시 신서로 55</t>
  </si>
  <si>
    <t>제주 서귀포시 이어도로 684</t>
  </si>
  <si>
    <t>제주 서귀포시 중문관광로 72번길 35</t>
  </si>
  <si>
    <t>제주 서귀포시 중정로 55</t>
  </si>
  <si>
    <t>제주 서귀포시 토평서로11번길 142</t>
  </si>
  <si>
    <t>제주 서귀포시 표선면 번영로 2300-79</t>
  </si>
  <si>
    <t>제주 제주시 문연로 6</t>
  </si>
  <si>
    <t>제주 제주시 신산로 82</t>
  </si>
  <si>
    <t>제주 제주시 제주대학로 102</t>
  </si>
  <si>
    <t>제주 제주시 한라대학로 38</t>
  </si>
  <si>
    <t>제주특별자치도 제주시 남광북5길 3</t>
  </si>
  <si>
    <t>제주특별자치도 제주시 도령로 33</t>
  </si>
  <si>
    <t>강원 동해시</t>
  </si>
  <si>
    <t>강원 춘천시 공지로 284</t>
  </si>
  <si>
    <t>강원 춘천시 동내면 거두택지길 70</t>
  </si>
  <si>
    <t>강원 춘천시 충열로 142번길 24-16</t>
  </si>
  <si>
    <t>강원도 춘천시</t>
  </si>
  <si>
    <t>경기 수원시 영통구 하동</t>
  </si>
  <si>
    <t>경북 포항시 북구 법원로 181</t>
  </si>
  <si>
    <t>광주광역시 서구 내방로 111</t>
  </si>
  <si>
    <t>대구 동구 동호동</t>
  </si>
  <si>
    <t>대구 북구 엑스코로 10</t>
  </si>
  <si>
    <t>대전 서구</t>
  </si>
  <si>
    <t>대전광역시 서구 둔산중로78번길 45</t>
  </si>
  <si>
    <t>세종특별자치시 도움4로 9</t>
  </si>
  <si>
    <t>전남 여수시 예울마루로 53</t>
  </si>
  <si>
    <t>전북 군산시 조촌동</t>
  </si>
  <si>
    <t>충남 공주시 사곡면 연수단지길 90</t>
  </si>
  <si>
    <t>충남 당진시 석문면 해명3로 10</t>
  </si>
  <si>
    <t>충남 태안군 안면읍 꽃지해안로 204</t>
  </si>
  <si>
    <t>충북 음성군</t>
  </si>
  <si>
    <t>충북 음성군 맹동면 맹동산단1길 18</t>
  </si>
  <si>
    <t>충청북도 청주시 서원구 충대로 1</t>
  </si>
  <si>
    <t>강원 산척시 수로부인길 453</t>
  </si>
  <si>
    <t>강원 춘천시 삭주로 145번길 46</t>
  </si>
  <si>
    <t>강원 춘천시 효자로 7-1</t>
  </si>
  <si>
    <t>경기 성남시 분당구 판교동</t>
  </si>
  <si>
    <t>경기 시흥시 은행로 155번길 17</t>
  </si>
  <si>
    <t xml:space="preserve">광산구 하남산단천변우로 108 </t>
  </si>
  <si>
    <t>광주 광산구 하남산단천변우로 108</t>
  </si>
  <si>
    <t>광주 동구 준법로 7-12</t>
  </si>
  <si>
    <t>광주 서구 대남대로 465</t>
  </si>
  <si>
    <t>광주 서구 상무대로 760</t>
  </si>
  <si>
    <t>광주광역시 북구</t>
  </si>
  <si>
    <t>대구 남구 현충로 64</t>
  </si>
  <si>
    <t>대구 동구 동대구로 469</t>
  </si>
  <si>
    <t>대구 동구 동화천로 372</t>
  </si>
  <si>
    <t>대구광역시 수성구 동대구로 364</t>
  </si>
  <si>
    <t>대전 동구 태전로 18</t>
  </si>
  <si>
    <t>대전 서구 청사로 189</t>
  </si>
  <si>
    <t>대전 중구</t>
  </si>
  <si>
    <t>동면 방죽길 28-16</t>
  </si>
  <si>
    <t>부산 동구</t>
  </si>
  <si>
    <t>부산 부산진구</t>
  </si>
  <si>
    <t>부산 부산진구 범일로 192번길 41</t>
  </si>
  <si>
    <t>부산 부산진구 범천동</t>
  </si>
  <si>
    <t>부산 북구 효열로 256</t>
  </si>
  <si>
    <t>부산 수영구</t>
  </si>
  <si>
    <t>부산광역시 부산진구 범천동 853-9</t>
  </si>
  <si>
    <t>부산광역시 해운대구 APEC로 55</t>
  </si>
  <si>
    <t>부산시 부산진구</t>
  </si>
  <si>
    <t>부산시 부산진구 진남로 412</t>
  </si>
  <si>
    <t>새종 어진동</t>
  </si>
  <si>
    <t>서울특별시 송파구 올림픽로 300</t>
  </si>
  <si>
    <t>세종 보람동</t>
  </si>
  <si>
    <t>세종 집현북로 52</t>
  </si>
  <si>
    <t>세종 한누리대로 2130</t>
  </si>
  <si>
    <t>세종특별자치시 갈매로 477</t>
  </si>
  <si>
    <t>세종특별자치시 다솜3로 66</t>
  </si>
  <si>
    <t>세종특별자치시 도움4로 13</t>
  </si>
  <si>
    <t>울산 남구 남중로 74</t>
  </si>
  <si>
    <t>울산 남구 삼산동</t>
  </si>
  <si>
    <t>울산 남구 중앙로 201</t>
  </si>
  <si>
    <t>전남 나주시 문화로 245</t>
  </si>
  <si>
    <t>전남 무안군 삼향읍 남악2로22번길59</t>
  </si>
  <si>
    <t>전라남도 나주시 문화로 245</t>
  </si>
  <si>
    <t>전라남도 무안군</t>
  </si>
  <si>
    <t>전북특별자치도 전주시 덕진구 기지로 180</t>
  </si>
  <si>
    <t>충북 청주시 흥덕구 오송읍 오송생명10로7</t>
  </si>
  <si>
    <t>충북 청주시 흥덕구 오송읍 오송생명2로 187</t>
  </si>
  <si>
    <t>세종대전지부</t>
  </si>
  <si>
    <t>서울 강남구 삼성동</t>
  </si>
  <si>
    <t>대전 유성구</t>
  </si>
  <si>
    <t>예산군 삽교읍 삽교로 92</t>
  </si>
  <si>
    <t>충남 공주시</t>
  </si>
  <si>
    <t>충남 서산시 율지16로 48</t>
  </si>
  <si>
    <t>충남 서천군 서천읍</t>
  </si>
  <si>
    <t>충남 천안시 동남구 청당동</t>
  </si>
  <si>
    <t>충남 천안시 동남구 청수 14로 77</t>
  </si>
  <si>
    <t>충남 홍성군 홍성읍 법원로 38</t>
  </si>
  <si>
    <t>충북 청주시 상당구 가덕면 교육원로 153-100</t>
  </si>
  <si>
    <t>충북 청주시 청원구 내수읍 오창대로 980 5-4</t>
  </si>
  <si>
    <t>충북 청주시 흥덕구 직지대로 551</t>
  </si>
  <si>
    <t>충청북도 청주시 상당구 목련로 27</t>
  </si>
  <si>
    <t>서울 동작구 여의대방로 54길 18</t>
  </si>
  <si>
    <t>서울특별시 동작구 여의대방로54길 18</t>
  </si>
  <si>
    <t>제주본사</t>
  </si>
  <si>
    <t>부산 기장군 기장읍</t>
  </si>
  <si>
    <t>강원 강릉시 창해로 307</t>
  </si>
  <si>
    <t>강원 양양군 서면</t>
  </si>
  <si>
    <t>강원 원주시 문막읍</t>
  </si>
  <si>
    <t>강원 원주시 세계로 10</t>
  </si>
  <si>
    <t>강원 원주시 시청로1</t>
  </si>
  <si>
    <t>강원 원주시 혁신로 2</t>
  </si>
  <si>
    <t>강원 춘천시 영서로 2854</t>
  </si>
  <si>
    <t>강원특별자치 원주시 건강로 32</t>
  </si>
  <si>
    <t>강원특별자치도 원주시 세계로 10</t>
  </si>
  <si>
    <t>강원특별자치도 원주시 시청로 1</t>
  </si>
  <si>
    <t>경기 고양시</t>
  </si>
  <si>
    <t>경기 과천시 관문로 92</t>
  </si>
  <si>
    <t>경기 과천시 교육원로 118</t>
  </si>
  <si>
    <t>경기 구리시 건원대로 34번길 32-10</t>
  </si>
  <si>
    <t>경기 부천시 원미구 상동</t>
  </si>
  <si>
    <t>경기 부천시 원미구 신상로 91</t>
  </si>
  <si>
    <t>경기 성남시</t>
  </si>
  <si>
    <t>경기 성남시 분당구</t>
  </si>
  <si>
    <t>경기 성남시 분당구 동판교로 177번길 25</t>
  </si>
  <si>
    <t>경기 성남시 분당구 정자동</t>
  </si>
  <si>
    <t>경기 성남시 수정구 수정로 398</t>
  </si>
  <si>
    <t>경기 수원시 영통구 도청로 28</t>
  </si>
  <si>
    <t>경기 수원시 팔달구 월드컵로 381번길 2</t>
  </si>
  <si>
    <t>경기 수원시 팔달구 인계동</t>
  </si>
  <si>
    <t>경기 용인시 기흥구 마북로 240번길 17</t>
  </si>
  <si>
    <t>경기 의정부시 의정로 27</t>
  </si>
  <si>
    <t>경기 이천시 설성면 노성로 260</t>
  </si>
  <si>
    <t>경기 파주시 동패동</t>
  </si>
  <si>
    <t>경기 화성시 동탄구 중동</t>
  </si>
  <si>
    <t>경기도 부천시</t>
  </si>
  <si>
    <t>경기도 수원시 영통구 도청로 28</t>
  </si>
  <si>
    <t>경기도 의정부시 녹양로34번길 23</t>
  </si>
  <si>
    <t>경남 진주시 사들로 123번길 32</t>
  </si>
  <si>
    <t>경남 창원시</t>
  </si>
  <si>
    <t>경남 창원시 마산회원구 내서읍 수곡로 71-107</t>
  </si>
  <si>
    <t>경북 김천시 혁신로 269</t>
  </si>
  <si>
    <t>광주 서구 내방로 111</t>
  </si>
  <si>
    <t>광주 서구 치평동</t>
  </si>
  <si>
    <t>광주광역시 서구 상무누리로 30</t>
  </si>
  <si>
    <t>대구 동구 도장길 55-25</t>
  </si>
  <si>
    <t>대구 동구 동대구로 457</t>
  </si>
  <si>
    <t>대구 수성구 들안로 19길 48</t>
  </si>
  <si>
    <t>대전 동구 중앙로 240</t>
  </si>
  <si>
    <t>대전 동구 태전로 25</t>
  </si>
  <si>
    <t>대전 유성구 과학로 80-67</t>
  </si>
  <si>
    <t>대전 유성구 동서대로 125</t>
  </si>
  <si>
    <t>대전 유성구 죽동로 211</t>
  </si>
  <si>
    <t>대전 유성구 지족로 364번길19</t>
  </si>
  <si>
    <t>대전 중구 태전로 25</t>
  </si>
  <si>
    <t>대전광역시 동구 중앙로 240</t>
  </si>
  <si>
    <t>대전광역시 서구 둔산로 89</t>
  </si>
  <si>
    <t>부산 남구 문현금융로 33</t>
  </si>
  <si>
    <t>부산 남구 문현금융로 40</t>
  </si>
  <si>
    <t>부산 동구 중앙대로 206</t>
  </si>
  <si>
    <t>부산 동구 충장대로 206</t>
  </si>
  <si>
    <t>부산 부산진구 엄광로 176</t>
  </si>
  <si>
    <t>부산 부산진구 화지로 12</t>
  </si>
  <si>
    <t>부산 북구 만덕대로 155번길 99</t>
  </si>
  <si>
    <t>부산 연제구 중앙대로 1001</t>
  </si>
  <si>
    <t>서울 강남구</t>
  </si>
  <si>
    <t>서울 강남구 도곡로 408</t>
  </si>
  <si>
    <t>서울 강남구 도산대로 102</t>
  </si>
  <si>
    <t>서울 강남구 삼성로 534</t>
  </si>
  <si>
    <t>서울 강남구 영동대로 421</t>
  </si>
  <si>
    <t>서울 강남구 영동대로 513</t>
  </si>
  <si>
    <t>서울 강남구 영동대로 96길 20</t>
  </si>
  <si>
    <t>서울 강남구 테헤란로 326</t>
  </si>
  <si>
    <t>서울 강남구 테헤란로 422</t>
  </si>
  <si>
    <t>서울 강남구 테헤란로 518</t>
  </si>
  <si>
    <t>서울 강북구 삼각산로 58</t>
  </si>
  <si>
    <t>서울 강서구 마곡중앙로 143</t>
  </si>
  <si>
    <t>서울 강서구 하늘길 38</t>
  </si>
  <si>
    <t>서울 광진구 능동로 238</t>
  </si>
  <si>
    <t>서울 광진구 능동로 400</t>
  </si>
  <si>
    <t>서울 광진구 아차산로 384-1</t>
  </si>
  <si>
    <t>서울 광진구 용마산로 127</t>
  </si>
  <si>
    <t>서울 광진구 워커힐로 177</t>
  </si>
  <si>
    <t>서울 동작구 보라매로 5길 15</t>
  </si>
  <si>
    <t>서울 동작구 신대방동 보라매로 5길 51</t>
  </si>
  <si>
    <t>서울 마포구 동교로 162-10</t>
  </si>
  <si>
    <t>서울 마포구 백범로 35</t>
  </si>
  <si>
    <t>서울 마포구 백범로31길 19</t>
  </si>
  <si>
    <t>서울 마포구 상암동</t>
  </si>
  <si>
    <t>서울 마포구 성암로 301</t>
  </si>
  <si>
    <t>서울 서대문구</t>
  </si>
  <si>
    <t>서울 서대문구 이화여대길 52</t>
  </si>
  <si>
    <t>서울 서초구</t>
  </si>
  <si>
    <t>서울 서초구 강남대로 263</t>
  </si>
  <si>
    <t>서울 서초구 강남대로 388</t>
  </si>
  <si>
    <t>서울 서초구 남부순환로 2248</t>
  </si>
  <si>
    <t>서울 서초구 동산로 15길 23</t>
  </si>
  <si>
    <t>서울 서초구 서초대로 40길 49</t>
  </si>
  <si>
    <t>서울 서초구 서초동</t>
  </si>
  <si>
    <t>서울 서초구 양재동</t>
  </si>
  <si>
    <t>서울 서초구 헌릉로 13</t>
  </si>
  <si>
    <t>서울 서초구 헌릉로 25</t>
  </si>
  <si>
    <t>서울 성동구 광나루로 320-2</t>
  </si>
  <si>
    <t>서울 성북구 안암로 145</t>
  </si>
  <si>
    <t>서울 송파구</t>
  </si>
  <si>
    <t>서울 송파구 올림픽로 300</t>
  </si>
  <si>
    <t>서울 양천구 목동동로 235</t>
  </si>
  <si>
    <t>서울 양천구 목동서로 225</t>
  </si>
  <si>
    <t>서울 영등포구</t>
  </si>
  <si>
    <t>서울 영등포구 국회대로 66길 11</t>
  </si>
  <si>
    <t>서울 영등포구 국회대로 741</t>
  </si>
  <si>
    <t>서울 영등포구 문래동 3가</t>
  </si>
  <si>
    <t>서울 영등포구 버드나루로2길 8</t>
  </si>
  <si>
    <t>서울 영등포구 선유로 165</t>
  </si>
  <si>
    <t>서울 영등포구 여의나루로 67-8</t>
  </si>
  <si>
    <t>서울 영등포구 여의대로 24</t>
  </si>
  <si>
    <t>서울 영등포구 은행로 14</t>
  </si>
  <si>
    <t>서울 영등포구 은행로 30</t>
  </si>
  <si>
    <t>서울 영등포구 의사당대로 1</t>
  </si>
  <si>
    <t>서울 영등포구 의사당대로 22</t>
  </si>
  <si>
    <t>서울 영등포구 의사당대로 96</t>
  </si>
  <si>
    <t>서울 용산구</t>
  </si>
  <si>
    <t>서울 용산구 동자동</t>
  </si>
  <si>
    <t>서울 용산구 두텁바위로 27</t>
  </si>
  <si>
    <t>서울 용산구 소월로 138</t>
  </si>
  <si>
    <t>서울 용산구 이태원동</t>
  </si>
  <si>
    <t>서울 용산구 이태원로 29</t>
  </si>
  <si>
    <t>서울 용산구 한강대로 140</t>
  </si>
  <si>
    <t>서울 용산구 한강대로 379-2</t>
  </si>
  <si>
    <t>서울 용산구 한강대로 385</t>
  </si>
  <si>
    <t>서울 용산구 한강대로 397</t>
  </si>
  <si>
    <t>서울 용산구 한강대로 71길 37</t>
  </si>
  <si>
    <t>서울 용산구 한강대로 98길 3</t>
  </si>
  <si>
    <t>서울 용산구 한강로3가</t>
  </si>
  <si>
    <t>서울 종로구</t>
  </si>
  <si>
    <t>서울 종로구 김상옥로 29</t>
  </si>
  <si>
    <t>서울 종로구 북촌로 112</t>
  </si>
  <si>
    <t>서울 종로구 새문안로5가길 7</t>
  </si>
  <si>
    <t>서울 종로구 세종대로 209</t>
  </si>
  <si>
    <t>서울 종로구 적선동</t>
  </si>
  <si>
    <t>서울 종로구 종로 14</t>
  </si>
  <si>
    <t>서울 종로구 종로 199</t>
  </si>
  <si>
    <t>서울 종로구 종로3길 17</t>
  </si>
  <si>
    <t>서울 종로구 창경궁로 215</t>
  </si>
  <si>
    <t>서울 중구</t>
  </si>
  <si>
    <t>서울 중구 명동11길 19</t>
  </si>
  <si>
    <t>서울 중구 명동1가</t>
  </si>
  <si>
    <t>서울 중구 무교로 32</t>
  </si>
  <si>
    <t>서울 중구 삼일대로10길 36</t>
  </si>
  <si>
    <t>서울 중구 세종대로 110</t>
  </si>
  <si>
    <t>서울 중구 세종대로 124</t>
  </si>
  <si>
    <t>서울 중구 세종대로 19길 16</t>
  </si>
  <si>
    <t>서울 중구 세종대로 39</t>
  </si>
  <si>
    <t>서울 중구 세종대로9길 20</t>
  </si>
  <si>
    <t>서울 중구 소공로 106</t>
  </si>
  <si>
    <t>서울 중구 을지로 30</t>
  </si>
  <si>
    <t>서울 중구 을지로 66</t>
  </si>
  <si>
    <t>서울 중구 장충단로 247</t>
  </si>
  <si>
    <t>서울 중구 청파로 464</t>
  </si>
  <si>
    <t>서울 중구 통일로 10</t>
  </si>
  <si>
    <t>서울 중구 퇴계로 173</t>
  </si>
  <si>
    <t>서울시 강남구</t>
  </si>
  <si>
    <t>서울시 광진구</t>
  </si>
  <si>
    <t>서울특별시 서초구 강남대로 27</t>
  </si>
  <si>
    <t>서울특별시 서초구 내곡동</t>
  </si>
  <si>
    <t>서울특별시 서초구 반포대로 217</t>
  </si>
  <si>
    <t>서울특별시 성북구 안암로 145</t>
  </si>
  <si>
    <t>서울특별시 송파구 올림픽로35길 137</t>
  </si>
  <si>
    <t>서울특별시 양천구 신월로 386</t>
  </si>
  <si>
    <t>서울특별시 영등포구 의사당대로 1</t>
  </si>
  <si>
    <t>서울특별시 영등포구 의사당대로 16</t>
  </si>
  <si>
    <t>서울특별시 용산구 임정로 26</t>
  </si>
  <si>
    <t>서울특별시 종로구 북촌로 112</t>
  </si>
  <si>
    <t>서울특별시 종로구 율곡로 194</t>
  </si>
  <si>
    <t>서울특별시 중구 명동11길 19</t>
  </si>
  <si>
    <t>서울특별시 중구 을지로 281</t>
  </si>
  <si>
    <t>세종 국책연구원3로 12</t>
  </si>
  <si>
    <t>세종 나성동</t>
  </si>
  <si>
    <t>세종 다솜3로 66</t>
  </si>
  <si>
    <t>세종 도움5로 20</t>
  </si>
  <si>
    <t>세종 반곡동</t>
  </si>
  <si>
    <t>세종 보듬3로 114</t>
  </si>
  <si>
    <t>세종 보듬3로 157</t>
  </si>
  <si>
    <t>세종 새롬중앙로 44</t>
  </si>
  <si>
    <t>세종 세종로 1207</t>
  </si>
  <si>
    <t>세종 아름동</t>
  </si>
  <si>
    <t>세종 장군면 봉안산소골길 3</t>
  </si>
  <si>
    <t>세종 조치원읍 서북부3로 42</t>
  </si>
  <si>
    <t>세종 한누리대로 2129</t>
  </si>
  <si>
    <t>세종 한누리대로 350</t>
  </si>
  <si>
    <t>세종 호수공원길 155</t>
  </si>
  <si>
    <t>세종특별자치시 남세종로 263</t>
  </si>
  <si>
    <t>세종특별자치시 도움5로 19</t>
  </si>
  <si>
    <t>세종특별자치시 도움6로 42</t>
  </si>
  <si>
    <t>세종특별자치시 보듬3로 114</t>
  </si>
  <si>
    <t>세종특별자치시 세종로 1207</t>
  </si>
  <si>
    <t>세종특별자치시 시청대로 336</t>
  </si>
  <si>
    <t>울산 남구 대학로 93</t>
  </si>
  <si>
    <t>울산 남구 신정동</t>
  </si>
  <si>
    <t>울산 중구 종가로 340</t>
  </si>
  <si>
    <t>울산 중구 종가로 400</t>
  </si>
  <si>
    <t>원주시 문막읍 궁촌리</t>
  </si>
  <si>
    <t>인천 남동구 정각로 9</t>
  </si>
  <si>
    <t>인천 연수구 경원대로 73</t>
  </si>
  <si>
    <t>전남 나주시 문화로 227</t>
  </si>
  <si>
    <t>전남 나주시 전력로 55</t>
  </si>
  <si>
    <t>전남 목포시 내화마을길 89</t>
  </si>
  <si>
    <t>전남 무안군 망운면 공항로 970-260</t>
  </si>
  <si>
    <t>전남 순천시 별량면 흑가길 6</t>
  </si>
  <si>
    <t>전라남도 나주시 전력로 55</t>
  </si>
  <si>
    <t>전북 남원시 대산면</t>
  </si>
  <si>
    <t>전북 부안군 부안읍</t>
  </si>
  <si>
    <t>전북 전주시 덕진구 기지로 180</t>
  </si>
  <si>
    <t>충남 금산군 금성면 의총길 25</t>
  </si>
  <si>
    <t>충남 서천군</t>
  </si>
  <si>
    <t>충남 천안시 동남구 백석대학로 1-19</t>
  </si>
  <si>
    <t>충남 천안시 동남구 성남면 소노로 1</t>
  </si>
  <si>
    <t>충남 천안시 동남구 수신면</t>
  </si>
  <si>
    <t>충북 청주시</t>
  </si>
  <si>
    <t>충북 청주시 서원구 구룡산로 357</t>
  </si>
  <si>
    <t>충북 청주시 서원구 궁뜰로 42번길 4</t>
  </si>
  <si>
    <t>충북 청주시 서원구 충대로 1</t>
  </si>
  <si>
    <t>충북 청주시 흥덕구 오송읍 연제1길 24-35</t>
  </si>
  <si>
    <t>충북 충주시 수안보면</t>
  </si>
  <si>
    <t>충청북도 진천군 덕산읍 교학로 30</t>
  </si>
  <si>
    <t>기타(선박)</t>
  </si>
  <si>
    <t>경기 수원시</t>
  </si>
  <si>
    <t>부산 영도구</t>
  </si>
  <si>
    <t>충북 제천시 한수면 미륵송계로 1564</t>
  </si>
  <si>
    <t>제주지부</t>
  </si>
  <si>
    <t>회사 목록(관리용)</t>
  </si>
  <si>
    <t>Scope 3 배출량 산정 템플릿</t>
  </si>
  <si>
    <t>공연공</t>
  </si>
  <si>
    <t>기업 정보 입력</t>
  </si>
  <si>
    <t>- 아래에 적용 기업명을 선택하면, 각 카테고리 시트(C5 폐기물 종류 등) 상단의 '*적용 기업명' 칸과 상세명 자동 매칭에 함께 반영됩니다.</t>
  </si>
  <si>
    <t>※ 새 회사를 추가하려면 이 시트 E열에 회사명을 한 줄 추가한 뒤 여기서 선택하세요. 그 회사의 실제 매핑 데이터는 '회사별_폐기물매핑'·'회사별_교통수단매핑' 시트 A~C열에 별도로 추가해야 자동 매칭이 동작합니다.</t>
  </si>
  <si>
    <t>DD_PURCHASE_GROUP</t>
  </si>
  <si>
    <t>DD_ENERGY</t>
  </si>
  <si>
    <t>DD_ENERGY_UNIT</t>
  </si>
  <si>
    <t>DD_TRANSPORT_DISTANCE</t>
  </si>
  <si>
    <t>DD_TRANSPORT_SPEND</t>
  </si>
  <si>
    <t>DD_TRAVEL_DISTANCE</t>
  </si>
  <si>
    <t>DD_TRAVEL_SPEND</t>
  </si>
  <si>
    <t>DD_WASTE_C5_TYPE</t>
  </si>
  <si>
    <t>DD_WASTE_METHOD</t>
  </si>
  <si>
    <t>DD_WASTE_UNIT</t>
  </si>
  <si>
    <t>DD_TRANSPORT_WEIGHT_UNIT</t>
  </si>
  <si>
    <t>C6/C7 거리기반 상세 매핑</t>
  </si>
  <si>
    <t>C1/C2 구매·자본재 품목군</t>
  </si>
  <si>
    <t>C3/C8/C11/C13/C14 에너지명</t>
  </si>
  <si>
    <t>에너지 기준단위</t>
  </si>
  <si>
    <t>C4/C9 거리기반 운송수단</t>
  </si>
  <si>
    <t>C4/C9 금액기반 운송항목</t>
  </si>
  <si>
    <t>C6/C7 거리기반 교통수단</t>
  </si>
  <si>
    <t>C6 금액기반 출장항목</t>
  </si>
  <si>
    <t>C5 폐기물 종류</t>
  </si>
  <si>
    <t>폐기물 처리방법</t>
  </si>
  <si>
    <t>폐기물 중량단위</t>
  </si>
  <si>
    <t>운송 중량단위</t>
  </si>
  <si>
    <t>표시값(드롭다운)</t>
  </si>
  <si>
    <t>표준코드</t>
  </si>
  <si>
    <t>DEFRA Type</t>
  </si>
  <si>
    <t>매핑 키워드</t>
  </si>
  <si>
    <t>원재료/부자재</t>
  </si>
  <si>
    <t>도시가스(LNG)</t>
  </si>
  <si>
    <t>kWh</t>
  </si>
  <si>
    <t>도로 운송 (일반화물트럭)</t>
  </si>
  <si>
    <t>항공 운송(여객·화물·전세)</t>
  </si>
  <si>
    <t>항공(국제선 평균)</t>
  </si>
  <si>
    <t>항공권(여객·전세)</t>
  </si>
  <si>
    <t>음식물류 폐기물</t>
  </si>
  <si>
    <t>매립</t>
  </si>
  <si>
    <t>kg</t>
  </si>
  <si>
    <t>flight</t>
  </si>
  <si>
    <t>International, non-UK - Average passenger</t>
  </si>
  <si>
    <t>항공,비행기,비행,airplane,flight,국제선,해외출장</t>
  </si>
  <si>
    <t>포장재</t>
  </si>
  <si>
    <t>천연가스(LNG)</t>
  </si>
  <si>
    <t>GJ</t>
  </si>
  <si>
    <t>도로 운송 (택배·소화물)</t>
  </si>
  <si>
    <t>철도 운송</t>
  </si>
  <si>
    <t>택시·리무진 비용</t>
  </si>
  <si>
    <t>폐지류</t>
  </si>
  <si>
    <t>소각</t>
  </si>
  <si>
    <t>ton</t>
  </si>
  <si>
    <t>flight_dom</t>
  </si>
  <si>
    <t>Domestic, to/from UK - Average</t>
  </si>
  <si>
    <t>국내선,국내항공,국내비행,domestic</t>
  </si>
  <si>
    <t>사무용품</t>
  </si>
  <si>
    <t>CNG(차량)</t>
  </si>
  <si>
    <t>L</t>
  </si>
  <si>
    <t>해상 운송(원양)</t>
  </si>
  <si>
    <t>페리</t>
  </si>
  <si>
    <t>시외버스·고속버스 요금</t>
  </si>
  <si>
    <t>폐플라스틱류</t>
  </si>
  <si>
    <t>재활용</t>
  </si>
  <si>
    <t>ferry</t>
  </si>
  <si>
    <t>Average (all passenger)</t>
  </si>
  <si>
    <t>페리,ferry,선박,배</t>
  </si>
  <si>
    <t>탕비·식음료</t>
  </si>
  <si>
    <t>LNG(차량)</t>
  </si>
  <si>
    <t>해상 운송 (컨테이너선)</t>
  </si>
  <si>
    <t>내륙 수로 화물</t>
  </si>
  <si>
    <t>버스</t>
  </si>
  <si>
    <t>기차·KTX 요금</t>
  </si>
  <si>
    <t>폐목재류</t>
  </si>
  <si>
    <t>기타</t>
  </si>
  <si>
    <t>bus</t>
  </si>
  <si>
    <t>Average local bus</t>
  </si>
  <si>
    <t>버스,bus,고속버스,시외버스,시내버스,광역버스,전세버스,셔틀</t>
  </si>
  <si>
    <t>IT장비</t>
  </si>
  <si>
    <t>LPG(차량)</t>
  </si>
  <si>
    <t>Nm³</t>
  </si>
  <si>
    <t>해상 운송 (벌크선)</t>
  </si>
  <si>
    <t>화물 트럭(지역·이사)</t>
  </si>
  <si>
    <t>장거리버스/코치</t>
  </si>
  <si>
    <t>렌터카·렌트 트럭</t>
  </si>
  <si>
    <t>폐섬유류</t>
  </si>
  <si>
    <t>coach</t>
  </si>
  <si>
    <t>Coach</t>
  </si>
  <si>
    <t>코치,장거리버스,express bus</t>
  </si>
  <si>
    <t>사무가구·비품</t>
  </si>
  <si>
    <t>도시가스(LPG)</t>
  </si>
  <si>
    <t>항공 운송</t>
  </si>
  <si>
    <t>장거리 화물 트럭 (차량단위)</t>
  </si>
  <si>
    <t>철도/KTX/SRT</t>
  </si>
  <si>
    <t>숙박비(호텔·게스트하우스 등)</t>
  </si>
  <si>
    <t>폐유리류</t>
  </si>
  <si>
    <t>train</t>
  </si>
  <si>
    <t>National rail</t>
  </si>
  <si>
    <t>기차,KTX,SRT,ITX,새마을,무궁화,열차,철도</t>
  </si>
  <si>
    <t>시설·유지보수</t>
  </si>
  <si>
    <t>액화석유가스(LPG)</t>
  </si>
  <si>
    <t>내륙수로 운송</t>
  </si>
  <si>
    <t>장거리 화물 트럭 (혼재)</t>
  </si>
  <si>
    <t>지하철/도시철도</t>
  </si>
  <si>
    <t>폐금속류</t>
  </si>
  <si>
    <t>subway</t>
  </si>
  <si>
    <t>London Underground / Metro</t>
  </si>
  <si>
    <t>지하철,subway,metro,전철,도시철도</t>
  </si>
  <si>
    <t>외주·서비스</t>
  </si>
  <si>
    <t>경유</t>
  </si>
  <si>
    <t>특수화물 트럭 (장거리)</t>
  </si>
  <si>
    <t>택시</t>
  </si>
  <si>
    <t>오니류</t>
  </si>
  <si>
    <t>taxi</t>
  </si>
  <si>
    <t>Regular taxi</t>
  </si>
  <si>
    <t>택시,taxi,cab,카카오t,카카오택시,우버,uber</t>
  </si>
  <si>
    <t>에너지·유틸리티</t>
  </si>
  <si>
    <t>실내 등유</t>
  </si>
  <si>
    <t>복합 대중교통</t>
  </si>
  <si>
    <t>승용차(평균)</t>
  </si>
  <si>
    <t>폐전기전자제품</t>
  </si>
  <si>
    <t>car</t>
  </si>
  <si>
    <t>Average car</t>
  </si>
  <si>
    <t>승용차,자가용,car,차량,렌터카,자동차</t>
  </si>
  <si>
    <t>차량·운송장비</t>
  </si>
  <si>
    <t>항공유</t>
  </si>
  <si>
    <t>버스(대중교통·통근·전세)</t>
  </si>
  <si>
    <t>하이브리드차</t>
  </si>
  <si>
    <t>폐배터리</t>
  </si>
  <si>
    <t>car_hybrid</t>
  </si>
  <si>
    <t>PHEV - Method 2</t>
  </si>
  <si>
    <t>하이브리드,hybrid,HEV,PHEV,플러그인하이브리드</t>
  </si>
  <si>
    <t>생산설비</t>
  </si>
  <si>
    <t>휘발유</t>
  </si>
  <si>
    <t>기타 도시교통</t>
  </si>
  <si>
    <t>전기차</t>
  </si>
  <si>
    <t>폐유류</t>
  </si>
  <si>
    <t>car_ev</t>
  </si>
  <si>
    <t>BEV</t>
  </si>
  <si>
    <t>전기차,전기자동차,EV,BEV,테슬라,아이오닉,EV6</t>
  </si>
  <si>
    <t>안전·위생</t>
  </si>
  <si>
    <t>전력</t>
  </si>
  <si>
    <t>도시간·농촌 버스</t>
  </si>
  <si>
    <t>오토바이</t>
  </si>
  <si>
    <t>폐콘크리트류</t>
  </si>
  <si>
    <t>motorcycle</t>
  </si>
  <si>
    <t>Average</t>
  </si>
  <si>
    <t>오토바이,motorcycle,바이크</t>
  </si>
  <si>
    <t>건설자재</t>
  </si>
  <si>
    <t>열(스팀)</t>
  </si>
  <si>
    <t>택시·리무진</t>
  </si>
  <si>
    <t>도보/자전거</t>
  </si>
  <si>
    <t>폐고무/피혁류</t>
  </si>
  <si>
    <t>walk</t>
  </si>
  <si>
    <t>도보·자전거</t>
  </si>
  <si>
    <t>도보,자전거,walk,bicycle,bike</t>
  </si>
  <si>
    <t>통신·미디어</t>
  </si>
  <si>
    <t>선택안함</t>
  </si>
  <si>
    <t>원유 파이프라인</t>
  </si>
  <si>
    <t>지정폐기물</t>
  </si>
  <si>
    <t>여행·숙박</t>
  </si>
  <si>
    <t>화물운송 주선 (포워딩)</t>
  </si>
  <si>
    <t>택배·퀵배송</t>
  </si>
  <si>
    <t>[전체 평균]</t>
  </si>
  <si>
    <t>지역 배달</t>
  </si>
  <si>
    <t>※ 본 시트의 드롭다운 목록은 업로드된 「배출계수_통합_DB」의 각 시트 값을 기준으로 생성했습니다. 템플릿의 입력값과 DB 기준명이 다른 경우에는 「드롭다운_매핑검토」의 매핑표를 참고하세요.</t>
  </si>
  <si>
    <t>구분</t>
  </si>
  <si>
    <t>템플릿 시트/범위</t>
  </si>
  <si>
    <t>기존 드롭다운/예시값</t>
  </si>
  <si>
    <t>DB 기준 변경값</t>
  </si>
  <si>
    <t>조치</t>
  </si>
  <si>
    <t>구매/자본재</t>
  </si>
  <si>
    <t>C1 D20:D219, C2 D20:D219</t>
  </si>
  <si>
    <t>기존 품목군/자산분류 일부</t>
  </si>
  <si>
    <t>구매_USEPA!품목군 기준</t>
  </si>
  <si>
    <t>DB 품목군으로 통일</t>
  </si>
  <si>
    <t>에너지</t>
  </si>
  <si>
    <t>전기, 스팀, LPG 등</t>
  </si>
  <si>
    <t>에너지!활동유형(에너지원) 기준</t>
  </si>
  <si>
    <t>전기→전력, 스팀→열(스팀), LPG→액화석유가스(LPG) 등 매핑</t>
  </si>
  <si>
    <t>에너지 단위</t>
  </si>
  <si>
    <t>에너지 단위 컬럼</t>
  </si>
  <si>
    <t>m3, Nm3 등</t>
  </si>
  <si>
    <t>에너지!투입량 기준단위 기준</t>
  </si>
  <si>
    <t>Nm³ 등 DB 표기 통일</t>
  </si>
  <si>
    <t>운송 거리기반</t>
  </si>
  <si>
    <t>C4-1/C9-1 운송수단</t>
  </si>
  <si>
    <t>도로/해상/항공/철도</t>
  </si>
  <si>
    <t>운송!운송수단(EPD 원본명) 기준</t>
  </si>
  <si>
    <t>세부 EF 단위로 상세화 및 내륙수로 추가</t>
  </si>
  <si>
    <t>운송 금액기반</t>
  </si>
  <si>
    <t>C4-2/C9-2 운송수단</t>
  </si>
  <si>
    <t>운송_Spend!한국어 품목명 기준</t>
  </si>
  <si>
    <t>화물트럭 운송, 정기 항공화물 등으로 상세화 → 이후 배출계수(EF)가 완전히 동일한 항목끼리 재통합 (27→17개, 배출계수_통합_DB.xlsx의 운송_Spend 시트도 동일 기준으로 병합)</t>
  </si>
  <si>
    <t>출장/통근 거리기반</t>
  </si>
  <si>
    <t>C6-1/C7 교통수단</t>
  </si>
  <si>
    <t>자동차, 철도(KTX/SRT) 등</t>
  </si>
  <si>
    <t>출장_통근!표준코드/키워드 기준</t>
  </si>
  <si>
    <t>DB 표준코드와 연결되는 한국어 표시값으로 정리 → 실사용 데이터(공연공 실적 1,200여 행) 기준 33개 중 실제로 쓰인 건 9개뿐이라, 좌석등급·차량크기 등 세부 구분(비즈니스/이코노미, 소형/중형/대형 등)을 13개로 축소(파이프라인 TRAVEL_EF_MAP의 세부 EF 코드 자체는 그대로 보존, 드롭다운만 정리)</t>
  </si>
  <si>
    <t>출장비</t>
  </si>
  <si>
    <t>C6-2 출장항목</t>
  </si>
  <si>
    <t>항공/철도/택시/렌터카/숙박/기타</t>
  </si>
  <si>
    <t>출장_Spend!한국어 품목명 기준</t>
  </si>
  <si>
    <t>여객 항공권, 기차·KTX 요금 등으로 상세화 → EF가 동일한 항목 병합 + 식비/통신비(DB에 배출계수 없음) 제거로 14→6개 축소, 배출계수_통합_DB.xlsx의 출장_Spend 시트도 동일 기준으로 병합</t>
  </si>
  <si>
    <t>사업장폐기물</t>
  </si>
  <si>
    <t>C5 폐기물종류/처리방법</t>
  </si>
  <si>
    <t>템플릿 임의목록</t>
  </si>
  <si>
    <t>폐기물_C5 기준</t>
  </si>
  <si>
    <t>DB에 없는 항목은 지정폐기물/기타 등으로 매핑</t>
  </si>
  <si>
    <t>판매제품폐기</t>
  </si>
  <si>
    <t>C12 대/중/소분류</t>
  </si>
  <si>
    <t>기존 전체 법정 분류 목록</t>
  </si>
  <si>
    <t>폐기물_C12에 계수 있는 항목만</t>
  </si>
  <si>
    <t>소분류까지 DB 보유 항목 중심으로 축소·재구성</t>
  </si>
  <si>
    <t>회사별 자동매칭</t>
  </si>
  <si>
    <t>C5 폐기물종류 / C6-1·C7 교통수단</t>
  </si>
  <si>
    <t>(신규 기능)</t>
  </si>
  <si>
    <t>'회사별_폐기물매핑'/'회사별_교통수단매핑' 시트</t>
  </si>
  <si>
    <t>표지(기업정보)에서 회사 선택 → 상세명(E열/Y열) 입력 시 표준값이 자동 매칭되는 수식 추가. 회사 목록은 '기업정보' 시트 E열에서 관리하고, 두 매핑 시트는 그 값을 그대로 참조</t>
  </si>
  <si>
    <t>항공 거리계산(C6-1/C7)</t>
  </si>
  <si>
    <t>get_distance_km(mode="air")</t>
  </si>
  <si>
    <t>주소 기준 직선거리 × 1.05</t>
  </si>
  <si>
    <t>Climatiq/ICAO/DEFRA 벤치마킹 결과</t>
  </si>
  <si>
    <t>출도착지가 공항이 아니라 주소·지명이면 AI가 그 지역의 가까운 주요 공항으로 치환한 뒤 공항-공항 간 거리로 계산하도록 수정, 우회보정 계수도 1.05 → 1.09로 상향</t>
  </si>
  <si>
    <t>주요 기존값 → DB 기준값 매핑</t>
  </si>
  <si>
    <t>매핑그룹</t>
  </si>
  <si>
    <t>기존값</t>
  </si>
  <si>
    <t>DB 기준값</t>
  </si>
  <si>
    <t>purchase_group</t>
  </si>
  <si>
    <t>원재료</t>
  </si>
  <si>
    <t>부자재</t>
  </si>
  <si>
    <t>종이/인쇄물</t>
  </si>
  <si>
    <t>IT/전자장비</t>
  </si>
  <si>
    <t>소모품</t>
  </si>
  <si>
    <t>화학물질</t>
  </si>
  <si>
    <t>금속/철강</t>
  </si>
  <si>
    <t>플라스틱/고무</t>
  </si>
  <si>
    <t>섬유/의류</t>
  </si>
  <si>
    <t>식음료</t>
  </si>
  <si>
    <t>운송/물류서비스</t>
  </si>
  <si>
    <t>전문서비스</t>
  </si>
  <si>
    <t>유지보수/수리서비스</t>
  </si>
  <si>
    <t>외주가공</t>
  </si>
  <si>
    <t>capital_group</t>
  </si>
  <si>
    <t>건물/구축물</t>
  </si>
  <si>
    <t>기계장치</t>
  </si>
  <si>
    <t>전기설비</t>
  </si>
  <si>
    <t>공조/냉난방설비</t>
  </si>
  <si>
    <t>차량운반구</t>
  </si>
  <si>
    <t>공구와기구</t>
  </si>
  <si>
    <t>금형/치공구</t>
  </si>
  <si>
    <t>비품</t>
  </si>
  <si>
    <t>전기전자장비</t>
  </si>
  <si>
    <t>연구/시험장비</t>
  </si>
  <si>
    <t>물류/운반장비</t>
  </si>
  <si>
    <t>소프트웨어/시스템</t>
  </si>
  <si>
    <t>energy</t>
  </si>
  <si>
    <t>전기</t>
  </si>
  <si>
    <t>스팀</t>
  </si>
  <si>
    <t>스팀(열병합발전)</t>
  </si>
  <si>
    <t>도시가스</t>
  </si>
  <si>
    <t>천연가스</t>
  </si>
  <si>
    <t>LNG</t>
  </si>
  <si>
    <t>CNG</t>
  </si>
  <si>
    <t>LPG</t>
  </si>
  <si>
    <t>액화석유가스</t>
  </si>
  <si>
    <t>등유</t>
  </si>
  <si>
    <t>보일러 등유</t>
  </si>
  <si>
    <t>transport_distance</t>
  </si>
  <si>
    <t>도로</t>
  </si>
  <si>
    <t>택배</t>
  </si>
  <si>
    <t>소화물</t>
  </si>
  <si>
    <t>철도</t>
  </si>
  <si>
    <t>해상</t>
  </si>
  <si>
    <t>벌크선</t>
  </si>
  <si>
    <t>항공</t>
  </si>
  <si>
    <t>내륙수로</t>
  </si>
  <si>
    <t>transport_spend</t>
  </si>
  <si>
    <t>트럭</t>
  </si>
  <si>
    <t>창고</t>
  </si>
  <si>
    <t>(DB에 해당 항목 없음 - 창고/보관은 운송 배출계수 대상 아님)</t>
  </si>
  <si>
    <t>보관</t>
  </si>
  <si>
    <t>대중교통</t>
  </si>
  <si>
    <t>travel_distance</t>
  </si>
  <si>
    <t>자동차(내연기관)</t>
  </si>
  <si>
    <t>승용차</t>
  </si>
  <si>
    <t>자가용</t>
  </si>
  <si>
    <t>통근버스</t>
  </si>
  <si>
    <t>지하철</t>
  </si>
  <si>
    <t>철도(기타)</t>
  </si>
  <si>
    <t>국제선 단거리</t>
  </si>
  <si>
    <t>국제선 장거리</t>
  </si>
  <si>
    <t>렌터카</t>
  </si>
  <si>
    <t>도보</t>
  </si>
  <si>
    <t>자전거</t>
  </si>
  <si>
    <t>travel_spend</t>
  </si>
  <si>
    <t>항공권</t>
  </si>
  <si>
    <t>기차</t>
  </si>
  <si>
    <t>숙박</t>
  </si>
  <si>
    <t>식비</t>
  </si>
  <si>
    <t>(제거됨 - DB에 배출계수 없음, 드롭다운에서 삭제)</t>
  </si>
  <si>
    <t>waste_c5</t>
  </si>
  <si>
    <t>폐페인트/폐래커</t>
  </si>
  <si>
    <t>폐유기용제</t>
  </si>
  <si>
    <t>의료폐기물</t>
  </si>
  <si>
    <t>유해폐기물</t>
  </si>
  <si>
    <t>혼합폐기물</t>
  </si>
  <si>
    <t>폐콘크리트</t>
  </si>
  <si>
    <t>unit</t>
  </si>
  <si>
    <t>m3</t>
  </si>
  <si>
    <t>Nm3</t>
  </si>
  <si>
    <t>m³</t>
  </si>
  <si>
    <t>㎥</t>
  </si>
  <si>
    <t>NM3</t>
  </si>
  <si>
    <t>nm3</t>
  </si>
  <si>
    <t>kwh</t>
  </si>
  <si>
    <t>KWH</t>
  </si>
  <si>
    <t>KWh</t>
  </si>
  <si>
    <t>톤</t>
  </si>
  <si>
    <t>KG</t>
  </si>
  <si>
    <t>l</t>
  </si>
  <si>
    <t>MJ</t>
  </si>
  <si>
    <t>회사명</t>
  </si>
  <si>
    <t>상세 교통수단명</t>
  </si>
  <si>
    <t>표준 교통수단</t>
  </si>
  <si>
    <t>회사 목록(드롭다운용)</t>
  </si>
  <si>
    <t>'예시기업'는 형식을 보여주는 예시입니다. 회사 목록은 이 시트가 아니라 '기업정보' 시트의 E열에서 관리합니다(이 시트 E열은 그 값을 그대로 표시). 새 회사를 추가하려면: ① 이 시트 A~C열에 그 회사의 '상세 교통수단명 → 표준 교통수단' 행을 추가하고 ② '기업정보' 시트 E열에 회사명을 한 줄 추가하세요. 표준 교통수단은 반드시 '배출계수_드롭다운' 시트 F열(DD_TRAVEL_DISTANCE) 목록 값과 똑같이 입력해야 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</si>
</sst>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Carlito"/>
    </font>
    <font>
      <b/>
      <sz val="16"/>
      <color rgb="FF000000"/>
      <name val="Carlito"/>
    </font>
    <font>
      <b/>
      <sz val="10"/>
      <name val="Carlito"/>
    </font>
    <font>
      <sz val="9"/>
      <name val="Carlito"/>
    </font>
    <font>
      <b/>
      <sz val="9"/>
      <color rgb="FFFF0000"/>
      <name val="Carlito"/>
    </font>
    <font>
      <b/>
      <sz val="11"/>
      <name val="Carlito"/>
    </font>
    <font>
      <sz val="11"/>
      <color rgb="FF7F7F7F"/>
      <name val="Carlito"/>
    </font>
    <font>
      <sz val="11"/>
      <name val="Carlito"/>
    </font>
    <font>
      <sz val="8"/>
      <name val="돋움"/>
      <family val="3"/>
      <charset val="129"/>
    </font>
    <font>
      <sz val="9"/>
      <name val="Carlito"/>
      <family val="3"/>
      <charset val="129"/>
    </font>
    <font>
      <b/>
      <sz val="1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FF0000"/>
      <name val="Carlito"/>
      <family val="3"/>
      <charset val="129"/>
    </font>
    <font>
      <b/>
      <sz val="11"/>
      <color rgb="FFFFFFFF"/>
      <name val="Carlito"/>
    </font>
    <font>
      <b/>
      <sz val="11"/>
      <name val="Carlito"/>
    </font>
    <font>
      <b/>
      <sz val="13"/>
      <name val="Carlito"/>
    </font>
    <font>
      <i/>
      <sz val="11"/>
      <color rgb="FF666666"/>
      <name val="Carlito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11"/>
      <name val="Carlito"/>
      <family val="3"/>
      <charset val="129"/>
    </font>
    <font>
      <sz val="11"/>
      <name val="Carlito"/>
      <family val="2"/>
    </font>
  </fonts>
  <fills count="1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4472C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7" fillId="0" borderId="0"/>
  </cellStyleXfs>
  <cellXfs count="57">
    <xf numFmtId="0" fontId="0" fillId="0" borderId="0" xfId="0"/>
    <xf numFmtId="0" fontId="1" fillId="0" borderId="0" xfId="1" applyFont="1"/>
    <xf numFmtId="0" fontId="2" fillId="0" borderId="0" xfId="1" applyFont="1"/>
    <xf numFmtId="0" fontId="6" fillId="0" borderId="1" xfId="1" applyFont="1" applyBorder="1" applyAlignment="1">
      <alignment vertical="center" wrapText="1"/>
    </xf>
    <xf numFmtId="0" fontId="6" fillId="2" borderId="1" xfId="1" applyFont="1" applyFill="1" applyBorder="1" applyAlignment="1">
      <alignment vertical="center" wrapText="1"/>
    </xf>
    <xf numFmtId="0" fontId="0" fillId="3" borderId="1" xfId="1" applyFont="1" applyFill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2" borderId="1" xfId="1" applyFont="1" applyFill="1" applyBorder="1" applyAlignment="1">
      <alignment vertical="center" wrapText="1"/>
    </xf>
    <xf numFmtId="0" fontId="0" fillId="4" borderId="1" xfId="1" applyFont="1" applyFill="1" applyBorder="1" applyAlignment="1">
      <alignment vertical="center" wrapText="1"/>
    </xf>
    <xf numFmtId="0" fontId="3" fillId="0" borderId="0" xfId="1" applyFont="1"/>
    <xf numFmtId="0" fontId="4" fillId="0" borderId="0" xfId="1" applyFont="1"/>
    <xf numFmtId="0" fontId="6" fillId="5" borderId="1" xfId="1" applyFont="1" applyFill="1" applyBorder="1" applyAlignment="1">
      <alignment vertical="center" wrapText="1"/>
    </xf>
    <xf numFmtId="0" fontId="0" fillId="5" borderId="1" xfId="1" applyFont="1" applyFill="1" applyBorder="1" applyAlignment="1">
      <alignment vertical="center" wrapText="1"/>
    </xf>
    <xf numFmtId="0" fontId="0" fillId="6" borderId="1" xfId="1" applyFont="1" applyFill="1" applyBorder="1"/>
    <xf numFmtId="0" fontId="5" fillId="6" borderId="1" xfId="1" applyFont="1" applyFill="1" applyBorder="1" applyAlignment="1">
      <alignment horizontal="center"/>
    </xf>
    <xf numFmtId="0" fontId="5" fillId="6" borderId="1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12" fillId="0" borderId="0" xfId="1" applyFont="1"/>
    <xf numFmtId="0" fontId="9" fillId="0" borderId="0" xfId="1" applyFont="1"/>
    <xf numFmtId="0" fontId="13" fillId="7" borderId="5" xfId="0" applyFont="1" applyFill="1" applyBorder="1" applyAlignment="1">
      <alignment vertical="top" wrapText="1"/>
    </xf>
    <xf numFmtId="0" fontId="13" fillId="9" borderId="0" xfId="0" applyFont="1" applyFill="1"/>
    <xf numFmtId="0" fontId="14" fillId="8" borderId="5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3" fillId="10" borderId="0" xfId="0" applyFont="1" applyFill="1" applyAlignment="1">
      <alignment horizontal="center" vertical="center"/>
    </xf>
    <xf numFmtId="0" fontId="15" fillId="0" borderId="0" xfId="0" applyFont="1"/>
    <xf numFmtId="0" fontId="13" fillId="11" borderId="0" xfId="0" applyFont="1" applyFill="1"/>
    <xf numFmtId="0" fontId="11" fillId="0" borderId="0" xfId="1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4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5" xfId="0" applyFont="1" applyBorder="1" applyAlignment="1">
      <alignment vertical="top" wrapText="1"/>
    </xf>
    <xf numFmtId="0" fontId="18" fillId="0" borderId="0" xfId="0" applyFont="1"/>
    <xf numFmtId="0" fontId="19" fillId="0" borderId="0" xfId="0" applyFont="1"/>
    <xf numFmtId="0" fontId="7" fillId="4" borderId="1" xfId="1" applyFill="1" applyBorder="1" applyAlignment="1">
      <alignment vertical="center" wrapText="1"/>
    </xf>
    <xf numFmtId="0" fontId="7" fillId="3" borderId="1" xfId="1" applyFill="1" applyBorder="1" applyAlignment="1">
      <alignment vertical="center" wrapText="1"/>
    </xf>
    <xf numFmtId="0" fontId="18" fillId="3" borderId="1" xfId="1" applyFont="1" applyFill="1" applyBorder="1" applyAlignment="1">
      <alignment vertical="center" wrapText="1"/>
    </xf>
    <xf numFmtId="0" fontId="20" fillId="0" borderId="1" xfId="0" applyFont="1" applyBorder="1"/>
    <xf numFmtId="0" fontId="20" fillId="5" borderId="1" xfId="1" applyFont="1" applyFill="1" applyBorder="1" applyAlignment="1">
      <alignment vertical="center" wrapText="1"/>
    </xf>
    <xf numFmtId="0" fontId="17" fillId="0" borderId="1" xfId="0" applyFont="1" applyBorder="1"/>
    <xf numFmtId="0" fontId="5" fillId="6" borderId="1" xfId="1" applyFont="1" applyFill="1" applyBorder="1" applyAlignment="1">
      <alignment horizontal="center" vertical="center" wrapText="1"/>
    </xf>
    <xf numFmtId="0" fontId="0" fillId="0" borderId="2" xfId="0" applyBorder="1"/>
    <xf numFmtId="0" fontId="5" fillId="6" borderId="1" xfId="0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3" fillId="9" borderId="0" xfId="0" applyFont="1" applyFill="1"/>
    <xf numFmtId="0" fontId="0" fillId="0" borderId="0" xfId="0"/>
    <xf numFmtId="0" fontId="16" fillId="0" borderId="0" xfId="0" applyFont="1" applyAlignment="1">
      <alignment wrapText="1"/>
    </xf>
    <xf numFmtId="0" fontId="0" fillId="12" borderId="1" xfId="1" applyFont="1" applyFill="1" applyBorder="1" applyAlignment="1">
      <alignment vertical="center" wrapText="1"/>
    </xf>
    <xf numFmtId="0" fontId="18" fillId="12" borderId="1" xfId="1" applyFont="1" applyFill="1" applyBorder="1" applyAlignment="1">
      <alignment vertical="center" wrapText="1"/>
    </xf>
    <xf numFmtId="0" fontId="20" fillId="12" borderId="1" xfId="1" applyFont="1" applyFill="1" applyBorder="1" applyAlignment="1">
      <alignment vertical="center" wrapText="1"/>
    </xf>
    <xf numFmtId="0" fontId="20" fillId="12" borderId="1" xfId="0" applyFont="1" applyFill="1" applyBorder="1"/>
  </cellXfs>
  <cellStyles count="2">
    <cellStyle name="Normal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7"/>
  <sheetViews>
    <sheetView workbookViewId="0">
      <selection activeCell="C7" sqref="C7"/>
    </sheetView>
  </sheetViews>
  <sheetFormatPr defaultRowHeight="14.25"/>
  <cols>
    <col min="2" max="3" width="16" customWidth="1"/>
    <col min="4" max="4" width="70" customWidth="1"/>
    <col min="5" max="5" width="22" customWidth="1"/>
  </cols>
  <sheetData>
    <row r="1" spans="2:5" ht="15">
      <c r="E1" s="30" t="s">
        <v>533</v>
      </c>
    </row>
    <row r="2" spans="2:5" ht="20.25" customHeight="1">
      <c r="B2" s="27" t="s">
        <v>534</v>
      </c>
      <c r="E2" t="s">
        <v>535</v>
      </c>
    </row>
    <row r="4" spans="2:5">
      <c r="B4" s="28" t="s">
        <v>536</v>
      </c>
    </row>
    <row r="5" spans="2:5">
      <c r="B5" s="29" t="s">
        <v>537</v>
      </c>
    </row>
    <row r="7" spans="2:5" ht="15" customHeight="1">
      <c r="B7" s="30" t="s">
        <v>9</v>
      </c>
      <c r="C7" s="31" t="s">
        <v>535</v>
      </c>
      <c r="D7" s="32" t="s">
        <v>538</v>
      </c>
    </row>
  </sheetData>
  <phoneticPr fontId="8" type="noConversion"/>
  <dataValidations count="1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C7" xr:uid="{00000000-0002-0000-0000-000000000000}">
      <formula1>DD_APPLIED_COMPANY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630"/>
  <sheetViews>
    <sheetView tabSelected="1" zoomScale="80" zoomScaleNormal="80" workbookViewId="0">
      <selection activeCell="AA29" sqref="AA29"/>
    </sheetView>
  </sheetViews>
  <sheetFormatPr defaultRowHeight="14.25"/>
  <cols>
    <col min="2" max="2" width="11.75" customWidth="1"/>
    <col min="3" max="3" width="16" customWidth="1"/>
    <col min="4" max="4" width="18" customWidth="1"/>
    <col min="5" max="5" width="10" customWidth="1"/>
    <col min="6" max="6" width="39.875" customWidth="1"/>
    <col min="7" max="7" width="41.875" customWidth="1"/>
    <col min="8" max="8" width="18" customWidth="1"/>
    <col min="9" max="9" width="16" customWidth="1"/>
    <col min="10" max="21" width="8" customWidth="1"/>
    <col min="22" max="23" width="18" customWidth="1"/>
    <col min="24" max="24" width="16" customWidth="1"/>
    <col min="25" max="25" width="20" customWidth="1"/>
  </cols>
  <sheetData>
    <row r="2" spans="2:3" ht="20.25" customHeight="1">
      <c r="B2" s="1" t="s">
        <v>0</v>
      </c>
    </row>
    <row r="4" spans="2:3">
      <c r="B4" s="2" t="s">
        <v>1</v>
      </c>
    </row>
    <row r="5" spans="2:3">
      <c r="B5" s="9" t="s">
        <v>2</v>
      </c>
    </row>
    <row r="6" spans="2:3">
      <c r="B6" s="9" t="s">
        <v>3</v>
      </c>
    </row>
    <row r="9" spans="2:3">
      <c r="B9" s="2" t="s">
        <v>4</v>
      </c>
    </row>
    <row r="10" spans="2:3">
      <c r="B10" s="18" t="s">
        <v>5</v>
      </c>
    </row>
    <row r="11" spans="2:3">
      <c r="B11" s="18" t="s">
        <v>6</v>
      </c>
    </row>
    <row r="12" spans="2:3">
      <c r="B12" s="18" t="s">
        <v>7</v>
      </c>
    </row>
    <row r="13" spans="2:3">
      <c r="B13" s="9" t="s">
        <v>8</v>
      </c>
    </row>
    <row r="14" spans="2:3" ht="15" customHeight="1">
      <c r="B14" s="30" t="s">
        <v>9</v>
      </c>
      <c r="C14" s="33" t="str">
        <f>기업정보!$C$7</f>
        <v>공연공</v>
      </c>
    </row>
    <row r="15" spans="2:3">
      <c r="B15" s="32" t="s">
        <v>10</v>
      </c>
    </row>
    <row r="16" spans="2:3">
      <c r="B16" s="10" t="s">
        <v>11</v>
      </c>
    </row>
    <row r="17" spans="2:25">
      <c r="B17" s="17" t="s">
        <v>12</v>
      </c>
    </row>
    <row r="18" spans="2:25" ht="15" customHeight="1">
      <c r="B18" s="26" t="s">
        <v>13</v>
      </c>
    </row>
    <row r="19" spans="2:25" ht="15" customHeight="1">
      <c r="B19" s="44" t="s">
        <v>14</v>
      </c>
      <c r="C19" s="44" t="s">
        <v>15</v>
      </c>
      <c r="D19" s="44" t="s">
        <v>16</v>
      </c>
      <c r="E19" s="44" t="s">
        <v>17</v>
      </c>
      <c r="F19" s="47" t="s">
        <v>18</v>
      </c>
      <c r="G19" s="48"/>
      <c r="H19" s="13"/>
      <c r="I19" s="14" t="s">
        <v>19</v>
      </c>
      <c r="J19" s="47" t="s">
        <v>20</v>
      </c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8"/>
      <c r="V19" s="44" t="s">
        <v>21</v>
      </c>
      <c r="W19" s="44" t="s">
        <v>22</v>
      </c>
      <c r="X19" s="44" t="s">
        <v>23</v>
      </c>
      <c r="Y19" s="46" t="s">
        <v>24</v>
      </c>
    </row>
    <row r="20" spans="2:25" ht="15.75" customHeight="1">
      <c r="B20" s="45"/>
      <c r="C20" s="45"/>
      <c r="D20" s="45"/>
      <c r="E20" s="45"/>
      <c r="F20" s="16" t="s">
        <v>25</v>
      </c>
      <c r="G20" s="16" t="s">
        <v>26</v>
      </c>
      <c r="H20" s="15" t="s">
        <v>27</v>
      </c>
      <c r="I20" s="15" t="s">
        <v>28</v>
      </c>
      <c r="J20" s="15" t="s">
        <v>29</v>
      </c>
      <c r="K20" s="15" t="s">
        <v>30</v>
      </c>
      <c r="L20" s="15" t="s">
        <v>31</v>
      </c>
      <c r="M20" s="15" t="s">
        <v>32</v>
      </c>
      <c r="N20" s="15" t="s">
        <v>33</v>
      </c>
      <c r="O20" s="15" t="s">
        <v>34</v>
      </c>
      <c r="P20" s="15" t="s">
        <v>35</v>
      </c>
      <c r="Q20" s="15" t="s">
        <v>36</v>
      </c>
      <c r="R20" s="15" t="s">
        <v>37</v>
      </c>
      <c r="S20" s="15" t="s">
        <v>38</v>
      </c>
      <c r="T20" s="15" t="s">
        <v>39</v>
      </c>
      <c r="U20" s="15" t="s">
        <v>40</v>
      </c>
      <c r="V20" s="45"/>
      <c r="W20" s="45"/>
      <c r="X20" s="45"/>
      <c r="Y20" s="45"/>
    </row>
    <row r="21" spans="2:25">
      <c r="B21" s="5" t="s">
        <v>41</v>
      </c>
      <c r="C21" s="5" t="s">
        <v>42</v>
      </c>
      <c r="D21" s="5" t="str">
        <f>IFERROR(INDEX(회사별_교통수단매핑!$C$2:$C$1000,MATCH(1,INDEX(($C$14=회사별_교통수단매핑!$A$2:$A$1000)*($Y21=회사별_교통수단매핑!$B$2:$B$1000),0),0)),"")</f>
        <v>장거리버스/코치</v>
      </c>
      <c r="E21" s="39">
        <v>1</v>
      </c>
      <c r="F21" s="42" t="s">
        <v>43</v>
      </c>
      <c r="G21" s="38" t="s">
        <v>44</v>
      </c>
      <c r="H21" s="11"/>
      <c r="I21" s="39">
        <f t="shared" ref="I21:I84" si="0">IF(SUM(J21:U21)=0,"",SUM(J21:U21))</f>
        <v>1</v>
      </c>
      <c r="J21" s="39"/>
      <c r="K21" s="39">
        <v>1</v>
      </c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"/>
      <c r="W21" s="4">
        <v>1.0385E-4</v>
      </c>
      <c r="X21" s="4">
        <v>3.5523328736976161E-2</v>
      </c>
      <c r="Y21" s="41" t="s">
        <v>45</v>
      </c>
    </row>
    <row r="22" spans="2:25">
      <c r="B22" s="5" t="s">
        <v>41</v>
      </c>
      <c r="C22" s="5" t="s">
        <v>42</v>
      </c>
      <c r="D22" s="5" t="str">
        <f>IFERROR(INDEX(회사별_교통수단매핑!$C$2:$C$1000,MATCH(1,INDEX(($C$14=회사별_교통수단매핑!$A$2:$A$1000)*($Y22=회사별_교통수단매핑!$B$2:$B$1000),0),0)),"")</f>
        <v>장거리버스/코치</v>
      </c>
      <c r="E22" s="39">
        <v>1</v>
      </c>
      <c r="F22" s="42" t="s">
        <v>46</v>
      </c>
      <c r="G22" s="8" t="s">
        <v>47</v>
      </c>
      <c r="H22" s="12"/>
      <c r="I22" s="5">
        <f t="shared" si="0"/>
        <v>1</v>
      </c>
      <c r="J22" s="5"/>
      <c r="K22" s="5"/>
      <c r="L22" s="5"/>
      <c r="M22" s="5"/>
      <c r="N22" s="5"/>
      <c r="O22" s="5"/>
      <c r="P22" s="5"/>
      <c r="Q22" s="5"/>
      <c r="R22" s="5"/>
      <c r="S22" s="5">
        <v>1</v>
      </c>
      <c r="T22" s="5"/>
      <c r="U22" s="5"/>
      <c r="V22" s="6"/>
      <c r="W22" s="7">
        <v>1.0385E-4</v>
      </c>
      <c r="X22" s="7">
        <v>6.5955569186545729E-2</v>
      </c>
      <c r="Y22" s="41" t="s">
        <v>45</v>
      </c>
    </row>
    <row r="23" spans="2:25">
      <c r="B23" s="5" t="s">
        <v>41</v>
      </c>
      <c r="C23" s="5" t="s">
        <v>42</v>
      </c>
      <c r="D23" s="5" t="str">
        <f>IFERROR(INDEX(회사별_교통수단매핑!$C$2:$C$1000,MATCH(1,INDEX(($C$14=회사별_교통수단매핑!$A$2:$A$1000)*($Y23=회사별_교통수단매핑!$B$2:$B$1000),0),0)),"")</f>
        <v>장거리버스/코치</v>
      </c>
      <c r="E23" s="39">
        <v>1</v>
      </c>
      <c r="F23" s="42" t="s">
        <v>48</v>
      </c>
      <c r="G23" s="8" t="s">
        <v>49</v>
      </c>
      <c r="H23" s="12"/>
      <c r="I23" s="5">
        <f t="shared" si="0"/>
        <v>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2</v>
      </c>
      <c r="V23" s="6"/>
      <c r="W23" s="7">
        <v>1.0385E-4</v>
      </c>
      <c r="X23" s="7">
        <v>0.14464506318459691</v>
      </c>
      <c r="Y23" s="41" t="s">
        <v>45</v>
      </c>
    </row>
    <row r="24" spans="2:25">
      <c r="B24" s="5" t="s">
        <v>41</v>
      </c>
      <c r="C24" s="5" t="s">
        <v>42</v>
      </c>
      <c r="D24" s="5" t="str">
        <f>IFERROR(INDEX(회사별_교통수단매핑!$C$2:$C$1000,MATCH(1,INDEX(($C$14=회사별_교통수단매핑!$A$2:$A$1000)*($Y24=회사별_교통수단매핑!$B$2:$B$1000),0),0)),"")</f>
        <v>장거리버스/코치</v>
      </c>
      <c r="E24" s="39">
        <v>1</v>
      </c>
      <c r="F24" s="42" t="s">
        <v>50</v>
      </c>
      <c r="G24" s="8" t="s">
        <v>51</v>
      </c>
      <c r="H24" s="12"/>
      <c r="I24" s="5">
        <f t="shared" si="0"/>
        <v>7</v>
      </c>
      <c r="J24" s="5"/>
      <c r="K24" s="5"/>
      <c r="L24" s="5">
        <v>1</v>
      </c>
      <c r="M24" s="5">
        <v>1</v>
      </c>
      <c r="N24" s="5">
        <v>1</v>
      </c>
      <c r="O24" s="5">
        <v>1</v>
      </c>
      <c r="P24" s="5"/>
      <c r="Q24" s="5"/>
      <c r="R24" s="5">
        <v>1</v>
      </c>
      <c r="S24" s="5">
        <v>1</v>
      </c>
      <c r="T24" s="5">
        <v>1</v>
      </c>
      <c r="U24" s="5"/>
      <c r="V24" s="6"/>
      <c r="W24" s="7">
        <v>1.0385E-4</v>
      </c>
      <c r="X24" s="7">
        <v>0.1083151124042932</v>
      </c>
      <c r="Y24" s="41" t="s">
        <v>45</v>
      </c>
    </row>
    <row r="25" spans="2:25">
      <c r="B25" s="5" t="s">
        <v>41</v>
      </c>
      <c r="C25" s="5" t="s">
        <v>42</v>
      </c>
      <c r="D25" s="5" t="str">
        <f>IFERROR(INDEX(회사별_교통수단매핑!$C$2:$C$1000,MATCH(1,INDEX(($C$14=회사별_교통수단매핑!$A$2:$A$1000)*($Y25=회사별_교통수단매핑!$B$2:$B$1000),0),0)),"")</f>
        <v>장거리버스/코치</v>
      </c>
      <c r="E25" s="39">
        <v>1</v>
      </c>
      <c r="F25" s="42" t="s">
        <v>52</v>
      </c>
      <c r="G25" s="8" t="s">
        <v>53</v>
      </c>
      <c r="H25" s="12"/>
      <c r="I25" s="5">
        <f t="shared" si="0"/>
        <v>3</v>
      </c>
      <c r="J25" s="5"/>
      <c r="K25" s="5"/>
      <c r="L25" s="5"/>
      <c r="M25" s="5"/>
      <c r="N25" s="5"/>
      <c r="O25" s="5"/>
      <c r="P25" s="5"/>
      <c r="Q25" s="5"/>
      <c r="R25" s="5">
        <v>1</v>
      </c>
      <c r="S25" s="5">
        <v>1</v>
      </c>
      <c r="T25" s="5">
        <v>1</v>
      </c>
      <c r="U25" s="5"/>
      <c r="V25" s="6"/>
      <c r="W25" s="7">
        <v>1.0385E-4</v>
      </c>
      <c r="X25" s="7">
        <v>1.5376865976748789E-2</v>
      </c>
      <c r="Y25" s="41" t="s">
        <v>45</v>
      </c>
    </row>
    <row r="26" spans="2:25">
      <c r="B26" s="5" t="s">
        <v>41</v>
      </c>
      <c r="C26" s="5" t="s">
        <v>42</v>
      </c>
      <c r="D26" s="5" t="str">
        <f>IFERROR(INDEX(회사별_교통수단매핑!$C$2:$C$1000,MATCH(1,INDEX(($C$14=회사별_교통수단매핑!$A$2:$A$1000)*($Y26=회사별_교통수단매핑!$B$2:$B$1000),0),0)),"")</f>
        <v>장거리버스/코치</v>
      </c>
      <c r="E26" s="39">
        <v>1</v>
      </c>
      <c r="F26" s="42" t="s">
        <v>54</v>
      </c>
      <c r="G26" s="8" t="s">
        <v>55</v>
      </c>
      <c r="H26" s="12"/>
      <c r="I26" s="5">
        <f t="shared" si="0"/>
        <v>1</v>
      </c>
      <c r="J26" s="5"/>
      <c r="K26" s="5">
        <v>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6"/>
      <c r="W26" s="7">
        <v>1.0385E-4</v>
      </c>
      <c r="X26" s="7">
        <v>9.6378534258274254E-3</v>
      </c>
      <c r="Y26" s="41" t="s">
        <v>45</v>
      </c>
    </row>
    <row r="27" spans="2:25">
      <c r="B27" s="5" t="s">
        <v>41</v>
      </c>
      <c r="C27" s="5" t="s">
        <v>42</v>
      </c>
      <c r="D27" s="5" t="str">
        <f>IFERROR(INDEX(회사별_교통수단매핑!$C$2:$C$1000,MATCH(1,INDEX(($C$14=회사별_교통수단매핑!$A$2:$A$1000)*($Y27=회사별_교통수단매핑!$B$2:$B$1000),0),0)),"")</f>
        <v>장거리버스/코치</v>
      </c>
      <c r="E27" s="39">
        <v>1</v>
      </c>
      <c r="F27" s="42" t="s">
        <v>56</v>
      </c>
      <c r="G27" s="8" t="s">
        <v>57</v>
      </c>
      <c r="H27" s="12"/>
      <c r="I27" s="5">
        <f t="shared" si="0"/>
        <v>1</v>
      </c>
      <c r="J27" s="5"/>
      <c r="K27" s="5"/>
      <c r="L27" s="5"/>
      <c r="M27" s="5"/>
      <c r="N27" s="5"/>
      <c r="O27" s="5">
        <v>1</v>
      </c>
      <c r="P27" s="5"/>
      <c r="Q27" s="5"/>
      <c r="R27" s="5"/>
      <c r="S27" s="5"/>
      <c r="T27" s="5"/>
      <c r="U27" s="5"/>
      <c r="V27" s="6"/>
      <c r="W27" s="7">
        <v>1.0385E-4</v>
      </c>
      <c r="X27" s="7">
        <v>1.115429541625358E-2</v>
      </c>
      <c r="Y27" s="41" t="s">
        <v>45</v>
      </c>
    </row>
    <row r="28" spans="2:25">
      <c r="B28" s="5" t="s">
        <v>41</v>
      </c>
      <c r="C28" s="5" t="s">
        <v>42</v>
      </c>
      <c r="D28" s="5" t="str">
        <f>IFERROR(INDEX(회사별_교통수단매핑!$C$2:$C$1000,MATCH(1,INDEX(($C$14=회사별_교통수단매핑!$A$2:$A$1000)*($Y28=회사별_교통수단매핑!$B$2:$B$1000),0),0)),"")</f>
        <v>장거리버스/코치</v>
      </c>
      <c r="E28" s="39">
        <v>1</v>
      </c>
      <c r="F28" s="42" t="s">
        <v>58</v>
      </c>
      <c r="G28" s="8" t="s">
        <v>59</v>
      </c>
      <c r="H28" s="12"/>
      <c r="I28" s="5">
        <f t="shared" si="0"/>
        <v>1</v>
      </c>
      <c r="J28" s="5"/>
      <c r="K28" s="5"/>
      <c r="L28" s="5"/>
      <c r="M28" s="5"/>
      <c r="N28" s="5"/>
      <c r="O28" s="5"/>
      <c r="P28" s="5"/>
      <c r="Q28" s="5"/>
      <c r="R28" s="5"/>
      <c r="S28" s="5">
        <v>1</v>
      </c>
      <c r="T28" s="5"/>
      <c r="U28" s="5"/>
      <c r="V28" s="6"/>
      <c r="W28" s="7">
        <v>1.0385E-4</v>
      </c>
      <c r="X28" s="7">
        <v>1.4341921557992941E-2</v>
      </c>
      <c r="Y28" s="41" t="s">
        <v>45</v>
      </c>
    </row>
    <row r="29" spans="2:25">
      <c r="B29" s="5" t="s">
        <v>41</v>
      </c>
      <c r="C29" s="5" t="s">
        <v>42</v>
      </c>
      <c r="D29" s="5" t="str">
        <f>IFERROR(INDEX(회사별_교통수단매핑!$C$2:$C$1000,MATCH(1,INDEX(($C$14=회사별_교통수단매핑!$A$2:$A$1000)*($Y29=회사별_교통수단매핑!$B$2:$B$1000),0),0)),"")</f>
        <v>장거리버스/코치</v>
      </c>
      <c r="E29" s="39">
        <v>1</v>
      </c>
      <c r="F29" s="42" t="s">
        <v>60</v>
      </c>
      <c r="G29" s="8" t="s">
        <v>61</v>
      </c>
      <c r="H29" s="12"/>
      <c r="I29" s="5">
        <f t="shared" si="0"/>
        <v>10</v>
      </c>
      <c r="J29" s="5">
        <v>1</v>
      </c>
      <c r="K29" s="5">
        <v>2</v>
      </c>
      <c r="L29" s="5"/>
      <c r="M29" s="5">
        <v>4</v>
      </c>
      <c r="N29" s="5">
        <v>1</v>
      </c>
      <c r="O29" s="5">
        <v>1</v>
      </c>
      <c r="P29" s="5"/>
      <c r="Q29" s="5"/>
      <c r="R29" s="5">
        <v>1</v>
      </c>
      <c r="S29" s="5"/>
      <c r="T29" s="5"/>
      <c r="U29" s="5"/>
      <c r="V29" s="6"/>
      <c r="W29" s="7">
        <v>1.0385E-4</v>
      </c>
      <c r="X29" s="7">
        <v>0.2146132853786285</v>
      </c>
      <c r="Y29" s="41" t="s">
        <v>45</v>
      </c>
    </row>
    <row r="30" spans="2:25">
      <c r="B30" s="5" t="s">
        <v>41</v>
      </c>
      <c r="C30" s="5" t="s">
        <v>42</v>
      </c>
      <c r="D30" s="5" t="str">
        <f>IFERROR(INDEX(회사별_교통수단매핑!$C$2:$C$1000,MATCH(1,INDEX(($C$14=회사별_교통수단매핑!$A$2:$A$1000)*($Y30=회사별_교통수단매핑!$B$2:$B$1000),0),0)),"")</f>
        <v>장거리버스/코치</v>
      </c>
      <c r="E30" s="39">
        <v>1</v>
      </c>
      <c r="F30" s="42" t="s">
        <v>62</v>
      </c>
      <c r="G30" s="8" t="s">
        <v>63</v>
      </c>
      <c r="H30" s="12"/>
      <c r="I30" s="5">
        <f t="shared" si="0"/>
        <v>3</v>
      </c>
      <c r="J30" s="5"/>
      <c r="K30" s="5"/>
      <c r="L30" s="5"/>
      <c r="M30" s="5"/>
      <c r="N30" s="5"/>
      <c r="O30" s="5"/>
      <c r="P30" s="5">
        <v>2</v>
      </c>
      <c r="Q30" s="5"/>
      <c r="R30" s="5"/>
      <c r="S30" s="5"/>
      <c r="T30" s="5">
        <v>1</v>
      </c>
      <c r="U30" s="5"/>
      <c r="V30" s="6"/>
      <c r="W30" s="7">
        <v>1.0385E-4</v>
      </c>
      <c r="X30" s="7">
        <v>2.6860142350922989E-2</v>
      </c>
      <c r="Y30" s="41" t="s">
        <v>45</v>
      </c>
    </row>
    <row r="31" spans="2:25">
      <c r="B31" s="5" t="s">
        <v>41</v>
      </c>
      <c r="C31" s="5" t="s">
        <v>42</v>
      </c>
      <c r="D31" s="5" t="str">
        <f>IFERROR(INDEX(회사별_교통수단매핑!$C$2:$C$1000,MATCH(1,INDEX(($C$14=회사별_교통수단매핑!$A$2:$A$1000)*($Y31=회사별_교통수단매핑!$B$2:$B$1000),0),0)),"")</f>
        <v>장거리버스/코치</v>
      </c>
      <c r="E31" s="39">
        <v>1</v>
      </c>
      <c r="F31" s="42" t="s">
        <v>64</v>
      </c>
      <c r="G31" s="8" t="s">
        <v>65</v>
      </c>
      <c r="H31" s="12"/>
      <c r="I31" s="5">
        <f t="shared" si="0"/>
        <v>1</v>
      </c>
      <c r="J31" s="5"/>
      <c r="K31" s="5"/>
      <c r="L31" s="5"/>
      <c r="M31" s="5"/>
      <c r="N31" s="5"/>
      <c r="O31" s="5">
        <v>1</v>
      </c>
      <c r="P31" s="5"/>
      <c r="Q31" s="5"/>
      <c r="R31" s="5"/>
      <c r="S31" s="5"/>
      <c r="T31" s="5"/>
      <c r="U31" s="5"/>
      <c r="V31" s="6"/>
      <c r="W31" s="7">
        <v>1.0385E-4</v>
      </c>
      <c r="X31" s="7">
        <v>1.580878029881597E-2</v>
      </c>
      <c r="Y31" s="41" t="s">
        <v>45</v>
      </c>
    </row>
    <row r="32" spans="2:25">
      <c r="B32" s="5" t="s">
        <v>41</v>
      </c>
      <c r="C32" s="5" t="s">
        <v>42</v>
      </c>
      <c r="D32" s="5" t="str">
        <f>IFERROR(INDEX(회사별_교통수단매핑!$C$2:$C$1000,MATCH(1,INDEX(($C$14=회사별_교통수단매핑!$A$2:$A$1000)*($Y32=회사별_교통수단매핑!$B$2:$B$1000),0),0)),"")</f>
        <v>장거리버스/코치</v>
      </c>
      <c r="E32" s="39">
        <v>1</v>
      </c>
      <c r="F32" s="42" t="s">
        <v>66</v>
      </c>
      <c r="G32" s="8" t="s">
        <v>67</v>
      </c>
      <c r="H32" s="12"/>
      <c r="I32" s="5">
        <f t="shared" si="0"/>
        <v>6</v>
      </c>
      <c r="J32" s="5"/>
      <c r="K32" s="5"/>
      <c r="L32" s="5"/>
      <c r="M32" s="5"/>
      <c r="N32" s="5">
        <v>3</v>
      </c>
      <c r="O32" s="5"/>
      <c r="P32" s="5"/>
      <c r="Q32" s="5"/>
      <c r="R32" s="5"/>
      <c r="S32" s="5">
        <v>2</v>
      </c>
      <c r="T32" s="5">
        <v>1</v>
      </c>
      <c r="U32" s="5"/>
      <c r="V32" s="6"/>
      <c r="W32" s="7">
        <v>1.0385E-4</v>
      </c>
      <c r="X32" s="7">
        <v>0.10449890946635319</v>
      </c>
      <c r="Y32" s="41" t="s">
        <v>45</v>
      </c>
    </row>
    <row r="33" spans="2:25">
      <c r="B33" s="5" t="s">
        <v>41</v>
      </c>
      <c r="C33" s="5" t="s">
        <v>42</v>
      </c>
      <c r="D33" s="5" t="str">
        <f>IFERROR(INDEX(회사별_교통수단매핑!$C$2:$C$1000,MATCH(1,INDEX(($C$14=회사별_교통수단매핑!$A$2:$A$1000)*($Y33=회사별_교통수단매핑!$B$2:$B$1000),0),0)),"")</f>
        <v>장거리버스/코치</v>
      </c>
      <c r="E33" s="39">
        <v>1</v>
      </c>
      <c r="F33" s="42" t="s">
        <v>68</v>
      </c>
      <c r="G33" s="8" t="s">
        <v>69</v>
      </c>
      <c r="H33" s="12"/>
      <c r="I33" s="5">
        <f t="shared" si="0"/>
        <v>1</v>
      </c>
      <c r="J33" s="5"/>
      <c r="K33" s="5"/>
      <c r="L33" s="5"/>
      <c r="M33" s="5"/>
      <c r="N33" s="5"/>
      <c r="O33" s="5"/>
      <c r="P33" s="5"/>
      <c r="Q33" s="5"/>
      <c r="R33" s="5"/>
      <c r="S33" s="5">
        <v>1</v>
      </c>
      <c r="T33" s="5"/>
      <c r="U33" s="5"/>
      <c r="V33" s="6"/>
      <c r="W33" s="7">
        <v>1.0385E-4</v>
      </c>
      <c r="X33" s="7">
        <v>2.146132853786285E-2</v>
      </c>
      <c r="Y33" s="41" t="s">
        <v>45</v>
      </c>
    </row>
    <row r="34" spans="2:25">
      <c r="B34" s="5" t="s">
        <v>41</v>
      </c>
      <c r="C34" s="5" t="s">
        <v>42</v>
      </c>
      <c r="D34" s="5" t="str">
        <f>IFERROR(INDEX(회사별_교통수단매핑!$C$2:$C$1000,MATCH(1,INDEX(($C$14=회사별_교통수단매핑!$A$2:$A$1000)*($Y34=회사별_교통수단매핑!$B$2:$B$1000),0),0)),"")</f>
        <v>장거리버스/코치</v>
      </c>
      <c r="E34" s="39">
        <v>1</v>
      </c>
      <c r="F34" s="42" t="s">
        <v>70</v>
      </c>
      <c r="G34" s="8" t="s">
        <v>71</v>
      </c>
      <c r="H34" s="12"/>
      <c r="I34" s="5">
        <f t="shared" si="0"/>
        <v>2</v>
      </c>
      <c r="J34" s="5"/>
      <c r="K34" s="5"/>
      <c r="L34" s="5"/>
      <c r="M34" s="5">
        <v>2</v>
      </c>
      <c r="N34" s="5"/>
      <c r="O34" s="5"/>
      <c r="P34" s="5"/>
      <c r="Q34" s="5"/>
      <c r="R34" s="5"/>
      <c r="S34" s="5"/>
      <c r="T34" s="5"/>
      <c r="U34" s="5"/>
      <c r="V34" s="6"/>
      <c r="W34" s="7">
        <v>1.0385E-4</v>
      </c>
      <c r="X34" s="7">
        <v>4.2922657075725699E-2</v>
      </c>
      <c r="Y34" s="41" t="s">
        <v>45</v>
      </c>
    </row>
    <row r="35" spans="2:25">
      <c r="B35" s="5" t="s">
        <v>41</v>
      </c>
      <c r="C35" s="5" t="s">
        <v>42</v>
      </c>
      <c r="D35" s="5" t="str">
        <f>IFERROR(INDEX(회사별_교통수단매핑!$C$2:$C$1000,MATCH(1,INDEX(($C$14=회사별_교통수단매핑!$A$2:$A$1000)*($Y35=회사별_교통수단매핑!$B$2:$B$1000),0),0)),"")</f>
        <v>장거리버스/코치</v>
      </c>
      <c r="E35" s="39">
        <v>1</v>
      </c>
      <c r="F35" s="42" t="s">
        <v>72</v>
      </c>
      <c r="G35" s="8" t="s">
        <v>73</v>
      </c>
      <c r="H35" s="12"/>
      <c r="I35" s="5">
        <f t="shared" si="0"/>
        <v>1</v>
      </c>
      <c r="J35" s="5"/>
      <c r="K35" s="5"/>
      <c r="L35" s="5"/>
      <c r="M35" s="5"/>
      <c r="N35" s="5">
        <v>1</v>
      </c>
      <c r="O35" s="5"/>
      <c r="P35" s="5"/>
      <c r="Q35" s="5"/>
      <c r="R35" s="5"/>
      <c r="S35" s="5"/>
      <c r="T35" s="5"/>
      <c r="U35" s="5"/>
      <c r="V35" s="6"/>
      <c r="W35" s="7">
        <v>1.0385E-4</v>
      </c>
      <c r="X35" s="7">
        <v>2.146132853786285E-2</v>
      </c>
      <c r="Y35" s="41" t="s">
        <v>45</v>
      </c>
    </row>
    <row r="36" spans="2:25">
      <c r="B36" s="5" t="s">
        <v>41</v>
      </c>
      <c r="C36" s="5" t="s">
        <v>42</v>
      </c>
      <c r="D36" s="5" t="str">
        <f>IFERROR(INDEX(회사별_교통수단매핑!$C$2:$C$1000,MATCH(1,INDEX(($C$14=회사별_교통수단매핑!$A$2:$A$1000)*($Y36=회사별_교통수단매핑!$B$2:$B$1000),0),0)),"")</f>
        <v>장거리버스/코치</v>
      </c>
      <c r="E36" s="39">
        <v>1</v>
      </c>
      <c r="F36" s="42" t="s">
        <v>74</v>
      </c>
      <c r="G36" s="8" t="s">
        <v>75</v>
      </c>
      <c r="H36" s="12"/>
      <c r="I36" s="5">
        <f t="shared" si="0"/>
        <v>8</v>
      </c>
      <c r="J36" s="5"/>
      <c r="K36" s="5"/>
      <c r="L36" s="5"/>
      <c r="M36" s="5">
        <v>3</v>
      </c>
      <c r="N36" s="5"/>
      <c r="O36" s="5">
        <v>1</v>
      </c>
      <c r="P36" s="5"/>
      <c r="Q36" s="5"/>
      <c r="R36" s="5">
        <v>2</v>
      </c>
      <c r="S36" s="5"/>
      <c r="T36" s="5">
        <v>2</v>
      </c>
      <c r="U36" s="5"/>
      <c r="V36" s="6"/>
      <c r="W36" s="7">
        <v>1.0385E-4</v>
      </c>
      <c r="X36" s="7">
        <v>0.1716906283029028</v>
      </c>
      <c r="Y36" s="41" t="s">
        <v>45</v>
      </c>
    </row>
    <row r="37" spans="2:25">
      <c r="B37" s="5" t="s">
        <v>41</v>
      </c>
      <c r="C37" s="5" t="s">
        <v>42</v>
      </c>
      <c r="D37" s="5" t="str">
        <f>IFERROR(INDEX(회사별_교통수단매핑!$C$2:$C$1000,MATCH(1,INDEX(($C$14=회사별_교통수단매핑!$A$2:$A$1000)*($Y37=회사별_교통수단매핑!$B$2:$B$1000),0),0)),"")</f>
        <v>장거리버스/코치</v>
      </c>
      <c r="E37" s="39">
        <v>1</v>
      </c>
      <c r="F37" s="42" t="s">
        <v>76</v>
      </c>
      <c r="G37" s="8" t="s">
        <v>77</v>
      </c>
      <c r="H37" s="12"/>
      <c r="I37" s="5">
        <f t="shared" si="0"/>
        <v>1</v>
      </c>
      <c r="J37" s="5">
        <v>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6"/>
      <c r="W37" s="7">
        <v>1.0385E-4</v>
      </c>
      <c r="X37" s="7">
        <v>2.146132853786285E-2</v>
      </c>
      <c r="Y37" s="41" t="s">
        <v>45</v>
      </c>
    </row>
    <row r="38" spans="2:25">
      <c r="B38" s="5" t="s">
        <v>41</v>
      </c>
      <c r="C38" s="5" t="s">
        <v>42</v>
      </c>
      <c r="D38" s="5" t="str">
        <f>IFERROR(INDEX(회사별_교통수단매핑!$C$2:$C$1000,MATCH(1,INDEX(($C$14=회사별_교통수단매핑!$A$2:$A$1000)*($Y38=회사별_교통수단매핑!$B$2:$B$1000),0),0)),"")</f>
        <v>장거리버스/코치</v>
      </c>
      <c r="E38" s="39">
        <v>1</v>
      </c>
      <c r="F38" s="42" t="s">
        <v>78</v>
      </c>
      <c r="G38" s="8" t="s">
        <v>79</v>
      </c>
      <c r="H38" s="12"/>
      <c r="I38" s="5">
        <f t="shared" si="0"/>
        <v>1</v>
      </c>
      <c r="J38" s="5"/>
      <c r="K38" s="5"/>
      <c r="L38" s="5"/>
      <c r="M38" s="5"/>
      <c r="N38" s="5"/>
      <c r="O38" s="5">
        <v>1</v>
      </c>
      <c r="P38" s="5"/>
      <c r="Q38" s="5"/>
      <c r="R38" s="5"/>
      <c r="S38" s="5"/>
      <c r="T38" s="5"/>
      <c r="U38" s="5"/>
      <c r="V38" s="6"/>
      <c r="W38" s="7">
        <v>1.0385E-4</v>
      </c>
      <c r="X38" s="7">
        <v>2.146132853786285E-2</v>
      </c>
      <c r="Y38" s="41" t="s">
        <v>45</v>
      </c>
    </row>
    <row r="39" spans="2:25">
      <c r="B39" s="5" t="s">
        <v>41</v>
      </c>
      <c r="C39" s="5" t="s">
        <v>42</v>
      </c>
      <c r="D39" s="5" t="str">
        <f>IFERROR(INDEX(회사별_교통수단매핑!$C$2:$C$1000,MATCH(1,INDEX(($C$14=회사별_교통수단매핑!$A$2:$A$1000)*($Y39=회사별_교통수단매핑!$B$2:$B$1000),0),0)),"")</f>
        <v>장거리버스/코치</v>
      </c>
      <c r="E39" s="39">
        <v>1</v>
      </c>
      <c r="F39" s="42" t="s">
        <v>80</v>
      </c>
      <c r="G39" s="8" t="s">
        <v>81</v>
      </c>
      <c r="H39" s="12"/>
      <c r="I39" s="5">
        <f t="shared" si="0"/>
        <v>1</v>
      </c>
      <c r="J39" s="5"/>
      <c r="K39" s="5"/>
      <c r="L39" s="5">
        <v>1</v>
      </c>
      <c r="M39" s="5"/>
      <c r="N39" s="5"/>
      <c r="O39" s="5"/>
      <c r="P39" s="5"/>
      <c r="Q39" s="5"/>
      <c r="R39" s="5"/>
      <c r="S39" s="5"/>
      <c r="T39" s="5"/>
      <c r="U39" s="5"/>
      <c r="V39" s="6"/>
      <c r="W39" s="7">
        <v>1.0385E-4</v>
      </c>
      <c r="X39" s="7">
        <v>2.146132853786285E-2</v>
      </c>
      <c r="Y39" s="41" t="s">
        <v>45</v>
      </c>
    </row>
    <row r="40" spans="2:25">
      <c r="B40" s="5" t="s">
        <v>41</v>
      </c>
      <c r="C40" s="5" t="s">
        <v>42</v>
      </c>
      <c r="D40" s="5" t="str">
        <f>IFERROR(INDEX(회사별_교통수단매핑!$C$2:$C$1000,MATCH(1,INDEX(($C$14=회사별_교통수단매핑!$A$2:$A$1000)*($Y40=회사별_교통수단매핑!$B$2:$B$1000),0),0)),"")</f>
        <v>장거리버스/코치</v>
      </c>
      <c r="E40" s="39">
        <v>1</v>
      </c>
      <c r="F40" s="42" t="s">
        <v>82</v>
      </c>
      <c r="G40" s="8" t="s">
        <v>83</v>
      </c>
      <c r="H40" s="12"/>
      <c r="I40" s="5">
        <f t="shared" si="0"/>
        <v>1</v>
      </c>
      <c r="J40" s="5"/>
      <c r="K40" s="5"/>
      <c r="L40" s="5">
        <v>1</v>
      </c>
      <c r="M40" s="5"/>
      <c r="N40" s="5"/>
      <c r="O40" s="5"/>
      <c r="P40" s="5"/>
      <c r="Q40" s="5"/>
      <c r="R40" s="5"/>
      <c r="S40" s="5"/>
      <c r="T40" s="5"/>
      <c r="U40" s="5"/>
      <c r="V40" s="6"/>
      <c r="W40" s="7">
        <v>1.0385E-4</v>
      </c>
      <c r="X40" s="7">
        <v>2.146132853786285E-2</v>
      </c>
      <c r="Y40" s="41" t="s">
        <v>45</v>
      </c>
    </row>
    <row r="41" spans="2:25">
      <c r="B41" s="5" t="s">
        <v>41</v>
      </c>
      <c r="C41" s="5" t="s">
        <v>42</v>
      </c>
      <c r="D41" s="5" t="str">
        <f>IFERROR(INDEX(회사별_교통수단매핑!$C$2:$C$1000,MATCH(1,INDEX(($C$14=회사별_교통수단매핑!$A$2:$A$1000)*($Y41=회사별_교통수단매핑!$B$2:$B$1000),0),0)),"")</f>
        <v>장거리버스/코치</v>
      </c>
      <c r="E41" s="39">
        <v>1</v>
      </c>
      <c r="F41" s="42" t="s">
        <v>84</v>
      </c>
      <c r="G41" s="8" t="s">
        <v>85</v>
      </c>
      <c r="H41" s="12"/>
      <c r="I41" s="5">
        <f t="shared" si="0"/>
        <v>1</v>
      </c>
      <c r="J41" s="5"/>
      <c r="K41" s="5"/>
      <c r="L41" s="5">
        <v>1</v>
      </c>
      <c r="M41" s="5"/>
      <c r="N41" s="5"/>
      <c r="O41" s="5"/>
      <c r="P41" s="5"/>
      <c r="Q41" s="5"/>
      <c r="R41" s="5"/>
      <c r="S41" s="5"/>
      <c r="T41" s="5"/>
      <c r="U41" s="5"/>
      <c r="V41" s="6"/>
      <c r="W41" s="7">
        <v>1.0385E-4</v>
      </c>
      <c r="X41" s="7">
        <v>2.146132853786285E-2</v>
      </c>
      <c r="Y41" s="41" t="s">
        <v>45</v>
      </c>
    </row>
    <row r="42" spans="2:25">
      <c r="B42" s="5" t="s">
        <v>41</v>
      </c>
      <c r="C42" s="5" t="s">
        <v>42</v>
      </c>
      <c r="D42" s="5" t="str">
        <f>IFERROR(INDEX(회사별_교통수단매핑!$C$2:$C$1000,MATCH(1,INDEX(($C$14=회사별_교통수단매핑!$A$2:$A$1000)*($Y42=회사별_교통수단매핑!$B$2:$B$1000),0),0)),"")</f>
        <v>장거리버스/코치</v>
      </c>
      <c r="E42" s="39">
        <v>1</v>
      </c>
      <c r="F42" s="42" t="s">
        <v>86</v>
      </c>
      <c r="G42" s="8" t="s">
        <v>87</v>
      </c>
      <c r="H42" s="12"/>
      <c r="I42" s="5">
        <f t="shared" si="0"/>
        <v>2</v>
      </c>
      <c r="J42" s="5"/>
      <c r="K42" s="5"/>
      <c r="L42" s="5"/>
      <c r="M42" s="5"/>
      <c r="N42" s="5">
        <v>1</v>
      </c>
      <c r="O42" s="5"/>
      <c r="P42" s="5">
        <v>1</v>
      </c>
      <c r="Q42" s="5"/>
      <c r="R42" s="5"/>
      <c r="S42" s="5"/>
      <c r="T42" s="5"/>
      <c r="U42" s="5"/>
      <c r="V42" s="6"/>
      <c r="W42" s="7">
        <v>1.0385E-4</v>
      </c>
      <c r="X42" s="7">
        <v>4.2922657075725699E-2</v>
      </c>
      <c r="Y42" s="41" t="s">
        <v>45</v>
      </c>
    </row>
    <row r="43" spans="2:25">
      <c r="B43" s="5" t="s">
        <v>41</v>
      </c>
      <c r="C43" s="5" t="s">
        <v>42</v>
      </c>
      <c r="D43" s="5" t="str">
        <f>IFERROR(INDEX(회사별_교통수단매핑!$C$2:$C$1000,MATCH(1,INDEX(($C$14=회사별_교통수단매핑!$A$2:$A$1000)*($Y43=회사별_교통수단매핑!$B$2:$B$1000),0),0)),"")</f>
        <v>장거리버스/코치</v>
      </c>
      <c r="E43" s="39">
        <v>1</v>
      </c>
      <c r="F43" s="42" t="s">
        <v>88</v>
      </c>
      <c r="G43" s="8" t="s">
        <v>89</v>
      </c>
      <c r="H43" s="12"/>
      <c r="I43" s="5">
        <f t="shared" si="0"/>
        <v>1</v>
      </c>
      <c r="J43" s="5"/>
      <c r="K43" s="5"/>
      <c r="L43" s="5"/>
      <c r="M43" s="5"/>
      <c r="N43" s="5">
        <v>1</v>
      </c>
      <c r="O43" s="5"/>
      <c r="P43" s="5"/>
      <c r="Q43" s="5"/>
      <c r="R43" s="5"/>
      <c r="S43" s="5"/>
      <c r="T43" s="5"/>
      <c r="U43" s="5"/>
      <c r="V43" s="6"/>
      <c r="W43" s="7">
        <v>1.0385E-4</v>
      </c>
      <c r="X43" s="7">
        <v>2.146132853786285E-2</v>
      </c>
      <c r="Y43" s="41" t="s">
        <v>45</v>
      </c>
    </row>
    <row r="44" spans="2:25">
      <c r="B44" s="5" t="s">
        <v>41</v>
      </c>
      <c r="C44" s="5" t="s">
        <v>42</v>
      </c>
      <c r="D44" s="5" t="str">
        <f>IFERROR(INDEX(회사별_교통수단매핑!$C$2:$C$1000,MATCH(1,INDEX(($C$14=회사별_교통수단매핑!$A$2:$A$1000)*($Y44=회사별_교통수단매핑!$B$2:$B$1000),0),0)),"")</f>
        <v>장거리버스/코치</v>
      </c>
      <c r="E44" s="39">
        <v>1</v>
      </c>
      <c r="F44" s="42" t="s">
        <v>90</v>
      </c>
      <c r="G44" s="8" t="s">
        <v>91</v>
      </c>
      <c r="H44" s="12"/>
      <c r="I44" s="5">
        <f t="shared" si="0"/>
        <v>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</v>
      </c>
      <c r="U44" s="5"/>
      <c r="V44" s="6"/>
      <c r="W44" s="7">
        <v>1.0385E-4</v>
      </c>
      <c r="X44" s="7">
        <v>2.146132853786285E-2</v>
      </c>
      <c r="Y44" s="41" t="s">
        <v>45</v>
      </c>
    </row>
    <row r="45" spans="2:25">
      <c r="B45" s="5" t="s">
        <v>41</v>
      </c>
      <c r="C45" s="5" t="s">
        <v>42</v>
      </c>
      <c r="D45" s="5" t="str">
        <f>IFERROR(INDEX(회사별_교통수단매핑!$C$2:$C$1000,MATCH(1,INDEX(($C$14=회사별_교통수단매핑!$A$2:$A$1000)*($Y45=회사별_교통수단매핑!$B$2:$B$1000),0),0)),"")</f>
        <v>장거리버스/코치</v>
      </c>
      <c r="E45" s="39">
        <v>1</v>
      </c>
      <c r="F45" s="42" t="s">
        <v>92</v>
      </c>
      <c r="G45" s="8" t="s">
        <v>93</v>
      </c>
      <c r="H45" s="12"/>
      <c r="I45" s="5">
        <f t="shared" si="0"/>
        <v>1</v>
      </c>
      <c r="J45" s="5"/>
      <c r="K45" s="5"/>
      <c r="L45" s="5"/>
      <c r="M45" s="5"/>
      <c r="N45" s="5"/>
      <c r="O45" s="5"/>
      <c r="P45" s="5">
        <v>1</v>
      </c>
      <c r="Q45" s="5"/>
      <c r="R45" s="5"/>
      <c r="S45" s="5"/>
      <c r="T45" s="5"/>
      <c r="U45" s="5"/>
      <c r="V45" s="6"/>
      <c r="W45" s="7">
        <v>1.0385E-4</v>
      </c>
      <c r="X45" s="7">
        <v>2.146132853786285E-2</v>
      </c>
      <c r="Y45" s="41" t="s">
        <v>45</v>
      </c>
    </row>
    <row r="46" spans="2:25">
      <c r="B46" s="5" t="s">
        <v>41</v>
      </c>
      <c r="C46" s="5" t="s">
        <v>42</v>
      </c>
      <c r="D46" s="5" t="str">
        <f>IFERROR(INDEX(회사별_교통수단매핑!$C$2:$C$1000,MATCH(1,INDEX(($C$14=회사별_교통수단매핑!$A$2:$A$1000)*($Y46=회사별_교통수단매핑!$B$2:$B$1000),0),0)),"")</f>
        <v>장거리버스/코치</v>
      </c>
      <c r="E46" s="39">
        <v>1</v>
      </c>
      <c r="F46" s="42" t="s">
        <v>94</v>
      </c>
      <c r="G46" s="8" t="s">
        <v>95</v>
      </c>
      <c r="H46" s="12"/>
      <c r="I46" s="5">
        <f t="shared" si="0"/>
        <v>2</v>
      </c>
      <c r="J46" s="5"/>
      <c r="K46" s="5"/>
      <c r="L46" s="5"/>
      <c r="M46" s="5"/>
      <c r="N46" s="5"/>
      <c r="O46" s="5">
        <v>1</v>
      </c>
      <c r="P46" s="5">
        <v>1</v>
      </c>
      <c r="Q46" s="5"/>
      <c r="R46" s="5"/>
      <c r="S46" s="5"/>
      <c r="T46" s="5"/>
      <c r="U46" s="5"/>
      <c r="V46" s="6"/>
      <c r="W46" s="7">
        <v>1.0385E-4</v>
      </c>
      <c r="X46" s="7">
        <v>4.2922657075725699E-2</v>
      </c>
      <c r="Y46" s="41" t="s">
        <v>45</v>
      </c>
    </row>
    <row r="47" spans="2:25">
      <c r="B47" s="5" t="s">
        <v>41</v>
      </c>
      <c r="C47" s="5" t="s">
        <v>42</v>
      </c>
      <c r="D47" s="5" t="str">
        <f>IFERROR(INDEX(회사별_교통수단매핑!$C$2:$C$1000,MATCH(1,INDEX(($C$14=회사별_교통수단매핑!$A$2:$A$1000)*($Y47=회사별_교통수단매핑!$B$2:$B$1000),0),0)),"")</f>
        <v>장거리버스/코치</v>
      </c>
      <c r="E47" s="39">
        <v>1</v>
      </c>
      <c r="F47" s="42" t="s">
        <v>96</v>
      </c>
      <c r="G47" s="8" t="s">
        <v>97</v>
      </c>
      <c r="H47" s="12"/>
      <c r="I47" s="5">
        <f t="shared" si="0"/>
        <v>1</v>
      </c>
      <c r="J47" s="5"/>
      <c r="K47" s="5"/>
      <c r="L47" s="5"/>
      <c r="M47" s="5"/>
      <c r="N47" s="5"/>
      <c r="O47" s="5"/>
      <c r="P47" s="5">
        <v>1</v>
      </c>
      <c r="Q47" s="5"/>
      <c r="R47" s="5"/>
      <c r="S47" s="5"/>
      <c r="T47" s="5"/>
      <c r="U47" s="5"/>
      <c r="V47" s="6"/>
      <c r="W47" s="7">
        <v>1.0385E-4</v>
      </c>
      <c r="X47" s="7">
        <v>1.2416320022696201E-2</v>
      </c>
      <c r="Y47" s="41" t="s">
        <v>45</v>
      </c>
    </row>
    <row r="48" spans="2:25">
      <c r="B48" s="5" t="s">
        <v>41</v>
      </c>
      <c r="C48" s="5" t="s">
        <v>42</v>
      </c>
      <c r="D48" s="5" t="str">
        <f>IFERROR(INDEX(회사별_교통수단매핑!$C$2:$C$1000,MATCH(1,INDEX(($C$14=회사별_교통수단매핑!$A$2:$A$1000)*($Y48=회사별_교통수단매핑!$B$2:$B$1000),0),0)),"")</f>
        <v>장거리버스/코치</v>
      </c>
      <c r="E48" s="39">
        <v>1</v>
      </c>
      <c r="F48" s="42" t="s">
        <v>98</v>
      </c>
      <c r="G48" s="8" t="s">
        <v>99</v>
      </c>
      <c r="H48" s="12"/>
      <c r="I48" s="5">
        <f t="shared" si="0"/>
        <v>13</v>
      </c>
      <c r="J48" s="5"/>
      <c r="K48" s="5"/>
      <c r="L48" s="5"/>
      <c r="M48" s="5"/>
      <c r="N48" s="5">
        <v>1</v>
      </c>
      <c r="O48" s="5">
        <v>3</v>
      </c>
      <c r="P48" s="5"/>
      <c r="Q48" s="5">
        <v>1</v>
      </c>
      <c r="R48" s="5">
        <v>2</v>
      </c>
      <c r="S48" s="5">
        <v>2</v>
      </c>
      <c r="T48" s="5">
        <v>2</v>
      </c>
      <c r="U48" s="5">
        <v>2</v>
      </c>
      <c r="V48" s="6"/>
      <c r="W48" s="7">
        <v>1.0385E-4</v>
      </c>
      <c r="X48" s="7">
        <v>0.27899727099221699</v>
      </c>
      <c r="Y48" s="41" t="s">
        <v>45</v>
      </c>
    </row>
    <row r="49" spans="2:25">
      <c r="B49" s="5" t="s">
        <v>41</v>
      </c>
      <c r="C49" s="5" t="s">
        <v>42</v>
      </c>
      <c r="D49" s="5" t="str">
        <f>IFERROR(INDEX(회사별_교통수단매핑!$C$2:$C$1000,MATCH(1,INDEX(($C$14=회사별_교통수단매핑!$A$2:$A$1000)*($Y49=회사별_교통수단매핑!$B$2:$B$1000),0),0)),"")</f>
        <v>장거리버스/코치</v>
      </c>
      <c r="E49" s="39">
        <v>1</v>
      </c>
      <c r="F49" s="42" t="s">
        <v>100</v>
      </c>
      <c r="G49" s="8" t="s">
        <v>101</v>
      </c>
      <c r="H49" s="12"/>
      <c r="I49" s="5">
        <f t="shared" si="0"/>
        <v>1</v>
      </c>
      <c r="J49" s="5"/>
      <c r="K49" s="5"/>
      <c r="L49" s="5"/>
      <c r="M49" s="5"/>
      <c r="N49" s="5"/>
      <c r="O49" s="5"/>
      <c r="P49" s="5"/>
      <c r="Q49" s="5"/>
      <c r="R49" s="5"/>
      <c r="S49" s="5">
        <v>1</v>
      </c>
      <c r="T49" s="5"/>
      <c r="U49" s="5"/>
      <c r="V49" s="6"/>
      <c r="W49" s="7">
        <v>1.0385E-4</v>
      </c>
      <c r="X49" s="7">
        <v>1.9450935495032941E-2</v>
      </c>
      <c r="Y49" s="41" t="s">
        <v>45</v>
      </c>
    </row>
    <row r="50" spans="2:25">
      <c r="B50" s="5" t="s">
        <v>41</v>
      </c>
      <c r="C50" s="5" t="s">
        <v>42</v>
      </c>
      <c r="D50" s="5" t="str">
        <f>IFERROR(INDEX(회사별_교통수단매핑!$C$2:$C$1000,MATCH(1,INDEX(($C$14=회사별_교통수단매핑!$A$2:$A$1000)*($Y50=회사별_교통수단매핑!$B$2:$B$1000),0),0)),"")</f>
        <v>장거리버스/코치</v>
      </c>
      <c r="E50" s="39">
        <v>1</v>
      </c>
      <c r="F50" s="42" t="s">
        <v>102</v>
      </c>
      <c r="G50" s="8" t="s">
        <v>103</v>
      </c>
      <c r="H50" s="12"/>
      <c r="I50" s="5">
        <f t="shared" si="0"/>
        <v>6</v>
      </c>
      <c r="J50" s="5"/>
      <c r="K50" s="5">
        <v>1</v>
      </c>
      <c r="L50" s="5"/>
      <c r="M50" s="5"/>
      <c r="N50" s="5">
        <v>1</v>
      </c>
      <c r="O50" s="5"/>
      <c r="P50" s="5">
        <v>2</v>
      </c>
      <c r="Q50" s="5">
        <v>1</v>
      </c>
      <c r="R50" s="5"/>
      <c r="S50" s="5"/>
      <c r="T50" s="5">
        <v>1</v>
      </c>
      <c r="U50" s="5"/>
      <c r="V50" s="6"/>
      <c r="W50" s="7">
        <v>1.0385E-4</v>
      </c>
      <c r="X50" s="7">
        <v>9.4852681792895799E-2</v>
      </c>
      <c r="Y50" s="41" t="s">
        <v>45</v>
      </c>
    </row>
    <row r="51" spans="2:25">
      <c r="B51" s="5" t="s">
        <v>41</v>
      </c>
      <c r="C51" s="5" t="s">
        <v>42</v>
      </c>
      <c r="D51" s="5" t="str">
        <f>IFERROR(INDEX(회사별_교통수단매핑!$C$2:$C$1000,MATCH(1,INDEX(($C$14=회사별_교통수단매핑!$A$2:$A$1000)*($Y51=회사별_교통수단매핑!$B$2:$B$1000),0),0)),"")</f>
        <v>장거리버스/코치</v>
      </c>
      <c r="E51" s="39">
        <v>1</v>
      </c>
      <c r="F51" s="42" t="s">
        <v>104</v>
      </c>
      <c r="G51" s="8" t="s">
        <v>105</v>
      </c>
      <c r="H51" s="12"/>
      <c r="I51" s="5">
        <f t="shared" si="0"/>
        <v>1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</v>
      </c>
      <c r="U51" s="5"/>
      <c r="V51" s="6"/>
      <c r="W51" s="7">
        <v>1.0385E-4</v>
      </c>
      <c r="X51" s="7">
        <v>2.146132853786285E-2</v>
      </c>
      <c r="Y51" s="41" t="s">
        <v>45</v>
      </c>
    </row>
    <row r="52" spans="2:25">
      <c r="B52" s="5" t="s">
        <v>41</v>
      </c>
      <c r="C52" s="5" t="s">
        <v>42</v>
      </c>
      <c r="D52" s="5" t="str">
        <f>IFERROR(INDEX(회사별_교통수단매핑!$C$2:$C$1000,MATCH(1,INDEX(($C$14=회사별_교통수단매핑!$A$2:$A$1000)*($Y52=회사별_교통수단매핑!$B$2:$B$1000),0),0)),"")</f>
        <v>장거리버스/코치</v>
      </c>
      <c r="E52" s="39">
        <v>1</v>
      </c>
      <c r="F52" s="42" t="s">
        <v>106</v>
      </c>
      <c r="G52" s="8" t="s">
        <v>107</v>
      </c>
      <c r="H52" s="12"/>
      <c r="I52" s="5">
        <f t="shared" si="0"/>
        <v>2</v>
      </c>
      <c r="J52" s="5"/>
      <c r="K52" s="5"/>
      <c r="L52" s="5"/>
      <c r="M52" s="5">
        <v>1</v>
      </c>
      <c r="N52" s="5"/>
      <c r="O52" s="5">
        <v>1</v>
      </c>
      <c r="P52" s="5"/>
      <c r="Q52" s="5"/>
      <c r="R52" s="5"/>
      <c r="S52" s="5"/>
      <c r="T52" s="5"/>
      <c r="U52" s="5"/>
      <c r="V52" s="6"/>
      <c r="W52" s="7">
        <v>1.0385E-4</v>
      </c>
      <c r="X52" s="7">
        <v>4.2922657075725699E-2</v>
      </c>
      <c r="Y52" s="41" t="s">
        <v>45</v>
      </c>
    </row>
    <row r="53" spans="2:25">
      <c r="B53" s="5" t="s">
        <v>41</v>
      </c>
      <c r="C53" s="5" t="s">
        <v>42</v>
      </c>
      <c r="D53" s="5" t="str">
        <f>IFERROR(INDEX(회사별_교통수단매핑!$C$2:$C$1000,MATCH(1,INDEX(($C$14=회사별_교통수단매핑!$A$2:$A$1000)*($Y53=회사별_교통수단매핑!$B$2:$B$1000),0),0)),"")</f>
        <v>장거리버스/코치</v>
      </c>
      <c r="E53" s="39">
        <v>1</v>
      </c>
      <c r="F53" s="42" t="s">
        <v>108</v>
      </c>
      <c r="G53" s="8" t="s">
        <v>109</v>
      </c>
      <c r="H53" s="12"/>
      <c r="I53" s="5">
        <f t="shared" si="0"/>
        <v>1</v>
      </c>
      <c r="J53" s="5"/>
      <c r="K53" s="5"/>
      <c r="L53" s="5"/>
      <c r="M53" s="5"/>
      <c r="N53" s="5">
        <v>1</v>
      </c>
      <c r="O53" s="5"/>
      <c r="P53" s="5"/>
      <c r="Q53" s="5"/>
      <c r="R53" s="5"/>
      <c r="S53" s="5"/>
      <c r="T53" s="5"/>
      <c r="U53" s="5"/>
      <c r="V53" s="6"/>
      <c r="W53" s="7">
        <v>1.0385E-4</v>
      </c>
      <c r="X53" s="7">
        <v>3.9958046186540183E-2</v>
      </c>
      <c r="Y53" s="41" t="s">
        <v>45</v>
      </c>
    </row>
    <row r="54" spans="2:25">
      <c r="B54" s="5" t="s">
        <v>41</v>
      </c>
      <c r="C54" s="5" t="s">
        <v>42</v>
      </c>
      <c r="D54" s="5" t="str">
        <f>IFERROR(INDEX(회사별_교통수단매핑!$C$2:$C$1000,MATCH(1,INDEX(($C$14=회사별_교통수단매핑!$A$2:$A$1000)*($Y54=회사별_교통수단매핑!$B$2:$B$1000),0),0)),"")</f>
        <v>장거리버스/코치</v>
      </c>
      <c r="E54" s="39">
        <v>1</v>
      </c>
      <c r="F54" s="42" t="s">
        <v>110</v>
      </c>
      <c r="G54" s="8" t="s">
        <v>111</v>
      </c>
      <c r="H54" s="12"/>
      <c r="I54" s="5">
        <f t="shared" si="0"/>
        <v>4</v>
      </c>
      <c r="J54" s="5"/>
      <c r="K54" s="5">
        <v>1</v>
      </c>
      <c r="L54" s="5"/>
      <c r="M54" s="5">
        <v>1</v>
      </c>
      <c r="N54" s="5"/>
      <c r="O54" s="5"/>
      <c r="P54" s="5"/>
      <c r="Q54" s="5"/>
      <c r="R54" s="5"/>
      <c r="S54" s="5">
        <v>1</v>
      </c>
      <c r="T54" s="5">
        <v>1</v>
      </c>
      <c r="U54" s="5"/>
      <c r="V54" s="6"/>
      <c r="W54" s="7">
        <v>1.0385E-4</v>
      </c>
      <c r="X54" s="7">
        <v>0.1262993989704696</v>
      </c>
      <c r="Y54" s="41" t="s">
        <v>45</v>
      </c>
    </row>
    <row r="55" spans="2:25">
      <c r="B55" s="5" t="s">
        <v>41</v>
      </c>
      <c r="C55" s="5" t="s">
        <v>42</v>
      </c>
      <c r="D55" s="5" t="str">
        <f>IFERROR(INDEX(회사별_교통수단매핑!$C$2:$C$1000,MATCH(1,INDEX(($C$14=회사별_교통수단매핑!$A$2:$A$1000)*($Y55=회사별_교통수단매핑!$B$2:$B$1000),0),0)),"")</f>
        <v>장거리버스/코치</v>
      </c>
      <c r="E55" s="39">
        <v>1</v>
      </c>
      <c r="F55" s="42" t="s">
        <v>112</v>
      </c>
      <c r="G55" s="8" t="s">
        <v>113</v>
      </c>
      <c r="H55" s="12"/>
      <c r="I55" s="5">
        <f t="shared" si="0"/>
        <v>2</v>
      </c>
      <c r="J55" s="5"/>
      <c r="K55" s="5"/>
      <c r="L55" s="5"/>
      <c r="M55" s="5">
        <v>2</v>
      </c>
      <c r="N55" s="5"/>
      <c r="O55" s="5"/>
      <c r="P55" s="5"/>
      <c r="Q55" s="5"/>
      <c r="R55" s="5"/>
      <c r="S55" s="5"/>
      <c r="T55" s="5"/>
      <c r="U55" s="5"/>
      <c r="V55" s="6"/>
      <c r="W55" s="7">
        <v>1.0385E-4</v>
      </c>
      <c r="X55" s="7">
        <v>0.1356586350837152</v>
      </c>
      <c r="Y55" s="41" t="s">
        <v>45</v>
      </c>
    </row>
    <row r="56" spans="2:25">
      <c r="B56" s="5" t="s">
        <v>41</v>
      </c>
      <c r="C56" s="5" t="s">
        <v>42</v>
      </c>
      <c r="D56" s="5" t="str">
        <f>IFERROR(INDEX(회사별_교통수단매핑!$C$2:$C$1000,MATCH(1,INDEX(($C$14=회사별_교통수단매핑!$A$2:$A$1000)*($Y56=회사별_교통수단매핑!$B$2:$B$1000),0),0)),"")</f>
        <v>국내선 항공</v>
      </c>
      <c r="E56" s="39">
        <v>1</v>
      </c>
      <c r="F56" s="42" t="s">
        <v>114</v>
      </c>
      <c r="G56" s="8" t="s">
        <v>115</v>
      </c>
      <c r="H56" s="12"/>
      <c r="I56" s="5">
        <f t="shared" si="0"/>
        <v>1</v>
      </c>
      <c r="J56" s="5"/>
      <c r="K56" s="5"/>
      <c r="L56" s="5">
        <v>1</v>
      </c>
      <c r="M56" s="5"/>
      <c r="N56" s="5"/>
      <c r="O56" s="5"/>
      <c r="P56" s="5"/>
      <c r="Q56" s="5"/>
      <c r="R56" s="5"/>
      <c r="S56" s="5"/>
      <c r="T56" s="5"/>
      <c r="U56" s="5"/>
      <c r="V56" s="6"/>
      <c r="W56" s="7">
        <v>1.4253000000000001E-4</v>
      </c>
      <c r="X56" s="7">
        <v>5.8236715222679293E-2</v>
      </c>
      <c r="Y56" s="41" t="s">
        <v>116</v>
      </c>
    </row>
    <row r="57" spans="2:25">
      <c r="B57" s="5" t="s">
        <v>41</v>
      </c>
      <c r="C57" s="5" t="s">
        <v>42</v>
      </c>
      <c r="D57" s="5" t="str">
        <f>IFERROR(INDEX(회사별_교통수단매핑!$C$2:$C$1000,MATCH(1,INDEX(($C$14=회사별_교통수단매핑!$A$2:$A$1000)*($Y57=회사별_교통수단매핑!$B$2:$B$1000),0),0)),"")</f>
        <v>국내선 항공</v>
      </c>
      <c r="E57" s="39">
        <v>1</v>
      </c>
      <c r="F57" s="42" t="s">
        <v>117</v>
      </c>
      <c r="G57" s="8" t="s">
        <v>118</v>
      </c>
      <c r="H57" s="12"/>
      <c r="I57" s="5">
        <f t="shared" si="0"/>
        <v>1</v>
      </c>
      <c r="J57" s="5"/>
      <c r="K57" s="5"/>
      <c r="L57" s="5"/>
      <c r="M57" s="5"/>
      <c r="N57" s="5"/>
      <c r="O57" s="5"/>
      <c r="P57" s="5"/>
      <c r="Q57" s="5"/>
      <c r="R57" s="5">
        <v>1</v>
      </c>
      <c r="S57" s="5"/>
      <c r="T57" s="5"/>
      <c r="U57" s="5"/>
      <c r="V57" s="6"/>
      <c r="W57" s="7">
        <v>1.4253000000000001E-4</v>
      </c>
      <c r="X57" s="7">
        <v>5.8236715222679293E-2</v>
      </c>
      <c r="Y57" s="41" t="s">
        <v>116</v>
      </c>
    </row>
    <row r="58" spans="2:25">
      <c r="B58" s="5" t="s">
        <v>41</v>
      </c>
      <c r="C58" s="5" t="s">
        <v>42</v>
      </c>
      <c r="D58" s="5" t="str">
        <f>IFERROR(INDEX(회사별_교통수단매핑!$C$2:$C$1000,MATCH(1,INDEX(($C$14=회사별_교통수단매핑!$A$2:$A$1000)*($Y58=회사별_교통수단매핑!$B$2:$B$1000),0),0)),"")</f>
        <v>국내선 항공</v>
      </c>
      <c r="E58" s="39">
        <v>1</v>
      </c>
      <c r="F58" s="42" t="s">
        <v>119</v>
      </c>
      <c r="G58" s="8" t="s">
        <v>120</v>
      </c>
      <c r="H58" s="12"/>
      <c r="I58" s="5">
        <f t="shared" si="0"/>
        <v>2</v>
      </c>
      <c r="J58" s="5"/>
      <c r="K58" s="5"/>
      <c r="L58" s="5">
        <v>2</v>
      </c>
      <c r="M58" s="5"/>
      <c r="N58" s="5"/>
      <c r="O58" s="5"/>
      <c r="P58" s="5"/>
      <c r="Q58" s="5"/>
      <c r="R58" s="5"/>
      <c r="S58" s="5"/>
      <c r="T58" s="5"/>
      <c r="U58" s="5"/>
      <c r="V58" s="6"/>
      <c r="W58" s="7">
        <v>1.4253000000000001E-4</v>
      </c>
      <c r="X58" s="7">
        <v>0.1164734304453586</v>
      </c>
      <c r="Y58" s="41" t="s">
        <v>116</v>
      </c>
    </row>
    <row r="59" spans="2:25">
      <c r="B59" s="5" t="s">
        <v>41</v>
      </c>
      <c r="C59" s="5" t="s">
        <v>42</v>
      </c>
      <c r="D59" s="5" t="str">
        <f>IFERROR(INDEX(회사별_교통수단매핑!$C$2:$C$1000,MATCH(1,INDEX(($C$14=회사별_교통수단매핑!$A$2:$A$1000)*($Y59=회사별_교통수단매핑!$B$2:$B$1000),0),0)),"")</f>
        <v>승용차(평균)</v>
      </c>
      <c r="E59" s="39">
        <v>1</v>
      </c>
      <c r="F59" s="42" t="s">
        <v>121</v>
      </c>
      <c r="G59" s="8" t="s">
        <v>51</v>
      </c>
      <c r="H59" s="12"/>
      <c r="I59" s="5">
        <f t="shared" si="0"/>
        <v>1</v>
      </c>
      <c r="J59" s="5"/>
      <c r="K59" s="5"/>
      <c r="L59" s="5"/>
      <c r="M59" s="5"/>
      <c r="N59" s="5"/>
      <c r="O59" s="5"/>
      <c r="P59" s="5"/>
      <c r="Q59" s="5"/>
      <c r="R59" s="5">
        <v>1</v>
      </c>
      <c r="S59" s="5"/>
      <c r="T59" s="5"/>
      <c r="U59" s="5"/>
      <c r="V59" s="6"/>
      <c r="W59" s="7">
        <v>1.7304000000000001E-4</v>
      </c>
      <c r="X59" s="7">
        <v>2.5782855836630991E-2</v>
      </c>
      <c r="Y59" s="41" t="s">
        <v>122</v>
      </c>
    </row>
    <row r="60" spans="2:25">
      <c r="B60" s="5" t="s">
        <v>41</v>
      </c>
      <c r="C60" s="5" t="s">
        <v>42</v>
      </c>
      <c r="D60" s="5" t="str">
        <f>IFERROR(INDEX(회사별_교통수단매핑!$C$2:$C$1000,MATCH(1,INDEX(($C$14=회사별_교통수단매핑!$A$2:$A$1000)*($Y60=회사별_교통수단매핑!$B$2:$B$1000),0),0)),"")</f>
        <v>승용차(평균)</v>
      </c>
      <c r="E60" s="39">
        <v>1</v>
      </c>
      <c r="F60" s="42" t="s">
        <v>123</v>
      </c>
      <c r="G60" s="8" t="s">
        <v>124</v>
      </c>
      <c r="H60" s="12"/>
      <c r="I60" s="5">
        <f t="shared" si="0"/>
        <v>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</v>
      </c>
      <c r="V60" s="6"/>
      <c r="W60" s="7">
        <v>1.7304000000000001E-4</v>
      </c>
      <c r="X60" s="7">
        <v>9.4479839999999995E-3</v>
      </c>
      <c r="Y60" s="41" t="s">
        <v>122</v>
      </c>
    </row>
    <row r="61" spans="2:25">
      <c r="B61" s="5" t="s">
        <v>41</v>
      </c>
      <c r="C61" s="5" t="s">
        <v>42</v>
      </c>
      <c r="D61" s="5" t="str">
        <f>IFERROR(INDEX(회사별_교통수단매핑!$C$2:$C$1000,MATCH(1,INDEX(($C$14=회사별_교통수단매핑!$A$2:$A$1000)*($Y61=회사별_교통수단매핑!$B$2:$B$1000),0),0)),"")</f>
        <v>승용차(평균)</v>
      </c>
      <c r="E61" s="39">
        <v>1</v>
      </c>
      <c r="F61" s="42" t="s">
        <v>125</v>
      </c>
      <c r="G61" s="8" t="s">
        <v>126</v>
      </c>
      <c r="H61" s="12"/>
      <c r="I61" s="5">
        <f t="shared" si="0"/>
        <v>1</v>
      </c>
      <c r="J61" s="5">
        <v>1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6"/>
      <c r="W61" s="7">
        <v>1.7304000000000001E-4</v>
      </c>
      <c r="X61" s="7">
        <v>1.605906747043984E-2</v>
      </c>
      <c r="Y61" s="41" t="s">
        <v>122</v>
      </c>
    </row>
    <row r="62" spans="2:25">
      <c r="B62" s="5" t="s">
        <v>41</v>
      </c>
      <c r="C62" s="5" t="s">
        <v>42</v>
      </c>
      <c r="D62" s="5" t="str">
        <f>IFERROR(INDEX(회사별_교통수단매핑!$C$2:$C$1000,MATCH(1,INDEX(($C$14=회사별_교통수단매핑!$A$2:$A$1000)*($Y62=회사별_교통수단매핑!$B$2:$B$1000),0),0)),"")</f>
        <v>승용차(평균)</v>
      </c>
      <c r="E62" s="39">
        <v>1</v>
      </c>
      <c r="F62" s="42" t="s">
        <v>127</v>
      </c>
      <c r="G62" s="8" t="s">
        <v>63</v>
      </c>
      <c r="H62" s="12"/>
      <c r="I62" s="5">
        <f t="shared" si="0"/>
        <v>2</v>
      </c>
      <c r="J62" s="5"/>
      <c r="K62" s="5"/>
      <c r="L62" s="5"/>
      <c r="M62" s="5"/>
      <c r="N62" s="5"/>
      <c r="O62" s="5"/>
      <c r="P62" s="5">
        <v>1</v>
      </c>
      <c r="Q62" s="5"/>
      <c r="R62" s="5"/>
      <c r="S62" s="5"/>
      <c r="T62" s="5">
        <v>1</v>
      </c>
      <c r="U62" s="5"/>
      <c r="V62" s="6"/>
      <c r="W62" s="7">
        <v>1.7304000000000001E-4</v>
      </c>
      <c r="X62" s="7">
        <v>2.9837130684665151E-2</v>
      </c>
      <c r="Y62" s="41" t="s">
        <v>122</v>
      </c>
    </row>
    <row r="63" spans="2:25">
      <c r="B63" s="5" t="s">
        <v>41</v>
      </c>
      <c r="C63" s="5" t="s">
        <v>42</v>
      </c>
      <c r="D63" s="5" t="str">
        <f>IFERROR(INDEX(회사별_교통수단매핑!$C$2:$C$1000,MATCH(1,INDEX(($C$14=회사별_교통수단매핑!$A$2:$A$1000)*($Y63=회사별_교통수단매핑!$B$2:$B$1000),0),0)),"")</f>
        <v>승용차(평균)</v>
      </c>
      <c r="E63" s="39">
        <v>1</v>
      </c>
      <c r="F63" s="42" t="s">
        <v>128</v>
      </c>
      <c r="G63" s="8" t="s">
        <v>75</v>
      </c>
      <c r="H63" s="12"/>
      <c r="I63" s="5">
        <f t="shared" si="0"/>
        <v>2</v>
      </c>
      <c r="J63" s="5"/>
      <c r="K63" s="5"/>
      <c r="L63" s="5"/>
      <c r="M63" s="5">
        <v>2</v>
      </c>
      <c r="N63" s="5"/>
      <c r="O63" s="5"/>
      <c r="P63" s="5"/>
      <c r="Q63" s="5"/>
      <c r="R63" s="5"/>
      <c r="S63" s="5"/>
      <c r="T63" s="5"/>
      <c r="U63" s="5"/>
      <c r="V63" s="6"/>
      <c r="W63" s="7">
        <v>1.7304000000000001E-4</v>
      </c>
      <c r="X63" s="7">
        <v>7.1519851520304045E-2</v>
      </c>
      <c r="Y63" s="41" t="s">
        <v>122</v>
      </c>
    </row>
    <row r="64" spans="2:25">
      <c r="B64" s="5" t="s">
        <v>41</v>
      </c>
      <c r="C64" s="5" t="s">
        <v>42</v>
      </c>
      <c r="D64" s="5" t="str">
        <f>IFERROR(INDEX(회사별_교통수단매핑!$C$2:$C$1000,MATCH(1,INDEX(($C$14=회사별_교통수단매핑!$A$2:$A$1000)*($Y64=회사별_교통수단매핑!$B$2:$B$1000),0),0)),"")</f>
        <v>승용차(평균)</v>
      </c>
      <c r="E64" s="39">
        <v>1</v>
      </c>
      <c r="F64" s="42" t="s">
        <v>129</v>
      </c>
      <c r="G64" s="8" t="s">
        <v>103</v>
      </c>
      <c r="H64" s="12"/>
      <c r="I64" s="5">
        <f t="shared" si="0"/>
        <v>1</v>
      </c>
      <c r="J64" s="5"/>
      <c r="K64" s="5"/>
      <c r="L64" s="5"/>
      <c r="M64" s="5"/>
      <c r="N64" s="5">
        <v>1</v>
      </c>
      <c r="O64" s="5"/>
      <c r="P64" s="5"/>
      <c r="Q64" s="5"/>
      <c r="R64" s="5"/>
      <c r="S64" s="5"/>
      <c r="T64" s="5"/>
      <c r="U64" s="5"/>
      <c r="V64" s="6"/>
      <c r="W64" s="7">
        <v>1.7304000000000001E-4</v>
      </c>
      <c r="X64" s="7">
        <v>2.634137065871078E-2</v>
      </c>
      <c r="Y64" s="41" t="s">
        <v>122</v>
      </c>
    </row>
    <row r="65" spans="2:25">
      <c r="B65" s="5" t="s">
        <v>41</v>
      </c>
      <c r="C65" s="5" t="s">
        <v>42</v>
      </c>
      <c r="D65" s="5" t="str">
        <f>IFERROR(INDEX(회사별_교통수단매핑!$C$2:$C$1000,MATCH(1,INDEX(($C$14=회사별_교통수단매핑!$A$2:$A$1000)*($Y65=회사별_교통수단매핑!$B$2:$B$1000),0),0)),"")</f>
        <v>승용차(평균)</v>
      </c>
      <c r="E65" s="39">
        <v>1</v>
      </c>
      <c r="F65" s="42" t="s">
        <v>130</v>
      </c>
      <c r="G65" s="8" t="s">
        <v>131</v>
      </c>
      <c r="H65" s="12"/>
      <c r="I65" s="5">
        <f t="shared" si="0"/>
        <v>1</v>
      </c>
      <c r="J65" s="5"/>
      <c r="K65" s="5"/>
      <c r="L65" s="5"/>
      <c r="M65" s="5"/>
      <c r="N65" s="5"/>
      <c r="O65" s="5">
        <v>1</v>
      </c>
      <c r="P65" s="5"/>
      <c r="Q65" s="5"/>
      <c r="R65" s="5"/>
      <c r="S65" s="5"/>
      <c r="T65" s="5"/>
      <c r="U65" s="5"/>
      <c r="V65" s="6"/>
      <c r="W65" s="7">
        <v>1.7304000000000001E-4</v>
      </c>
      <c r="X65" s="7">
        <v>3.5759925760152023E-2</v>
      </c>
      <c r="Y65" s="41" t="s">
        <v>122</v>
      </c>
    </row>
    <row r="66" spans="2:25" ht="14.45" customHeight="1">
      <c r="B66" s="5" t="s">
        <v>41</v>
      </c>
      <c r="C66" s="5" t="s">
        <v>42</v>
      </c>
      <c r="D66" s="5" t="str">
        <f>IFERROR(INDEX(회사별_교통수단매핑!$C$2:$C$1000,MATCH(1,INDEX(($C$14=회사별_교통수단매핑!$A$2:$A$1000)*($Y66=회사별_교통수단매핑!$B$2:$B$1000),0),0)),"")</f>
        <v>철도/KTX/SRT</v>
      </c>
      <c r="E66" s="39">
        <v>1</v>
      </c>
      <c r="F66" s="42" t="s">
        <v>132</v>
      </c>
      <c r="G66" s="8" t="s">
        <v>133</v>
      </c>
      <c r="H66" s="12"/>
      <c r="I66" s="5">
        <f t="shared" si="0"/>
        <v>1</v>
      </c>
      <c r="J66" s="5"/>
      <c r="K66" s="5"/>
      <c r="L66" s="5">
        <v>1</v>
      </c>
      <c r="M66" s="5"/>
      <c r="N66" s="5"/>
      <c r="O66" s="5"/>
      <c r="P66" s="5"/>
      <c r="Q66" s="5"/>
      <c r="R66" s="5"/>
      <c r="S66" s="5"/>
      <c r="T66" s="5"/>
      <c r="U66" s="5"/>
      <c r="V66" s="6"/>
      <c r="W66" s="7">
        <v>3.5460000000000003E-5</v>
      </c>
      <c r="X66" s="7">
        <v>2.3631655262234319E-2</v>
      </c>
      <c r="Y66" s="43" t="s">
        <v>134</v>
      </c>
    </row>
    <row r="67" spans="2:25" ht="14.45" customHeight="1">
      <c r="B67" s="5" t="s">
        <v>41</v>
      </c>
      <c r="C67" s="5" t="s">
        <v>42</v>
      </c>
      <c r="D67" s="5" t="str">
        <f>IFERROR(INDEX(회사별_교통수단매핑!$C$2:$C$1000,MATCH(1,INDEX(($C$14=회사별_교통수단매핑!$A$2:$A$1000)*($Y67=회사별_교통수단매핑!$B$2:$B$1000),0),0)),"")</f>
        <v>철도/KTX/SRT</v>
      </c>
      <c r="E67" s="39">
        <v>1</v>
      </c>
      <c r="F67" s="42" t="s">
        <v>135</v>
      </c>
      <c r="G67" s="8" t="s">
        <v>136</v>
      </c>
      <c r="H67" s="12"/>
      <c r="I67" s="5">
        <f t="shared" si="0"/>
        <v>1</v>
      </c>
      <c r="J67" s="5"/>
      <c r="K67" s="5"/>
      <c r="L67" s="5"/>
      <c r="M67" s="5"/>
      <c r="N67" s="5"/>
      <c r="O67" s="5"/>
      <c r="P67" s="5"/>
      <c r="Q67" s="5"/>
      <c r="R67" s="5">
        <v>1</v>
      </c>
      <c r="S67" s="5"/>
      <c r="T67" s="5"/>
      <c r="U67" s="5"/>
      <c r="V67" s="6"/>
      <c r="W67" s="7">
        <v>3.5460000000000003E-5</v>
      </c>
      <c r="X67" s="7">
        <v>2.27952176905706E-2</v>
      </c>
      <c r="Y67" s="43" t="s">
        <v>134</v>
      </c>
    </row>
    <row r="68" spans="2:25" ht="14.45" customHeight="1">
      <c r="B68" s="5" t="s">
        <v>41</v>
      </c>
      <c r="C68" s="5" t="s">
        <v>42</v>
      </c>
      <c r="D68" s="5" t="str">
        <f>IFERROR(INDEX(회사별_교통수단매핑!$C$2:$C$1000,MATCH(1,INDEX(($C$14=회사별_교통수단매핑!$A$2:$A$1000)*($Y68=회사별_교통수단매핑!$B$2:$B$1000),0),0)),"")</f>
        <v>철도/KTX/SRT</v>
      </c>
      <c r="E68" s="39">
        <v>1</v>
      </c>
      <c r="F68" s="42" t="s">
        <v>137</v>
      </c>
      <c r="G68" s="8" t="s">
        <v>138</v>
      </c>
      <c r="H68" s="12"/>
      <c r="I68" s="5">
        <f t="shared" si="0"/>
        <v>1</v>
      </c>
      <c r="J68" s="5"/>
      <c r="K68" s="5"/>
      <c r="L68" s="5"/>
      <c r="M68" s="5"/>
      <c r="N68" s="5"/>
      <c r="O68" s="5">
        <v>1</v>
      </c>
      <c r="P68" s="5"/>
      <c r="Q68" s="5"/>
      <c r="R68" s="5"/>
      <c r="S68" s="5"/>
      <c r="T68" s="5"/>
      <c r="U68" s="5"/>
      <c r="V68" s="6"/>
      <c r="W68" s="7">
        <v>3.5460000000000003E-5</v>
      </c>
      <c r="X68" s="7">
        <v>2.27952176905706E-2</v>
      </c>
      <c r="Y68" s="43" t="s">
        <v>134</v>
      </c>
    </row>
    <row r="69" spans="2:25" ht="14.45" customHeight="1">
      <c r="B69" s="5" t="s">
        <v>41</v>
      </c>
      <c r="C69" s="5" t="s">
        <v>42</v>
      </c>
      <c r="D69" s="5" t="str">
        <f>IFERROR(INDEX(회사별_교통수단매핑!$C$2:$C$1000,MATCH(1,INDEX(($C$14=회사별_교통수단매핑!$A$2:$A$1000)*($Y69=회사별_교통수단매핑!$B$2:$B$1000),0),0)),"")</f>
        <v>철도/KTX/SRT</v>
      </c>
      <c r="E69" s="39">
        <v>1</v>
      </c>
      <c r="F69" s="42" t="s">
        <v>139</v>
      </c>
      <c r="G69" s="8" t="s">
        <v>140</v>
      </c>
      <c r="H69" s="12"/>
      <c r="I69" s="5">
        <f t="shared" si="0"/>
        <v>1</v>
      </c>
      <c r="J69" s="5"/>
      <c r="K69" s="5"/>
      <c r="L69" s="5"/>
      <c r="M69" s="5"/>
      <c r="N69" s="5"/>
      <c r="O69" s="5"/>
      <c r="P69" s="5"/>
      <c r="Q69" s="5"/>
      <c r="R69" s="5"/>
      <c r="S69" s="5">
        <v>1</v>
      </c>
      <c r="T69" s="5"/>
      <c r="U69" s="5"/>
      <c r="V69" s="6"/>
      <c r="W69" s="7">
        <v>3.5460000000000003E-5</v>
      </c>
      <c r="X69" s="7">
        <v>2.27952176905706E-2</v>
      </c>
      <c r="Y69" s="43" t="s">
        <v>134</v>
      </c>
    </row>
    <row r="70" spans="2:25" ht="14.45" customHeight="1">
      <c r="B70" s="5" t="s">
        <v>41</v>
      </c>
      <c r="C70" s="5" t="s">
        <v>42</v>
      </c>
      <c r="D70" s="5" t="str">
        <f>IFERROR(INDEX(회사별_교통수단매핑!$C$2:$C$1000,MATCH(1,INDEX(($C$14=회사별_교통수단매핑!$A$2:$A$1000)*($Y70=회사별_교통수단매핑!$B$2:$B$1000),0),0)),"")</f>
        <v>철도/KTX/SRT</v>
      </c>
      <c r="E70" s="39">
        <v>1</v>
      </c>
      <c r="F70" s="42" t="s">
        <v>141</v>
      </c>
      <c r="G70" s="8" t="s">
        <v>49</v>
      </c>
      <c r="H70" s="12"/>
      <c r="I70" s="5">
        <f t="shared" si="0"/>
        <v>14</v>
      </c>
      <c r="J70" s="5">
        <v>1</v>
      </c>
      <c r="K70" s="5"/>
      <c r="L70" s="5">
        <v>1</v>
      </c>
      <c r="M70" s="5">
        <v>2</v>
      </c>
      <c r="N70" s="5">
        <v>2</v>
      </c>
      <c r="O70" s="5">
        <v>1</v>
      </c>
      <c r="P70" s="5">
        <v>1</v>
      </c>
      <c r="Q70" s="5"/>
      <c r="R70" s="5">
        <v>2</v>
      </c>
      <c r="S70" s="5"/>
      <c r="T70" s="5">
        <v>3</v>
      </c>
      <c r="U70" s="5">
        <v>1</v>
      </c>
      <c r="V70" s="6"/>
      <c r="W70" s="7">
        <v>3.5460000000000003E-5</v>
      </c>
      <c r="X70" s="7">
        <v>0.31913304766798839</v>
      </c>
      <c r="Y70" s="43" t="s">
        <v>134</v>
      </c>
    </row>
    <row r="71" spans="2:25" ht="14.45" customHeight="1">
      <c r="B71" s="5" t="s">
        <v>41</v>
      </c>
      <c r="C71" s="5" t="s">
        <v>42</v>
      </c>
      <c r="D71" s="5" t="str">
        <f>IFERROR(INDEX(회사별_교통수단매핑!$C$2:$C$1000,MATCH(1,INDEX(($C$14=회사별_교통수단매핑!$A$2:$A$1000)*($Y71=회사별_교통수단매핑!$B$2:$B$1000),0),0)),"")</f>
        <v>철도/KTX/SRT</v>
      </c>
      <c r="E71" s="39">
        <v>1</v>
      </c>
      <c r="F71" s="42" t="s">
        <v>142</v>
      </c>
      <c r="G71" s="8" t="s">
        <v>143</v>
      </c>
      <c r="H71" s="12"/>
      <c r="I71" s="5">
        <f t="shared" si="0"/>
        <v>1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1</v>
      </c>
      <c r="U71" s="5"/>
      <c r="V71" s="6"/>
      <c r="W71" s="7">
        <v>3.5460000000000003E-5</v>
      </c>
      <c r="X71" s="7">
        <v>2.27952176905706E-2</v>
      </c>
      <c r="Y71" s="43" t="s">
        <v>134</v>
      </c>
    </row>
    <row r="72" spans="2:25" ht="14.45" customHeight="1">
      <c r="B72" s="5" t="s">
        <v>41</v>
      </c>
      <c r="C72" s="5" t="s">
        <v>42</v>
      </c>
      <c r="D72" s="5" t="str">
        <f>IFERROR(INDEX(회사별_교통수단매핑!$C$2:$C$1000,MATCH(1,INDEX(($C$14=회사별_교통수단매핑!$A$2:$A$1000)*($Y72=회사별_교통수단매핑!$B$2:$B$1000),0),0)),"")</f>
        <v>철도/KTX/SRT</v>
      </c>
      <c r="E72" s="39">
        <v>1</v>
      </c>
      <c r="F72" s="42" t="s">
        <v>144</v>
      </c>
      <c r="G72" s="8" t="s">
        <v>145</v>
      </c>
      <c r="H72" s="12"/>
      <c r="I72" s="5">
        <f t="shared" si="0"/>
        <v>1</v>
      </c>
      <c r="J72" s="5"/>
      <c r="K72" s="5"/>
      <c r="L72" s="5"/>
      <c r="M72" s="5"/>
      <c r="N72" s="5"/>
      <c r="O72" s="5"/>
      <c r="P72" s="5"/>
      <c r="Q72" s="5"/>
      <c r="R72" s="5"/>
      <c r="S72" s="5">
        <v>1</v>
      </c>
      <c r="T72" s="5"/>
      <c r="U72" s="5"/>
      <c r="V72" s="6"/>
      <c r="W72" s="7">
        <v>3.5460000000000003E-5</v>
      </c>
      <c r="X72" s="7">
        <v>7.7029580646084126E-3</v>
      </c>
      <c r="Y72" s="43" t="s">
        <v>134</v>
      </c>
    </row>
    <row r="73" spans="2:25" ht="14.45" customHeight="1">
      <c r="B73" s="5" t="s">
        <v>41</v>
      </c>
      <c r="C73" s="5" t="s">
        <v>42</v>
      </c>
      <c r="D73" s="5" t="str">
        <f>IFERROR(INDEX(회사별_교통수단매핑!$C$2:$C$1000,MATCH(1,INDEX(($C$14=회사별_교통수단매핑!$A$2:$A$1000)*($Y73=회사별_교통수단매핑!$B$2:$B$1000),0),0)),"")</f>
        <v>철도/KTX/SRT</v>
      </c>
      <c r="E73" s="39">
        <v>1</v>
      </c>
      <c r="F73" s="42" t="s">
        <v>146</v>
      </c>
      <c r="G73" s="8" t="s">
        <v>131</v>
      </c>
      <c r="H73" s="12"/>
      <c r="I73" s="5">
        <f t="shared" si="0"/>
        <v>1</v>
      </c>
      <c r="J73" s="5"/>
      <c r="K73" s="5"/>
      <c r="L73" s="5"/>
      <c r="M73" s="5"/>
      <c r="N73" s="5"/>
      <c r="O73" s="5">
        <v>1</v>
      </c>
      <c r="P73" s="5"/>
      <c r="Q73" s="5"/>
      <c r="R73" s="5"/>
      <c r="S73" s="5"/>
      <c r="T73" s="5"/>
      <c r="U73" s="5"/>
      <c r="V73" s="6"/>
      <c r="W73" s="7">
        <v>3.5460000000000003E-5</v>
      </c>
      <c r="X73" s="7">
        <v>6.7643602232742494E-3</v>
      </c>
      <c r="Y73" s="43" t="s">
        <v>134</v>
      </c>
    </row>
    <row r="74" spans="2:25" ht="14.45" customHeight="1">
      <c r="B74" s="5" t="s">
        <v>41</v>
      </c>
      <c r="C74" s="5" t="s">
        <v>42</v>
      </c>
      <c r="D74" s="5" t="str">
        <f>IFERROR(INDEX(회사별_교통수단매핑!$C$2:$C$1000,MATCH(1,INDEX(($C$14=회사별_교통수단매핑!$A$2:$A$1000)*($Y74=회사별_교통수단매핑!$B$2:$B$1000),0),0)),"")</f>
        <v>철도/KTX/SRT</v>
      </c>
      <c r="E74" s="39">
        <v>1</v>
      </c>
      <c r="F74" s="42" t="s">
        <v>147</v>
      </c>
      <c r="G74" s="8" t="s">
        <v>148</v>
      </c>
      <c r="H74" s="12"/>
      <c r="I74" s="5">
        <f t="shared" si="0"/>
        <v>1</v>
      </c>
      <c r="J74" s="5"/>
      <c r="K74" s="5"/>
      <c r="L74" s="5">
        <v>1</v>
      </c>
      <c r="M74" s="5"/>
      <c r="N74" s="5"/>
      <c r="O74" s="5"/>
      <c r="P74" s="5"/>
      <c r="Q74" s="5"/>
      <c r="R74" s="5"/>
      <c r="S74" s="5"/>
      <c r="T74" s="5"/>
      <c r="U74" s="5"/>
      <c r="V74" s="6"/>
      <c r="W74" s="7">
        <v>3.5460000000000003E-5</v>
      </c>
      <c r="X74" s="7">
        <v>1.5818259526924922E-2</v>
      </c>
      <c r="Y74" s="43" t="s">
        <v>134</v>
      </c>
    </row>
    <row r="75" spans="2:25" ht="17.100000000000001" customHeight="1">
      <c r="B75" s="5" t="s">
        <v>41</v>
      </c>
      <c r="C75" s="40" t="s">
        <v>149</v>
      </c>
      <c r="D75" s="5" t="str">
        <f>IFERROR(INDEX(회사별_교통수단매핑!$C$2:$C$1000,MATCH(1,INDEX(($C$14=회사별_교통수단매핑!$A$2:$A$1000)*($Y75=회사별_교통수단매핑!$B$2:$B$1000),0),0)),"")</f>
        <v>장거리버스/코치</v>
      </c>
      <c r="E75" s="5">
        <v>1</v>
      </c>
      <c r="F75" s="42" t="s">
        <v>150</v>
      </c>
      <c r="G75" s="8" t="s">
        <v>151</v>
      </c>
      <c r="H75" s="12"/>
      <c r="I75" s="5">
        <f t="shared" si="0"/>
        <v>2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1</v>
      </c>
      <c r="U75" s="5">
        <v>1</v>
      </c>
      <c r="V75" s="6"/>
      <c r="W75" s="7">
        <v>1.0385E-4</v>
      </c>
      <c r="X75" s="7">
        <v>4.7118765158339057E-2</v>
      </c>
      <c r="Y75" s="41" t="s">
        <v>45</v>
      </c>
    </row>
    <row r="76" spans="2:25" ht="17.100000000000001" customHeight="1">
      <c r="B76" s="5" t="s">
        <v>41</v>
      </c>
      <c r="C76" s="40" t="s">
        <v>149</v>
      </c>
      <c r="D76" s="5" t="str">
        <f>IFERROR(INDEX(회사별_교통수단매핑!$C$2:$C$1000,MATCH(1,INDEX(($C$14=회사별_교통수단매핑!$A$2:$A$1000)*($Y76=회사별_교통수단매핑!$B$2:$B$1000),0),0)),"")</f>
        <v>국내선 항공</v>
      </c>
      <c r="E76" s="5">
        <v>1</v>
      </c>
      <c r="F76" s="42" t="s">
        <v>150</v>
      </c>
      <c r="G76" s="8" t="s">
        <v>120</v>
      </c>
      <c r="H76" s="12"/>
      <c r="I76" s="5">
        <f t="shared" si="0"/>
        <v>1</v>
      </c>
      <c r="J76" s="5"/>
      <c r="K76" s="5"/>
      <c r="L76" s="5">
        <v>1</v>
      </c>
      <c r="M76" s="5"/>
      <c r="N76" s="5"/>
      <c r="O76" s="5"/>
      <c r="P76" s="5"/>
      <c r="Q76" s="5"/>
      <c r="R76" s="5"/>
      <c r="S76" s="5"/>
      <c r="T76" s="5"/>
      <c r="U76" s="5"/>
      <c r="V76" s="6"/>
      <c r="W76" s="7">
        <v>1.4253000000000001E-4</v>
      </c>
      <c r="X76" s="7">
        <v>0.1016320925379178</v>
      </c>
      <c r="Y76" s="41" t="s">
        <v>116</v>
      </c>
    </row>
    <row r="77" spans="2:25" ht="17.100000000000001" customHeight="1">
      <c r="B77" s="5" t="s">
        <v>41</v>
      </c>
      <c r="C77" s="40" t="s">
        <v>149</v>
      </c>
      <c r="D77" s="5" t="str">
        <f>IFERROR(INDEX(회사별_교통수단매핑!$C$2:$C$1000,MATCH(1,INDEX(($C$14=회사별_교통수단매핑!$A$2:$A$1000)*($Y77=회사별_교통수단매핑!$B$2:$B$1000),0),0)),"")</f>
        <v>승용차(평균)</v>
      </c>
      <c r="E77" s="5">
        <v>1</v>
      </c>
      <c r="F77" s="42" t="s">
        <v>150</v>
      </c>
      <c r="G77" s="8" t="s">
        <v>152</v>
      </c>
      <c r="H77" s="12"/>
      <c r="I77" s="5">
        <f t="shared" si="0"/>
        <v>1</v>
      </c>
      <c r="J77" s="5">
        <v>1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6"/>
      <c r="W77" s="7">
        <v>1.7304000000000001E-4</v>
      </c>
      <c r="X77" s="7">
        <v>3.2279540820899622E-2</v>
      </c>
      <c r="Y77" s="41" t="s">
        <v>122</v>
      </c>
    </row>
    <row r="78" spans="2:25" ht="17.100000000000001" customHeight="1">
      <c r="B78" s="5" t="s">
        <v>41</v>
      </c>
      <c r="C78" s="40" t="s">
        <v>149</v>
      </c>
      <c r="D78" s="5" t="str">
        <f>IFERROR(INDEX(회사별_교통수단매핑!$C$2:$C$1000,MATCH(1,INDEX(($C$14=회사별_교통수단매핑!$A$2:$A$1000)*($Y78=회사별_교통수단매핑!$B$2:$B$1000),0),0)),"")</f>
        <v>승용차(평균)</v>
      </c>
      <c r="E78" s="5">
        <v>1</v>
      </c>
      <c r="F78" s="42" t="s">
        <v>150</v>
      </c>
      <c r="G78" s="8" t="s">
        <v>153</v>
      </c>
      <c r="H78" s="12"/>
      <c r="I78" s="5">
        <f t="shared" si="0"/>
        <v>1</v>
      </c>
      <c r="J78" s="5"/>
      <c r="K78" s="5"/>
      <c r="L78" s="5"/>
      <c r="M78" s="5">
        <v>1</v>
      </c>
      <c r="N78" s="5"/>
      <c r="O78" s="5"/>
      <c r="P78" s="5"/>
      <c r="Q78" s="5"/>
      <c r="R78" s="5"/>
      <c r="S78" s="5"/>
      <c r="T78" s="5"/>
      <c r="U78" s="5"/>
      <c r="V78" s="6"/>
      <c r="W78" s="7">
        <v>1.7304000000000001E-4</v>
      </c>
      <c r="X78" s="7">
        <v>2.5330752454867361E-2</v>
      </c>
      <c r="Y78" s="41" t="s">
        <v>122</v>
      </c>
    </row>
    <row r="79" spans="2:25" ht="17.100000000000001" customHeight="1">
      <c r="B79" s="5" t="s">
        <v>41</v>
      </c>
      <c r="C79" s="40" t="s">
        <v>149</v>
      </c>
      <c r="D79" s="5" t="str">
        <f>IFERROR(INDEX(회사별_교통수단매핑!$C$2:$C$1000,MATCH(1,INDEX(($C$14=회사별_교통수단매핑!$A$2:$A$1000)*($Y79=회사별_교통수단매핑!$B$2:$B$1000),0),0)),"")</f>
        <v>승용차(평균)</v>
      </c>
      <c r="E79" s="5">
        <v>1</v>
      </c>
      <c r="F79" s="42" t="s">
        <v>150</v>
      </c>
      <c r="G79" s="8" t="s">
        <v>154</v>
      </c>
      <c r="H79" s="12"/>
      <c r="I79" s="5">
        <f t="shared" si="0"/>
        <v>1</v>
      </c>
      <c r="J79" s="5"/>
      <c r="K79" s="5"/>
      <c r="L79" s="5"/>
      <c r="M79" s="5">
        <v>1</v>
      </c>
      <c r="N79" s="5"/>
      <c r="O79" s="5"/>
      <c r="P79" s="5"/>
      <c r="Q79" s="5"/>
      <c r="R79" s="5"/>
      <c r="S79" s="5"/>
      <c r="T79" s="5"/>
      <c r="U79" s="5"/>
      <c r="V79" s="6"/>
      <c r="W79" s="7">
        <v>1.7304000000000001E-4</v>
      </c>
      <c r="X79" s="7">
        <v>3.4919735702800103E-2</v>
      </c>
      <c r="Y79" s="41" t="s">
        <v>122</v>
      </c>
    </row>
    <row r="80" spans="2:25" ht="17.100000000000001" customHeight="1">
      <c r="B80" s="5" t="s">
        <v>41</v>
      </c>
      <c r="C80" s="40" t="s">
        <v>149</v>
      </c>
      <c r="D80" s="5" t="str">
        <f>IFERROR(INDEX(회사별_교통수단매핑!$C$2:$C$1000,MATCH(1,INDEX(($C$14=회사별_교통수단매핑!$A$2:$A$1000)*($Y80=회사별_교통수단매핑!$B$2:$B$1000),0),0)),"")</f>
        <v>승용차(평균)</v>
      </c>
      <c r="E80" s="5">
        <v>1</v>
      </c>
      <c r="F80" s="42" t="s">
        <v>150</v>
      </c>
      <c r="G80" s="8" t="s">
        <v>155</v>
      </c>
      <c r="H80" s="12"/>
      <c r="I80" s="5">
        <f t="shared" si="0"/>
        <v>1</v>
      </c>
      <c r="J80" s="5"/>
      <c r="K80" s="5"/>
      <c r="L80" s="5"/>
      <c r="M80" s="5">
        <v>1</v>
      </c>
      <c r="N80" s="5"/>
      <c r="O80" s="5"/>
      <c r="P80" s="5"/>
      <c r="Q80" s="5"/>
      <c r="R80" s="5"/>
      <c r="S80" s="5"/>
      <c r="T80" s="5"/>
      <c r="U80" s="5"/>
      <c r="V80" s="6"/>
      <c r="W80" s="7">
        <v>1.7304000000000001E-4</v>
      </c>
      <c r="X80" s="7">
        <v>3.4919735702800103E-2</v>
      </c>
      <c r="Y80" s="41" t="s">
        <v>122</v>
      </c>
    </row>
    <row r="81" spans="2:25" ht="17.100000000000001" customHeight="1">
      <c r="B81" s="5" t="s">
        <v>41</v>
      </c>
      <c r="C81" s="40" t="s">
        <v>149</v>
      </c>
      <c r="D81" s="5" t="str">
        <f>IFERROR(INDEX(회사별_교통수단매핑!$C$2:$C$1000,MATCH(1,INDEX(($C$14=회사별_교통수단매핑!$A$2:$A$1000)*($Y81=회사별_교통수단매핑!$B$2:$B$1000),0),0)),"")</f>
        <v>승용차(평균)</v>
      </c>
      <c r="E81" s="5">
        <v>1</v>
      </c>
      <c r="F81" s="42" t="s">
        <v>150</v>
      </c>
      <c r="G81" s="8" t="s">
        <v>156</v>
      </c>
      <c r="H81" s="12"/>
      <c r="I81" s="5">
        <f t="shared" si="0"/>
        <v>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1</v>
      </c>
      <c r="U81" s="5"/>
      <c r="V81" s="6"/>
      <c r="W81" s="7">
        <v>1.7304000000000001E-4</v>
      </c>
      <c r="X81" s="7">
        <v>3.4919735702800103E-2</v>
      </c>
      <c r="Y81" s="41" t="s">
        <v>122</v>
      </c>
    </row>
    <row r="82" spans="2:25" ht="17.100000000000001" customHeight="1">
      <c r="B82" s="5" t="s">
        <v>41</v>
      </c>
      <c r="C82" s="40" t="s">
        <v>149</v>
      </c>
      <c r="D82" s="5" t="str">
        <f>IFERROR(INDEX(회사별_교통수단매핑!$C$2:$C$1000,MATCH(1,INDEX(($C$14=회사별_교통수단매핑!$A$2:$A$1000)*($Y82=회사별_교통수단매핑!$B$2:$B$1000),0),0)),"")</f>
        <v>승용차(평균)</v>
      </c>
      <c r="E82" s="5">
        <v>1</v>
      </c>
      <c r="F82" s="42" t="s">
        <v>150</v>
      </c>
      <c r="G82" s="8" t="s">
        <v>157</v>
      </c>
      <c r="H82" s="12"/>
      <c r="I82" s="5">
        <f t="shared" si="0"/>
        <v>2</v>
      </c>
      <c r="J82" s="5"/>
      <c r="K82" s="5"/>
      <c r="L82" s="5"/>
      <c r="M82" s="5"/>
      <c r="N82" s="5"/>
      <c r="O82" s="5">
        <v>1</v>
      </c>
      <c r="P82" s="5"/>
      <c r="Q82" s="5">
        <v>1</v>
      </c>
      <c r="R82" s="5"/>
      <c r="S82" s="5"/>
      <c r="T82" s="5"/>
      <c r="U82" s="5"/>
      <c r="V82" s="6"/>
      <c r="W82" s="7">
        <v>1.7304000000000001E-4</v>
      </c>
      <c r="X82" s="7">
        <v>6.9839471405600193E-2</v>
      </c>
      <c r="Y82" s="41" t="s">
        <v>122</v>
      </c>
    </row>
    <row r="83" spans="2:25" ht="17.100000000000001" customHeight="1">
      <c r="B83" s="5" t="s">
        <v>41</v>
      </c>
      <c r="C83" s="40" t="s">
        <v>149</v>
      </c>
      <c r="D83" s="5" t="str">
        <f>IFERROR(INDEX(회사별_교통수단매핑!$C$2:$C$1000,MATCH(1,INDEX(($C$14=회사별_교통수단매핑!$A$2:$A$1000)*($Y83=회사별_교통수단매핑!$B$2:$B$1000),0),0)),"")</f>
        <v>승용차(평균)</v>
      </c>
      <c r="E83" s="5">
        <v>1</v>
      </c>
      <c r="F83" s="42" t="s">
        <v>150</v>
      </c>
      <c r="G83" s="8" t="s">
        <v>158</v>
      </c>
      <c r="H83" s="12"/>
      <c r="I83" s="5">
        <f t="shared" si="0"/>
        <v>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1</v>
      </c>
      <c r="V83" s="6"/>
      <c r="W83" s="7">
        <v>1.7304000000000001E-4</v>
      </c>
      <c r="X83" s="7">
        <v>1.0204417162856401E-2</v>
      </c>
      <c r="Y83" s="41" t="s">
        <v>122</v>
      </c>
    </row>
    <row r="84" spans="2:25" ht="17.100000000000001" customHeight="1">
      <c r="B84" s="5" t="s">
        <v>41</v>
      </c>
      <c r="C84" s="40" t="s">
        <v>149</v>
      </c>
      <c r="D84" s="5" t="str">
        <f>IFERROR(INDEX(회사별_교통수단매핑!$C$2:$C$1000,MATCH(1,INDEX(($C$14=회사별_교통수단매핑!$A$2:$A$1000)*($Y84=회사별_교통수단매핑!$B$2:$B$1000),0),0)),"")</f>
        <v>승용차(평균)</v>
      </c>
      <c r="E84" s="5">
        <v>1</v>
      </c>
      <c r="F84" s="42" t="s">
        <v>150</v>
      </c>
      <c r="G84" s="8" t="s">
        <v>159</v>
      </c>
      <c r="H84" s="12"/>
      <c r="I84" s="5">
        <f t="shared" si="0"/>
        <v>1</v>
      </c>
      <c r="J84" s="5"/>
      <c r="K84" s="5"/>
      <c r="L84" s="5"/>
      <c r="M84" s="5"/>
      <c r="N84" s="5"/>
      <c r="O84" s="5"/>
      <c r="P84" s="5">
        <v>1</v>
      </c>
      <c r="Q84" s="5"/>
      <c r="R84" s="5"/>
      <c r="S84" s="5"/>
      <c r="T84" s="5"/>
      <c r="U84" s="5"/>
      <c r="V84" s="6"/>
      <c r="W84" s="7">
        <v>1.7304000000000001E-4</v>
      </c>
      <c r="X84" s="7">
        <v>3.9549462228572987E-2</v>
      </c>
      <c r="Y84" s="41" t="s">
        <v>122</v>
      </c>
    </row>
    <row r="85" spans="2:25" ht="17.100000000000001" customHeight="1">
      <c r="B85" s="5" t="s">
        <v>41</v>
      </c>
      <c r="C85" s="40" t="s">
        <v>149</v>
      </c>
      <c r="D85" s="5" t="str">
        <f>IFERROR(INDEX(회사별_교통수단매핑!$C$2:$C$1000,MATCH(1,INDEX(($C$14=회사별_교통수단매핑!$A$2:$A$1000)*($Y85=회사별_교통수단매핑!$B$2:$B$1000),0),0)),"")</f>
        <v>철도/KTX/SRT</v>
      </c>
      <c r="E85" s="5">
        <v>1</v>
      </c>
      <c r="F85" s="42" t="s">
        <v>150</v>
      </c>
      <c r="G85" s="8" t="s">
        <v>136</v>
      </c>
      <c r="H85" s="12"/>
      <c r="I85" s="5">
        <f t="shared" ref="I85:I148" si="1">IF(SUM(J85:U85)=0,"",SUM(J85:U85))</f>
        <v>1</v>
      </c>
      <c r="J85" s="5"/>
      <c r="K85" s="5"/>
      <c r="L85" s="5"/>
      <c r="M85" s="5"/>
      <c r="N85" s="5"/>
      <c r="O85" s="5"/>
      <c r="P85" s="5"/>
      <c r="Q85" s="5"/>
      <c r="R85" s="5">
        <v>1</v>
      </c>
      <c r="S85" s="5"/>
      <c r="T85" s="5"/>
      <c r="U85" s="5"/>
      <c r="V85" s="6"/>
      <c r="W85" s="7">
        <v>3.5460000000000003E-5</v>
      </c>
      <c r="X85" s="7">
        <v>2.0216300560506811E-2</v>
      </c>
      <c r="Y85" s="43" t="s">
        <v>134</v>
      </c>
    </row>
    <row r="86" spans="2:25" ht="17.100000000000001" customHeight="1">
      <c r="B86" s="5" t="s">
        <v>41</v>
      </c>
      <c r="C86" s="40" t="s">
        <v>149</v>
      </c>
      <c r="D86" s="5" t="str">
        <f>IFERROR(INDEX(회사별_교통수단매핑!$C$2:$C$1000,MATCH(1,INDEX(($C$14=회사별_교통수단매핑!$A$2:$A$1000)*($Y86=회사별_교통수단매핑!$B$2:$B$1000),0),0)),"")</f>
        <v>철도/KTX/SRT</v>
      </c>
      <c r="E86" s="5">
        <v>1</v>
      </c>
      <c r="F86" s="42" t="s">
        <v>150</v>
      </c>
      <c r="G86" s="8" t="s">
        <v>138</v>
      </c>
      <c r="H86" s="12"/>
      <c r="I86" s="5">
        <f t="shared" si="1"/>
        <v>1</v>
      </c>
      <c r="J86" s="5"/>
      <c r="K86" s="5"/>
      <c r="L86" s="5"/>
      <c r="M86" s="5"/>
      <c r="N86" s="5"/>
      <c r="O86" s="5">
        <v>1</v>
      </c>
      <c r="P86" s="5"/>
      <c r="Q86" s="5"/>
      <c r="R86" s="5"/>
      <c r="S86" s="5"/>
      <c r="T86" s="5"/>
      <c r="U86" s="5"/>
      <c r="V86" s="6"/>
      <c r="W86" s="7">
        <v>3.5460000000000003E-5</v>
      </c>
      <c r="X86" s="7">
        <v>2.0216300560506811E-2</v>
      </c>
      <c r="Y86" s="43" t="s">
        <v>134</v>
      </c>
    </row>
    <row r="87" spans="2:25" ht="17.100000000000001" customHeight="1">
      <c r="B87" s="5" t="s">
        <v>41</v>
      </c>
      <c r="C87" s="40" t="s">
        <v>149</v>
      </c>
      <c r="D87" s="5" t="str">
        <f>IFERROR(INDEX(회사별_교통수단매핑!$C$2:$C$1000,MATCH(1,INDEX(($C$14=회사별_교통수단매핑!$A$2:$A$1000)*($Y87=회사별_교통수단매핑!$B$2:$B$1000),0),0)),"")</f>
        <v>철도/KTX/SRT</v>
      </c>
      <c r="E87" s="5">
        <v>1</v>
      </c>
      <c r="F87" s="42" t="s">
        <v>150</v>
      </c>
      <c r="G87" s="8" t="s">
        <v>49</v>
      </c>
      <c r="H87" s="12"/>
      <c r="I87" s="5">
        <f t="shared" si="1"/>
        <v>11</v>
      </c>
      <c r="J87" s="5">
        <v>1</v>
      </c>
      <c r="K87" s="5"/>
      <c r="L87" s="5">
        <v>1</v>
      </c>
      <c r="M87" s="5"/>
      <c r="N87" s="5">
        <v>2</v>
      </c>
      <c r="O87" s="5"/>
      <c r="P87" s="5">
        <v>1</v>
      </c>
      <c r="Q87" s="5"/>
      <c r="R87" s="5"/>
      <c r="S87" s="5"/>
      <c r="T87" s="5">
        <v>5</v>
      </c>
      <c r="U87" s="5">
        <v>1</v>
      </c>
      <c r="V87" s="6"/>
      <c r="W87" s="7">
        <v>3.5460000000000003E-5</v>
      </c>
      <c r="X87" s="7">
        <v>0.22237930616557491</v>
      </c>
      <c r="Y87" s="43" t="s">
        <v>134</v>
      </c>
    </row>
    <row r="88" spans="2:25" ht="17.100000000000001" customHeight="1">
      <c r="B88" s="5" t="s">
        <v>41</v>
      </c>
      <c r="C88" s="40" t="s">
        <v>149</v>
      </c>
      <c r="D88" s="5" t="str">
        <f>IFERROR(INDEX(회사별_교통수단매핑!$C$2:$C$1000,MATCH(1,INDEX(($C$14=회사별_교통수단매핑!$A$2:$A$1000)*($Y88=회사별_교통수단매핑!$B$2:$B$1000),0),0)),"")</f>
        <v>철도/KTX/SRT</v>
      </c>
      <c r="E88" s="5">
        <v>1</v>
      </c>
      <c r="F88" s="42" t="s">
        <v>150</v>
      </c>
      <c r="G88" s="8" t="s">
        <v>143</v>
      </c>
      <c r="H88" s="12"/>
      <c r="I88" s="5">
        <f t="shared" si="1"/>
        <v>1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</v>
      </c>
      <c r="U88" s="5"/>
      <c r="V88" s="6"/>
      <c r="W88" s="7">
        <v>3.5460000000000003E-5</v>
      </c>
      <c r="X88" s="7">
        <v>2.0216300560506811E-2</v>
      </c>
      <c r="Y88" s="43" t="s">
        <v>134</v>
      </c>
    </row>
    <row r="89" spans="2:25" ht="17.100000000000001" customHeight="1">
      <c r="B89" s="5" t="s">
        <v>41</v>
      </c>
      <c r="C89" s="40" t="s">
        <v>160</v>
      </c>
      <c r="D89" s="5" t="str">
        <f>IFERROR(INDEX(회사별_교통수단매핑!$C$2:$C$1000,MATCH(1,INDEX(($C$14=회사별_교통수단매핑!$A$2:$A$1000)*($Y89=회사별_교통수단매핑!$B$2:$B$1000),0),0)),"")</f>
        <v>장거리버스/코치</v>
      </c>
      <c r="E89" s="5">
        <v>1</v>
      </c>
      <c r="F89" s="42" t="s">
        <v>161</v>
      </c>
      <c r="G89" s="8" t="s">
        <v>162</v>
      </c>
      <c r="H89" s="12"/>
      <c r="I89" s="5">
        <f t="shared" si="1"/>
        <v>2</v>
      </c>
      <c r="J89" s="5"/>
      <c r="K89" s="5"/>
      <c r="L89" s="5"/>
      <c r="M89" s="5"/>
      <c r="N89" s="5">
        <v>2</v>
      </c>
      <c r="O89" s="5"/>
      <c r="P89" s="5"/>
      <c r="Q89" s="5"/>
      <c r="R89" s="5"/>
      <c r="S89" s="5"/>
      <c r="T89" s="5"/>
      <c r="U89" s="5"/>
      <c r="V89" s="6"/>
      <c r="W89" s="7">
        <v>1.0385E-4</v>
      </c>
      <c r="X89" s="7">
        <v>2.8679771965847738E-2</v>
      </c>
      <c r="Y89" s="41" t="s">
        <v>45</v>
      </c>
    </row>
    <row r="90" spans="2:25" ht="17.100000000000001" customHeight="1">
      <c r="B90" s="5" t="s">
        <v>41</v>
      </c>
      <c r="C90" s="40" t="s">
        <v>160</v>
      </c>
      <c r="D90" s="5" t="str">
        <f>IFERROR(INDEX(회사별_교통수단매핑!$C$2:$C$1000,MATCH(1,INDEX(($C$14=회사별_교통수단매핑!$A$2:$A$1000)*($Y90=회사별_교통수단매핑!$B$2:$B$1000),0),0)),"")</f>
        <v>장거리버스/코치</v>
      </c>
      <c r="E90" s="5">
        <v>1</v>
      </c>
      <c r="F90" s="42" t="s">
        <v>161</v>
      </c>
      <c r="G90" s="8" t="s">
        <v>163</v>
      </c>
      <c r="H90" s="12"/>
      <c r="I90" s="5">
        <f t="shared" si="1"/>
        <v>6</v>
      </c>
      <c r="J90" s="5"/>
      <c r="K90" s="5"/>
      <c r="L90" s="5">
        <v>3</v>
      </c>
      <c r="M90" s="5">
        <v>1</v>
      </c>
      <c r="N90" s="5"/>
      <c r="O90" s="5"/>
      <c r="P90" s="5">
        <v>1</v>
      </c>
      <c r="Q90" s="5"/>
      <c r="R90" s="5"/>
      <c r="S90" s="5"/>
      <c r="T90" s="5">
        <v>1</v>
      </c>
      <c r="U90" s="5"/>
      <c r="V90" s="6"/>
      <c r="W90" s="7">
        <v>1.0385E-4</v>
      </c>
      <c r="X90" s="7">
        <v>0.14273276972238269</v>
      </c>
      <c r="Y90" s="41" t="s">
        <v>45</v>
      </c>
    </row>
    <row r="91" spans="2:25" ht="17.100000000000001" customHeight="1">
      <c r="B91" s="5" t="s">
        <v>41</v>
      </c>
      <c r="C91" s="40" t="s">
        <v>160</v>
      </c>
      <c r="D91" s="5" t="str">
        <f>IFERROR(INDEX(회사별_교통수단매핑!$C$2:$C$1000,MATCH(1,INDEX(($C$14=회사별_교통수단매핑!$A$2:$A$1000)*($Y91=회사별_교통수단매핑!$B$2:$B$1000),0),0)),"")</f>
        <v>장거리버스/코치</v>
      </c>
      <c r="E91" s="5">
        <v>1</v>
      </c>
      <c r="F91" s="42" t="s">
        <v>161</v>
      </c>
      <c r="G91" s="8" t="s">
        <v>152</v>
      </c>
      <c r="H91" s="12"/>
      <c r="I91" s="5">
        <f t="shared" si="1"/>
        <v>4</v>
      </c>
      <c r="J91" s="5"/>
      <c r="K91" s="5"/>
      <c r="L91" s="5"/>
      <c r="M91" s="5"/>
      <c r="N91" s="5"/>
      <c r="O91" s="5"/>
      <c r="P91" s="5">
        <v>1</v>
      </c>
      <c r="Q91" s="5"/>
      <c r="R91" s="5"/>
      <c r="S91" s="5">
        <v>1</v>
      </c>
      <c r="T91" s="5">
        <v>1</v>
      </c>
      <c r="U91" s="5">
        <v>1</v>
      </c>
      <c r="V91" s="6"/>
      <c r="W91" s="7">
        <v>1.0385E-4</v>
      </c>
      <c r="X91" s="7">
        <v>3.9113777159439367E-2</v>
      </c>
      <c r="Y91" s="41" t="s">
        <v>45</v>
      </c>
    </row>
    <row r="92" spans="2:25" ht="17.100000000000001" customHeight="1">
      <c r="B92" s="5" t="s">
        <v>41</v>
      </c>
      <c r="C92" s="40" t="s">
        <v>160</v>
      </c>
      <c r="D92" s="5" t="str">
        <f>IFERROR(INDEX(회사별_교통수단매핑!$C$2:$C$1000,MATCH(1,INDEX(($C$14=회사별_교통수단매핑!$A$2:$A$1000)*($Y92=회사별_교통수단매핑!$B$2:$B$1000),0),0)),"")</f>
        <v>장거리버스/코치</v>
      </c>
      <c r="E92" s="5">
        <v>1</v>
      </c>
      <c r="F92" s="42" t="s">
        <v>161</v>
      </c>
      <c r="G92" s="8" t="s">
        <v>164</v>
      </c>
      <c r="H92" s="12"/>
      <c r="I92" s="5">
        <f t="shared" si="1"/>
        <v>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1</v>
      </c>
      <c r="U92" s="5"/>
      <c r="V92" s="6"/>
      <c r="W92" s="7">
        <v>1.0385E-4</v>
      </c>
      <c r="X92" s="7">
        <v>9.7784442898598417E-3</v>
      </c>
      <c r="Y92" s="41" t="s">
        <v>45</v>
      </c>
    </row>
    <row r="93" spans="2:25" ht="17.100000000000001" customHeight="1">
      <c r="B93" s="5" t="s">
        <v>41</v>
      </c>
      <c r="C93" s="40" t="s">
        <v>160</v>
      </c>
      <c r="D93" s="5" t="str">
        <f>IFERROR(INDEX(회사별_교통수단매핑!$C$2:$C$1000,MATCH(1,INDEX(($C$14=회사별_교통수단매핑!$A$2:$A$1000)*($Y93=회사별_교통수단매핑!$B$2:$B$1000),0),0)),"")</f>
        <v>장거리버스/코치</v>
      </c>
      <c r="E93" s="5">
        <v>1</v>
      </c>
      <c r="F93" s="42" t="s">
        <v>161</v>
      </c>
      <c r="G93" s="8" t="s">
        <v>165</v>
      </c>
      <c r="H93" s="12"/>
      <c r="I93" s="5">
        <f t="shared" si="1"/>
        <v>1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1</v>
      </c>
      <c r="U93" s="5"/>
      <c r="V93" s="6"/>
      <c r="W93" s="7">
        <v>1.0385E-4</v>
      </c>
      <c r="X93" s="7">
        <v>4.7865331243842121E-3</v>
      </c>
      <c r="Y93" s="41" t="s">
        <v>45</v>
      </c>
    </row>
    <row r="94" spans="2:25" ht="17.100000000000001" customHeight="1">
      <c r="B94" s="5" t="s">
        <v>41</v>
      </c>
      <c r="C94" s="40" t="s">
        <v>160</v>
      </c>
      <c r="D94" s="5" t="str">
        <f>IFERROR(INDEX(회사별_교통수단매핑!$C$2:$C$1000,MATCH(1,INDEX(($C$14=회사별_교통수단매핑!$A$2:$A$1000)*($Y94=회사별_교통수단매핑!$B$2:$B$1000),0),0)),"")</f>
        <v>장거리버스/코치</v>
      </c>
      <c r="E94" s="5">
        <v>1</v>
      </c>
      <c r="F94" s="42" t="s">
        <v>161</v>
      </c>
      <c r="G94" s="8" t="s">
        <v>166</v>
      </c>
      <c r="H94" s="12"/>
      <c r="I94" s="5">
        <f t="shared" si="1"/>
        <v>1</v>
      </c>
      <c r="J94" s="5"/>
      <c r="K94" s="5"/>
      <c r="L94" s="5"/>
      <c r="M94" s="5">
        <v>1</v>
      </c>
      <c r="N94" s="5"/>
      <c r="O94" s="5"/>
      <c r="P94" s="5"/>
      <c r="Q94" s="5"/>
      <c r="R94" s="5"/>
      <c r="S94" s="5"/>
      <c r="T94" s="5"/>
      <c r="U94" s="5"/>
      <c r="V94" s="6"/>
      <c r="W94" s="7">
        <v>1.0385E-4</v>
      </c>
      <c r="X94" s="7">
        <v>1.2228392765254901E-2</v>
      </c>
      <c r="Y94" s="41" t="s">
        <v>45</v>
      </c>
    </row>
    <row r="95" spans="2:25" ht="17.100000000000001" customHeight="1">
      <c r="B95" s="5" t="s">
        <v>41</v>
      </c>
      <c r="C95" s="40" t="s">
        <v>160</v>
      </c>
      <c r="D95" s="5" t="str">
        <f>IFERROR(INDEX(회사별_교통수단매핑!$C$2:$C$1000,MATCH(1,INDEX(($C$14=회사별_교통수단매핑!$A$2:$A$1000)*($Y95=회사별_교통수단매핑!$B$2:$B$1000),0),0)),"")</f>
        <v>장거리버스/코치</v>
      </c>
      <c r="E95" s="5">
        <v>1</v>
      </c>
      <c r="F95" s="42" t="s">
        <v>161</v>
      </c>
      <c r="G95" s="8" t="s">
        <v>167</v>
      </c>
      <c r="H95" s="12"/>
      <c r="I95" s="5">
        <f t="shared" si="1"/>
        <v>1</v>
      </c>
      <c r="J95" s="5"/>
      <c r="K95" s="5"/>
      <c r="L95" s="5"/>
      <c r="M95" s="5">
        <v>1</v>
      </c>
      <c r="N95" s="5"/>
      <c r="O95" s="5"/>
      <c r="P95" s="5"/>
      <c r="Q95" s="5"/>
      <c r="R95" s="5"/>
      <c r="S95" s="5"/>
      <c r="T95" s="5"/>
      <c r="U95" s="5"/>
      <c r="V95" s="6"/>
      <c r="W95" s="7">
        <v>1.0385E-4</v>
      </c>
      <c r="X95" s="7">
        <v>5.5125845651837473E-2</v>
      </c>
      <c r="Y95" s="41" t="s">
        <v>45</v>
      </c>
    </row>
    <row r="96" spans="2:25" ht="17.100000000000001" customHeight="1">
      <c r="B96" s="5" t="s">
        <v>41</v>
      </c>
      <c r="C96" s="40" t="s">
        <v>160</v>
      </c>
      <c r="D96" s="5" t="str">
        <f>IFERROR(INDEX(회사별_교통수단매핑!$C$2:$C$1000,MATCH(1,INDEX(($C$14=회사별_교통수단매핑!$A$2:$A$1000)*($Y96=회사별_교통수단매핑!$B$2:$B$1000),0),0)),"")</f>
        <v>장거리버스/코치</v>
      </c>
      <c r="E96" s="5">
        <v>1</v>
      </c>
      <c r="F96" s="42" t="s">
        <v>161</v>
      </c>
      <c r="G96" s="8" t="s">
        <v>168</v>
      </c>
      <c r="H96" s="12"/>
      <c r="I96" s="5">
        <f t="shared" si="1"/>
        <v>1</v>
      </c>
      <c r="J96" s="5"/>
      <c r="K96" s="5"/>
      <c r="L96" s="5"/>
      <c r="M96" s="5">
        <v>1</v>
      </c>
      <c r="N96" s="5"/>
      <c r="O96" s="5"/>
      <c r="P96" s="5"/>
      <c r="Q96" s="5"/>
      <c r="R96" s="5"/>
      <c r="S96" s="5"/>
      <c r="T96" s="5"/>
      <c r="U96" s="5"/>
      <c r="V96" s="6"/>
      <c r="W96" s="7">
        <v>1.0385E-4</v>
      </c>
      <c r="X96" s="7">
        <v>1.2228392765254901E-2</v>
      </c>
      <c r="Y96" s="41" t="s">
        <v>45</v>
      </c>
    </row>
    <row r="97" spans="2:25" ht="17.100000000000001" customHeight="1">
      <c r="B97" s="5" t="s">
        <v>41</v>
      </c>
      <c r="C97" s="40" t="s">
        <v>160</v>
      </c>
      <c r="D97" s="5" t="str">
        <f>IFERROR(INDEX(회사별_교통수단매핑!$C$2:$C$1000,MATCH(1,INDEX(($C$14=회사별_교통수단매핑!$A$2:$A$1000)*($Y97=회사별_교통수단매핑!$B$2:$B$1000),0),0)),"")</f>
        <v>장거리버스/코치</v>
      </c>
      <c r="E97" s="5">
        <v>1</v>
      </c>
      <c r="F97" s="42" t="s">
        <v>161</v>
      </c>
      <c r="G97" s="8" t="s">
        <v>169</v>
      </c>
      <c r="H97" s="12"/>
      <c r="I97" s="5">
        <f t="shared" si="1"/>
        <v>1</v>
      </c>
      <c r="J97" s="5"/>
      <c r="K97" s="5"/>
      <c r="L97" s="5"/>
      <c r="M97" s="5"/>
      <c r="N97" s="5"/>
      <c r="O97" s="5"/>
      <c r="P97" s="5"/>
      <c r="Q97" s="5"/>
      <c r="R97" s="5"/>
      <c r="S97" s="5">
        <v>1</v>
      </c>
      <c r="T97" s="5"/>
      <c r="U97" s="5"/>
      <c r="V97" s="6"/>
      <c r="W97" s="7">
        <v>1.0385E-4</v>
      </c>
      <c r="X97" s="7">
        <v>1.2228392765254901E-2</v>
      </c>
      <c r="Y97" s="41" t="s">
        <v>45</v>
      </c>
    </row>
    <row r="98" spans="2:25" ht="17.100000000000001" customHeight="1">
      <c r="B98" s="5" t="s">
        <v>41</v>
      </c>
      <c r="C98" s="40" t="s">
        <v>160</v>
      </c>
      <c r="D98" s="5" t="str">
        <f>IFERROR(INDEX(회사별_교통수단매핑!$C$2:$C$1000,MATCH(1,INDEX(($C$14=회사별_교통수단매핑!$A$2:$A$1000)*($Y98=회사별_교통수단매핑!$B$2:$B$1000),0),0)),"")</f>
        <v>국내선 항공</v>
      </c>
      <c r="E98" s="5">
        <v>1</v>
      </c>
      <c r="F98" s="42" t="s">
        <v>161</v>
      </c>
      <c r="G98" s="8" t="s">
        <v>170</v>
      </c>
      <c r="H98" s="12"/>
      <c r="I98" s="5">
        <f t="shared" si="1"/>
        <v>1</v>
      </c>
      <c r="J98" s="5"/>
      <c r="K98" s="5"/>
      <c r="L98" s="5">
        <v>1</v>
      </c>
      <c r="M98" s="5"/>
      <c r="N98" s="5"/>
      <c r="O98" s="5"/>
      <c r="P98" s="5"/>
      <c r="Q98" s="5"/>
      <c r="R98" s="5"/>
      <c r="S98" s="5"/>
      <c r="T98" s="5"/>
      <c r="U98" s="5"/>
      <c r="V98" s="6"/>
      <c r="W98" s="7">
        <v>1.4253000000000001E-4</v>
      </c>
      <c r="X98" s="7">
        <v>9.0898332844592353E-2</v>
      </c>
      <c r="Y98" s="41" t="s">
        <v>116</v>
      </c>
    </row>
    <row r="99" spans="2:25" ht="17.100000000000001" customHeight="1">
      <c r="B99" s="5" t="s">
        <v>41</v>
      </c>
      <c r="C99" s="40" t="s">
        <v>160</v>
      </c>
      <c r="D99" s="5" t="str">
        <f>IFERROR(INDEX(회사별_교통수단매핑!$C$2:$C$1000,MATCH(1,INDEX(($C$14=회사별_교통수단매핑!$A$2:$A$1000)*($Y99=회사별_교통수단매핑!$B$2:$B$1000),0),0)),"")</f>
        <v>국내선 항공</v>
      </c>
      <c r="E99" s="5">
        <v>1</v>
      </c>
      <c r="F99" s="42" t="s">
        <v>161</v>
      </c>
      <c r="G99" s="8" t="s">
        <v>171</v>
      </c>
      <c r="H99" s="12"/>
      <c r="I99" s="5">
        <f t="shared" si="1"/>
        <v>1</v>
      </c>
      <c r="J99" s="5"/>
      <c r="K99" s="5"/>
      <c r="L99" s="5"/>
      <c r="M99" s="5">
        <v>1</v>
      </c>
      <c r="N99" s="5"/>
      <c r="O99" s="5"/>
      <c r="P99" s="5"/>
      <c r="Q99" s="5"/>
      <c r="R99" s="5"/>
      <c r="S99" s="5"/>
      <c r="T99" s="5"/>
      <c r="U99" s="5"/>
      <c r="V99" s="6"/>
      <c r="W99" s="7">
        <v>1.4253000000000001E-4</v>
      </c>
      <c r="X99" s="7">
        <v>9.0898332844592353E-2</v>
      </c>
      <c r="Y99" s="41" t="s">
        <v>116</v>
      </c>
    </row>
    <row r="100" spans="2:25" ht="17.100000000000001" customHeight="1">
      <c r="B100" s="5" t="s">
        <v>41</v>
      </c>
      <c r="C100" s="40" t="s">
        <v>160</v>
      </c>
      <c r="D100" s="5" t="str">
        <f>IFERROR(INDEX(회사별_교통수단매핑!$C$2:$C$1000,MATCH(1,INDEX(($C$14=회사별_교통수단매핑!$A$2:$A$1000)*($Y100=회사별_교통수단매핑!$B$2:$B$1000),0),0)),"")</f>
        <v>국내선 항공</v>
      </c>
      <c r="E100" s="5">
        <v>1</v>
      </c>
      <c r="F100" s="42" t="s">
        <v>161</v>
      </c>
      <c r="G100" s="8" t="s">
        <v>120</v>
      </c>
      <c r="H100" s="12"/>
      <c r="I100" s="5">
        <f t="shared" si="1"/>
        <v>6</v>
      </c>
      <c r="J100" s="5"/>
      <c r="K100" s="5"/>
      <c r="L100" s="5">
        <v>2</v>
      </c>
      <c r="M100" s="5"/>
      <c r="N100" s="5"/>
      <c r="O100" s="5">
        <v>3</v>
      </c>
      <c r="P100" s="5">
        <v>1</v>
      </c>
      <c r="Q100" s="5"/>
      <c r="R100" s="5"/>
      <c r="S100" s="5"/>
      <c r="T100" s="5"/>
      <c r="U100" s="5"/>
      <c r="V100" s="6"/>
      <c r="W100" s="7">
        <v>1.4253000000000001E-4</v>
      </c>
      <c r="X100" s="7">
        <v>0.54538999706755409</v>
      </c>
      <c r="Y100" s="41" t="s">
        <v>116</v>
      </c>
    </row>
    <row r="101" spans="2:25" ht="17.100000000000001" customHeight="1">
      <c r="B101" s="5" t="s">
        <v>41</v>
      </c>
      <c r="C101" s="40" t="s">
        <v>160</v>
      </c>
      <c r="D101" s="5" t="str">
        <f>IFERROR(INDEX(회사별_교통수단매핑!$C$2:$C$1000,MATCH(1,INDEX(($C$14=회사별_교통수단매핑!$A$2:$A$1000)*($Y101=회사별_교통수단매핑!$B$2:$B$1000),0),0)),"")</f>
        <v>승용차(평균)</v>
      </c>
      <c r="E101" s="5">
        <v>1</v>
      </c>
      <c r="F101" s="42" t="s">
        <v>161</v>
      </c>
      <c r="G101" s="8" t="s">
        <v>172</v>
      </c>
      <c r="H101" s="12"/>
      <c r="I101" s="5">
        <f t="shared" si="1"/>
        <v>1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>
        <v>1</v>
      </c>
      <c r="U101" s="5"/>
      <c r="V101" s="6"/>
      <c r="W101" s="7">
        <v>1.7304000000000001E-4</v>
      </c>
      <c r="X101" s="7">
        <v>1.2597311999999999E-2</v>
      </c>
      <c r="Y101" s="41" t="s">
        <v>122</v>
      </c>
    </row>
    <row r="102" spans="2:25" ht="17.100000000000001" customHeight="1">
      <c r="B102" s="5" t="s">
        <v>41</v>
      </c>
      <c r="C102" s="40" t="s">
        <v>160</v>
      </c>
      <c r="D102" s="5" t="str">
        <f>IFERROR(INDEX(회사별_교통수단매핑!$C$2:$C$1000,MATCH(1,INDEX(($C$14=회사별_교통수단매핑!$A$2:$A$1000)*($Y102=회사별_교통수단매핑!$B$2:$B$1000),0),0)),"")</f>
        <v>승용차(평균)</v>
      </c>
      <c r="E102" s="5">
        <v>1</v>
      </c>
      <c r="F102" s="42" t="s">
        <v>161</v>
      </c>
      <c r="G102" s="8" t="s">
        <v>173</v>
      </c>
      <c r="H102" s="12"/>
      <c r="I102" s="5">
        <f t="shared" si="1"/>
        <v>1</v>
      </c>
      <c r="J102" s="5"/>
      <c r="K102" s="5"/>
      <c r="L102" s="5"/>
      <c r="M102" s="5"/>
      <c r="N102" s="5"/>
      <c r="O102" s="5">
        <v>1</v>
      </c>
      <c r="P102" s="5"/>
      <c r="Q102" s="5"/>
      <c r="R102" s="5"/>
      <c r="S102" s="5"/>
      <c r="T102" s="5"/>
      <c r="U102" s="5"/>
      <c r="V102" s="6"/>
      <c r="W102" s="7">
        <v>1.7304000000000001E-4</v>
      </c>
      <c r="X102" s="7">
        <v>4.2388162462902029E-2</v>
      </c>
      <c r="Y102" s="41" t="s">
        <v>122</v>
      </c>
    </row>
    <row r="103" spans="2:25" ht="17.100000000000001" customHeight="1">
      <c r="B103" s="5" t="s">
        <v>41</v>
      </c>
      <c r="C103" s="40" t="s">
        <v>160</v>
      </c>
      <c r="D103" s="5" t="str">
        <f>IFERROR(INDEX(회사별_교통수단매핑!$C$2:$C$1000,MATCH(1,INDEX(($C$14=회사별_교통수단매핑!$A$2:$A$1000)*($Y103=회사별_교통수단매핑!$B$2:$B$1000),0),0)),"")</f>
        <v>승용차(평균)</v>
      </c>
      <c r="E103" s="5">
        <v>1</v>
      </c>
      <c r="F103" s="42" t="s">
        <v>161</v>
      </c>
      <c r="G103" s="8" t="s">
        <v>174</v>
      </c>
      <c r="H103" s="12"/>
      <c r="I103" s="5">
        <f t="shared" si="1"/>
        <v>1</v>
      </c>
      <c r="J103" s="5"/>
      <c r="K103" s="5"/>
      <c r="L103" s="5">
        <v>1</v>
      </c>
      <c r="M103" s="5"/>
      <c r="N103" s="5"/>
      <c r="O103" s="5"/>
      <c r="P103" s="5"/>
      <c r="Q103" s="5"/>
      <c r="R103" s="5"/>
      <c r="S103" s="5"/>
      <c r="T103" s="5"/>
      <c r="U103" s="5"/>
      <c r="V103" s="6"/>
      <c r="W103" s="7">
        <v>1.7304000000000001E-4</v>
      </c>
      <c r="X103" s="7">
        <v>9.1853407141010632E-2</v>
      </c>
      <c r="Y103" s="41" t="s">
        <v>122</v>
      </c>
    </row>
    <row r="104" spans="2:25" ht="17.100000000000001" customHeight="1">
      <c r="B104" s="5" t="s">
        <v>41</v>
      </c>
      <c r="C104" s="40" t="s">
        <v>160</v>
      </c>
      <c r="D104" s="5" t="str">
        <f>IFERROR(INDEX(회사별_교통수단매핑!$C$2:$C$1000,MATCH(1,INDEX(($C$14=회사별_교통수단매핑!$A$2:$A$1000)*($Y104=회사별_교통수단매핑!$B$2:$B$1000),0),0)),"")</f>
        <v>승용차(평균)</v>
      </c>
      <c r="E104" s="5">
        <v>1</v>
      </c>
      <c r="F104" s="42" t="s">
        <v>161</v>
      </c>
      <c r="G104" s="8" t="s">
        <v>175</v>
      </c>
      <c r="H104" s="12"/>
      <c r="I104" s="5">
        <f t="shared" si="1"/>
        <v>1</v>
      </c>
      <c r="J104" s="5"/>
      <c r="K104" s="5"/>
      <c r="L104" s="5"/>
      <c r="M104" s="5">
        <v>1</v>
      </c>
      <c r="N104" s="5"/>
      <c r="O104" s="5"/>
      <c r="P104" s="5"/>
      <c r="Q104" s="5"/>
      <c r="R104" s="5"/>
      <c r="S104" s="5"/>
      <c r="T104" s="5"/>
      <c r="U104" s="5"/>
      <c r="V104" s="6"/>
      <c r="W104" s="7">
        <v>1.7304000000000001E-4</v>
      </c>
      <c r="X104" s="7">
        <v>7.8953091125380966E-3</v>
      </c>
      <c r="Y104" s="41" t="s">
        <v>122</v>
      </c>
    </row>
    <row r="105" spans="2:25" ht="17.100000000000001" customHeight="1">
      <c r="B105" s="5" t="s">
        <v>41</v>
      </c>
      <c r="C105" s="40" t="s">
        <v>160</v>
      </c>
      <c r="D105" s="5" t="str">
        <f>IFERROR(INDEX(회사별_교통수단매핑!$C$2:$C$1000,MATCH(1,INDEX(($C$14=회사별_교통수단매핑!$A$2:$A$1000)*($Y105=회사별_교통수단매핑!$B$2:$B$1000),0),0)),"")</f>
        <v>승용차(평균)</v>
      </c>
      <c r="E105" s="5">
        <v>1</v>
      </c>
      <c r="F105" s="42" t="s">
        <v>161</v>
      </c>
      <c r="G105" s="8" t="s">
        <v>163</v>
      </c>
      <c r="H105" s="12"/>
      <c r="I105" s="5">
        <f t="shared" si="1"/>
        <v>1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>
        <v>1</v>
      </c>
      <c r="V105" s="6"/>
      <c r="W105" s="7">
        <v>1.7304000000000001E-4</v>
      </c>
      <c r="X105" s="7">
        <v>3.9638065274853307E-2</v>
      </c>
      <c r="Y105" s="41" t="s">
        <v>122</v>
      </c>
    </row>
    <row r="106" spans="2:25" ht="17.100000000000001" customHeight="1">
      <c r="B106" s="5" t="s">
        <v>41</v>
      </c>
      <c r="C106" s="40" t="s">
        <v>160</v>
      </c>
      <c r="D106" s="5" t="str">
        <f>IFERROR(INDEX(회사별_교통수단매핑!$C$2:$C$1000,MATCH(1,INDEX(($C$14=회사별_교통수단매핑!$A$2:$A$1000)*($Y106=회사별_교통수단매핑!$B$2:$B$1000),0),0)),"")</f>
        <v>승용차(평균)</v>
      </c>
      <c r="E106" s="5">
        <v>1</v>
      </c>
      <c r="F106" s="42" t="s">
        <v>161</v>
      </c>
      <c r="G106" s="8" t="s">
        <v>152</v>
      </c>
      <c r="H106" s="12"/>
      <c r="I106" s="5">
        <f t="shared" si="1"/>
        <v>3</v>
      </c>
      <c r="J106" s="5"/>
      <c r="K106" s="5"/>
      <c r="L106" s="5"/>
      <c r="M106" s="5">
        <v>1</v>
      </c>
      <c r="N106" s="5">
        <v>1</v>
      </c>
      <c r="O106" s="5"/>
      <c r="P106" s="5"/>
      <c r="Q106" s="5"/>
      <c r="R106" s="5"/>
      <c r="S106" s="5"/>
      <c r="T106" s="5"/>
      <c r="U106" s="5">
        <v>1</v>
      </c>
      <c r="V106" s="6"/>
      <c r="W106" s="7">
        <v>1.7304000000000001E-4</v>
      </c>
      <c r="X106" s="7">
        <v>4.8879980739066353E-2</v>
      </c>
      <c r="Y106" s="41" t="s">
        <v>122</v>
      </c>
    </row>
    <row r="107" spans="2:25" ht="17.100000000000001" customHeight="1">
      <c r="B107" s="5" t="s">
        <v>41</v>
      </c>
      <c r="C107" s="40" t="s">
        <v>160</v>
      </c>
      <c r="D107" s="5" t="str">
        <f>IFERROR(INDEX(회사별_교통수단매핑!$C$2:$C$1000,MATCH(1,INDEX(($C$14=회사별_교통수단매핑!$A$2:$A$1000)*($Y107=회사별_교통수단매핑!$B$2:$B$1000),0),0)),"")</f>
        <v>승용차(평균)</v>
      </c>
      <c r="E107" s="5">
        <v>1</v>
      </c>
      <c r="F107" s="42" t="s">
        <v>161</v>
      </c>
      <c r="G107" s="8" t="s">
        <v>176</v>
      </c>
      <c r="H107" s="12"/>
      <c r="I107" s="5">
        <f t="shared" si="1"/>
        <v>1</v>
      </c>
      <c r="J107" s="5"/>
      <c r="K107" s="5"/>
      <c r="L107" s="5"/>
      <c r="M107" s="5"/>
      <c r="N107" s="5"/>
      <c r="O107" s="5"/>
      <c r="P107" s="5"/>
      <c r="Q107" s="5">
        <v>1</v>
      </c>
      <c r="R107" s="5"/>
      <c r="S107" s="5"/>
      <c r="T107" s="5"/>
      <c r="U107" s="5"/>
      <c r="V107" s="6"/>
      <c r="W107" s="7">
        <v>1.7304000000000001E-4</v>
      </c>
      <c r="X107" s="7">
        <v>1.629332691302212E-2</v>
      </c>
      <c r="Y107" s="41" t="s">
        <v>122</v>
      </c>
    </row>
    <row r="108" spans="2:25" ht="27.95" customHeight="1">
      <c r="B108" s="5" t="s">
        <v>41</v>
      </c>
      <c r="C108" s="40" t="s">
        <v>160</v>
      </c>
      <c r="D108" s="5" t="str">
        <f>IFERROR(INDEX(회사별_교통수단매핑!$C$2:$C$1000,MATCH(1,INDEX(($C$14=회사별_교통수단매핑!$A$2:$A$1000)*($Y108=회사별_교통수단매핑!$B$2:$B$1000),0),0)),"")</f>
        <v>승용차(평균)</v>
      </c>
      <c r="E108" s="5">
        <v>1</v>
      </c>
      <c r="F108" s="42" t="s">
        <v>161</v>
      </c>
      <c r="G108" s="8" t="s">
        <v>177</v>
      </c>
      <c r="H108" s="12"/>
      <c r="I108" s="5">
        <f t="shared" si="1"/>
        <v>1</v>
      </c>
      <c r="J108" s="5"/>
      <c r="K108" s="5"/>
      <c r="L108" s="5"/>
      <c r="M108" s="5"/>
      <c r="N108" s="5">
        <v>1</v>
      </c>
      <c r="O108" s="5"/>
      <c r="P108" s="5"/>
      <c r="Q108" s="5"/>
      <c r="R108" s="5"/>
      <c r="S108" s="5"/>
      <c r="T108" s="5"/>
      <c r="U108" s="5"/>
      <c r="V108" s="6"/>
      <c r="W108" s="7">
        <v>1.7304000000000001E-4</v>
      </c>
      <c r="X108" s="7">
        <v>1.629332691302212E-2</v>
      </c>
      <c r="Y108" s="41" t="s">
        <v>122</v>
      </c>
    </row>
    <row r="109" spans="2:25" ht="17.100000000000001" customHeight="1">
      <c r="B109" s="5" t="s">
        <v>41</v>
      </c>
      <c r="C109" s="40" t="s">
        <v>160</v>
      </c>
      <c r="D109" s="5" t="str">
        <f>IFERROR(INDEX(회사별_교통수단매핑!$C$2:$C$1000,MATCH(1,INDEX(($C$14=회사별_교통수단매핑!$A$2:$A$1000)*($Y109=회사별_교통수단매핑!$B$2:$B$1000),0),0)),"")</f>
        <v>승용차(평균)</v>
      </c>
      <c r="E109" s="5">
        <v>1</v>
      </c>
      <c r="F109" s="42" t="s">
        <v>161</v>
      </c>
      <c r="G109" s="8" t="s">
        <v>178</v>
      </c>
      <c r="H109" s="12"/>
      <c r="I109" s="5">
        <f t="shared" si="1"/>
        <v>1</v>
      </c>
      <c r="J109" s="5"/>
      <c r="K109" s="5"/>
      <c r="L109" s="5"/>
      <c r="M109" s="5"/>
      <c r="N109" s="5"/>
      <c r="O109" s="5"/>
      <c r="P109" s="5"/>
      <c r="Q109" s="5">
        <v>1</v>
      </c>
      <c r="R109" s="5"/>
      <c r="S109" s="5"/>
      <c r="T109" s="5"/>
      <c r="U109" s="5"/>
      <c r="V109" s="6"/>
      <c r="W109" s="7">
        <v>1.7304000000000001E-4</v>
      </c>
      <c r="X109" s="7">
        <v>6.1880835230624882E-2</v>
      </c>
      <c r="Y109" s="41" t="s">
        <v>122</v>
      </c>
    </row>
    <row r="110" spans="2:25" ht="17.100000000000001" customHeight="1">
      <c r="B110" s="5" t="s">
        <v>41</v>
      </c>
      <c r="C110" s="40" t="s">
        <v>160</v>
      </c>
      <c r="D110" s="5" t="str">
        <f>IFERROR(INDEX(회사별_교통수단매핑!$C$2:$C$1000,MATCH(1,INDEX(($C$14=회사별_교통수단매핑!$A$2:$A$1000)*($Y110=회사별_교통수단매핑!$B$2:$B$1000),0),0)),"")</f>
        <v>승용차(평균)</v>
      </c>
      <c r="E110" s="5">
        <v>1</v>
      </c>
      <c r="F110" s="42" t="s">
        <v>161</v>
      </c>
      <c r="G110" s="8" t="s">
        <v>179</v>
      </c>
      <c r="H110" s="12"/>
      <c r="I110" s="5">
        <f t="shared" si="1"/>
        <v>1</v>
      </c>
      <c r="J110" s="5"/>
      <c r="K110" s="5"/>
      <c r="L110" s="5"/>
      <c r="M110" s="5"/>
      <c r="N110" s="5">
        <v>1</v>
      </c>
      <c r="O110" s="5"/>
      <c r="P110" s="5"/>
      <c r="Q110" s="5"/>
      <c r="R110" s="5"/>
      <c r="S110" s="5"/>
      <c r="T110" s="5"/>
      <c r="U110" s="5"/>
      <c r="V110" s="6"/>
      <c r="W110" s="7">
        <v>1.7304000000000001E-4</v>
      </c>
      <c r="X110" s="7">
        <v>1.8895967999999999E-2</v>
      </c>
      <c r="Y110" s="41" t="s">
        <v>122</v>
      </c>
    </row>
    <row r="111" spans="2:25" ht="17.100000000000001" customHeight="1">
      <c r="B111" s="5" t="s">
        <v>41</v>
      </c>
      <c r="C111" s="40" t="s">
        <v>160</v>
      </c>
      <c r="D111" s="5" t="str">
        <f>IFERROR(INDEX(회사별_교통수단매핑!$C$2:$C$1000,MATCH(1,INDEX(($C$14=회사별_교통수단매핑!$A$2:$A$1000)*($Y111=회사별_교통수단매핑!$B$2:$B$1000),0),0)),"")</f>
        <v>승용차(평균)</v>
      </c>
      <c r="E111" s="5">
        <v>1</v>
      </c>
      <c r="F111" s="42" t="s">
        <v>161</v>
      </c>
      <c r="G111" s="8" t="s">
        <v>169</v>
      </c>
      <c r="H111" s="12"/>
      <c r="I111" s="5">
        <f t="shared" si="1"/>
        <v>1</v>
      </c>
      <c r="J111" s="5"/>
      <c r="K111" s="5"/>
      <c r="L111" s="5"/>
      <c r="M111" s="5"/>
      <c r="N111" s="5"/>
      <c r="O111" s="5"/>
      <c r="P111" s="5"/>
      <c r="Q111" s="5"/>
      <c r="R111" s="5"/>
      <c r="S111" s="5">
        <v>1</v>
      </c>
      <c r="T111" s="5"/>
      <c r="U111" s="5"/>
      <c r="V111" s="6"/>
      <c r="W111" s="7">
        <v>1.7304000000000001E-4</v>
      </c>
      <c r="X111" s="7">
        <v>2.0375552085697721E-2</v>
      </c>
      <c r="Y111" s="41" t="s">
        <v>122</v>
      </c>
    </row>
    <row r="112" spans="2:25" ht="17.100000000000001" customHeight="1">
      <c r="B112" s="5" t="s">
        <v>41</v>
      </c>
      <c r="C112" s="40" t="s">
        <v>160</v>
      </c>
      <c r="D112" s="5" t="str">
        <f>IFERROR(INDEX(회사별_교통수단매핑!$C$2:$C$1000,MATCH(1,INDEX(($C$14=회사별_교통수단매핑!$A$2:$A$1000)*($Y112=회사별_교통수단매핑!$B$2:$B$1000),0),0)),"")</f>
        <v>승용차(평균)</v>
      </c>
      <c r="E112" s="5">
        <v>1</v>
      </c>
      <c r="F112" s="42" t="s">
        <v>161</v>
      </c>
      <c r="G112" s="8" t="s">
        <v>180</v>
      </c>
      <c r="H112" s="12"/>
      <c r="I112" s="5">
        <f t="shared" si="1"/>
        <v>2</v>
      </c>
      <c r="J112" s="5"/>
      <c r="K112" s="5"/>
      <c r="L112" s="5"/>
      <c r="M112" s="5">
        <v>1</v>
      </c>
      <c r="N112" s="5"/>
      <c r="O112" s="5"/>
      <c r="P112" s="5"/>
      <c r="Q112" s="5"/>
      <c r="R112" s="5"/>
      <c r="S112" s="5">
        <v>1</v>
      </c>
      <c r="T112" s="5"/>
      <c r="U112" s="5"/>
      <c r="V112" s="6"/>
      <c r="W112" s="7">
        <v>1.7304000000000001E-4</v>
      </c>
      <c r="X112" s="7">
        <v>4.0751104171395443E-2</v>
      </c>
      <c r="Y112" s="41" t="s">
        <v>122</v>
      </c>
    </row>
    <row r="113" spans="2:25" ht="17.100000000000001" customHeight="1">
      <c r="B113" s="5" t="s">
        <v>41</v>
      </c>
      <c r="C113" s="40" t="s">
        <v>160</v>
      </c>
      <c r="D113" s="5" t="str">
        <f>IFERROR(INDEX(회사별_교통수단매핑!$C$2:$C$1000,MATCH(1,INDEX(($C$14=회사별_교통수단매핑!$A$2:$A$1000)*($Y113=회사별_교통수단매핑!$B$2:$B$1000),0),0)),"")</f>
        <v>철도/KTX/SRT</v>
      </c>
      <c r="E113" s="5">
        <v>1</v>
      </c>
      <c r="F113" s="42" t="s">
        <v>161</v>
      </c>
      <c r="G113" s="8" t="s">
        <v>133</v>
      </c>
      <c r="H113" s="12"/>
      <c r="I113" s="5">
        <f t="shared" si="1"/>
        <v>1</v>
      </c>
      <c r="J113" s="5"/>
      <c r="K113" s="5"/>
      <c r="L113" s="5">
        <v>1</v>
      </c>
      <c r="M113" s="5"/>
      <c r="N113" s="5"/>
      <c r="O113" s="5"/>
      <c r="P113" s="5"/>
      <c r="Q113" s="5"/>
      <c r="R113" s="5"/>
      <c r="S113" s="5"/>
      <c r="T113" s="5"/>
      <c r="U113" s="5"/>
      <c r="V113" s="6"/>
      <c r="W113" s="7">
        <v>3.5460000000000003E-5</v>
      </c>
      <c r="X113" s="7">
        <v>2.8995878373316381E-2</v>
      </c>
      <c r="Y113" s="41" t="s">
        <v>134</v>
      </c>
    </row>
    <row r="114" spans="2:25" ht="17.100000000000001" customHeight="1">
      <c r="B114" s="5" t="s">
        <v>41</v>
      </c>
      <c r="C114" s="40" t="s">
        <v>160</v>
      </c>
      <c r="D114" s="5" t="str">
        <f>IFERROR(INDEX(회사별_교통수단매핑!$C$2:$C$1000,MATCH(1,INDEX(($C$14=회사별_교통수단매핑!$A$2:$A$1000)*($Y114=회사별_교통수단매핑!$B$2:$B$1000),0),0)),"")</f>
        <v>철도/KTX/SRT</v>
      </c>
      <c r="E114" s="5">
        <v>1</v>
      </c>
      <c r="F114" s="42" t="s">
        <v>161</v>
      </c>
      <c r="G114" s="8" t="s">
        <v>49</v>
      </c>
      <c r="H114" s="12"/>
      <c r="I114" s="5">
        <f t="shared" si="1"/>
        <v>15</v>
      </c>
      <c r="J114" s="5">
        <v>1</v>
      </c>
      <c r="K114" s="5"/>
      <c r="L114" s="5">
        <v>1</v>
      </c>
      <c r="M114" s="5"/>
      <c r="N114" s="5">
        <v>2</v>
      </c>
      <c r="O114" s="5"/>
      <c r="P114" s="5"/>
      <c r="Q114" s="5">
        <v>2</v>
      </c>
      <c r="R114" s="5">
        <v>3</v>
      </c>
      <c r="S114" s="5"/>
      <c r="T114" s="5">
        <v>5</v>
      </c>
      <c r="U114" s="5">
        <v>1</v>
      </c>
      <c r="V114" s="6"/>
      <c r="W114" s="7">
        <v>3.5460000000000003E-5</v>
      </c>
      <c r="X114" s="7">
        <v>0.4147099168541486</v>
      </c>
      <c r="Y114" s="41" t="s">
        <v>134</v>
      </c>
    </row>
    <row r="115" spans="2:25" ht="17.100000000000001" customHeight="1">
      <c r="B115" s="5" t="s">
        <v>41</v>
      </c>
      <c r="C115" s="40" t="s">
        <v>160</v>
      </c>
      <c r="D115" s="5" t="str">
        <f>IFERROR(INDEX(회사별_교통수단매핑!$C$2:$C$1000,MATCH(1,INDEX(($C$14=회사별_교통수단매핑!$A$2:$A$1000)*($Y115=회사별_교통수단매핑!$B$2:$B$1000),0),0)),"")</f>
        <v>철도/KTX/SRT</v>
      </c>
      <c r="E115" s="5">
        <v>1</v>
      </c>
      <c r="F115" s="42" t="s">
        <v>161</v>
      </c>
      <c r="G115" s="8" t="s">
        <v>143</v>
      </c>
      <c r="H115" s="12"/>
      <c r="I115" s="5">
        <f t="shared" si="1"/>
        <v>1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>
        <v>1</v>
      </c>
      <c r="U115" s="5"/>
      <c r="V115" s="6"/>
      <c r="W115" s="7">
        <v>3.5460000000000003E-5</v>
      </c>
      <c r="X115" s="7">
        <v>2.7647327790276569E-2</v>
      </c>
      <c r="Y115" s="41" t="s">
        <v>134</v>
      </c>
    </row>
    <row r="116" spans="2:25" ht="17.100000000000001" customHeight="1">
      <c r="B116" s="5" t="s">
        <v>41</v>
      </c>
      <c r="C116" s="40" t="s">
        <v>160</v>
      </c>
      <c r="D116" s="5" t="str">
        <f>IFERROR(INDEX(회사별_교통수단매핑!$C$2:$C$1000,MATCH(1,INDEX(($C$14=회사별_교통수단매핑!$A$2:$A$1000)*($Y116=회사별_교통수단매핑!$B$2:$B$1000),0),0)),"")</f>
        <v>철도/KTX/SRT</v>
      </c>
      <c r="E116" s="5">
        <v>1</v>
      </c>
      <c r="F116" s="42" t="s">
        <v>161</v>
      </c>
      <c r="G116" s="8" t="s">
        <v>120</v>
      </c>
      <c r="H116" s="12"/>
      <c r="I116" s="5">
        <f t="shared" si="1"/>
        <v>1</v>
      </c>
      <c r="J116" s="5"/>
      <c r="K116" s="5"/>
      <c r="L116" s="5"/>
      <c r="M116" s="5">
        <v>1</v>
      </c>
      <c r="N116" s="5"/>
      <c r="O116" s="5"/>
      <c r="P116" s="5"/>
      <c r="Q116" s="5"/>
      <c r="R116" s="5"/>
      <c r="S116" s="5"/>
      <c r="T116" s="5"/>
      <c r="U116" s="5"/>
      <c r="V116" s="6"/>
      <c r="W116" s="7">
        <v>3.5460000000000003E-5</v>
      </c>
      <c r="X116" s="7">
        <v>2.6825853702043729E-2</v>
      </c>
      <c r="Y116" s="41" t="s">
        <v>134</v>
      </c>
    </row>
    <row r="117" spans="2:25" ht="17.100000000000001" customHeight="1">
      <c r="B117" s="5" t="s">
        <v>41</v>
      </c>
      <c r="C117" s="40" t="s">
        <v>181</v>
      </c>
      <c r="D117" s="5" t="str">
        <f>IFERROR(INDEX(회사별_교통수단매핑!$C$2:$C$1000,MATCH(1,INDEX(($C$14=회사별_교통수단매핑!$A$2:$A$1000)*($Y117=회사별_교통수단매핑!$B$2:$B$1000),0),0)),"")</f>
        <v>장거리버스/코치</v>
      </c>
      <c r="E117" s="5">
        <v>1</v>
      </c>
      <c r="F117" s="42" t="s">
        <v>49</v>
      </c>
      <c r="G117" s="8" t="s">
        <v>182</v>
      </c>
      <c r="H117" s="12"/>
      <c r="I117" s="5">
        <f t="shared" si="1"/>
        <v>1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>
        <v>1</v>
      </c>
      <c r="U117" s="5"/>
      <c r="V117" s="6"/>
      <c r="W117" s="7">
        <v>1.0385E-4</v>
      </c>
      <c r="X117" s="7">
        <v>4.2849027018182793E-2</v>
      </c>
      <c r="Y117" s="41" t="s">
        <v>45</v>
      </c>
    </row>
    <row r="118" spans="2:25" ht="17.100000000000001" customHeight="1">
      <c r="B118" s="5" t="s">
        <v>41</v>
      </c>
      <c r="C118" s="40" t="s">
        <v>181</v>
      </c>
      <c r="D118" s="5" t="str">
        <f>IFERROR(INDEX(회사별_교통수단매핑!$C$2:$C$1000,MATCH(1,INDEX(($C$14=회사별_교통수단매핑!$A$2:$A$1000)*($Y118=회사별_교통수단매핑!$B$2:$B$1000),0),0)),"")</f>
        <v>장거리버스/코치</v>
      </c>
      <c r="E118" s="5">
        <v>1</v>
      </c>
      <c r="F118" s="42" t="s">
        <v>49</v>
      </c>
      <c r="G118" s="8" t="s">
        <v>183</v>
      </c>
      <c r="H118" s="12"/>
      <c r="I118" s="5">
        <f t="shared" si="1"/>
        <v>1</v>
      </c>
      <c r="J118" s="5"/>
      <c r="K118" s="5"/>
      <c r="L118" s="5"/>
      <c r="M118" s="5"/>
      <c r="N118" s="5">
        <v>1</v>
      </c>
      <c r="O118" s="5"/>
      <c r="P118" s="5"/>
      <c r="Q118" s="5"/>
      <c r="R118" s="5"/>
      <c r="S118" s="5"/>
      <c r="T118" s="5"/>
      <c r="U118" s="5"/>
      <c r="V118" s="6"/>
      <c r="W118" s="7">
        <v>1.0385E-4</v>
      </c>
      <c r="X118" s="7">
        <v>2.34771228911324E-2</v>
      </c>
      <c r="Y118" s="41" t="s">
        <v>45</v>
      </c>
    </row>
    <row r="119" spans="2:25" ht="17.100000000000001" customHeight="1">
      <c r="B119" s="5" t="s">
        <v>41</v>
      </c>
      <c r="C119" s="40" t="s">
        <v>181</v>
      </c>
      <c r="D119" s="5" t="str">
        <f>IFERROR(INDEX(회사별_교통수단매핑!$C$2:$C$1000,MATCH(1,INDEX(($C$14=회사별_교통수단매핑!$A$2:$A$1000)*($Y119=회사별_교통수단매핑!$B$2:$B$1000),0),0)),"")</f>
        <v>장거리버스/코치</v>
      </c>
      <c r="E119" s="5">
        <v>1</v>
      </c>
      <c r="F119" s="42" t="s">
        <v>49</v>
      </c>
      <c r="G119" s="8" t="s">
        <v>184</v>
      </c>
      <c r="H119" s="12"/>
      <c r="I119" s="5">
        <f t="shared" si="1"/>
        <v>1</v>
      </c>
      <c r="J119" s="5"/>
      <c r="K119" s="5"/>
      <c r="L119" s="5"/>
      <c r="M119" s="5"/>
      <c r="N119" s="5"/>
      <c r="O119" s="5"/>
      <c r="P119" s="5"/>
      <c r="Q119" s="5">
        <v>1</v>
      </c>
      <c r="R119" s="5"/>
      <c r="S119" s="5"/>
      <c r="T119" s="5"/>
      <c r="U119" s="5"/>
      <c r="V119" s="6"/>
      <c r="W119" s="7">
        <v>1.0385E-4</v>
      </c>
      <c r="X119" s="7">
        <v>2.34771228911324E-2</v>
      </c>
      <c r="Y119" s="41" t="s">
        <v>45</v>
      </c>
    </row>
    <row r="120" spans="2:25" ht="17.100000000000001" customHeight="1">
      <c r="B120" s="5" t="s">
        <v>41</v>
      </c>
      <c r="C120" s="40" t="s">
        <v>181</v>
      </c>
      <c r="D120" s="5" t="str">
        <f>IFERROR(INDEX(회사별_교통수단매핑!$C$2:$C$1000,MATCH(1,INDEX(($C$14=회사별_교통수단매핑!$A$2:$A$1000)*($Y120=회사별_교통수단매핑!$B$2:$B$1000),0),0)),"")</f>
        <v>장거리버스/코치</v>
      </c>
      <c r="E120" s="5">
        <v>1</v>
      </c>
      <c r="F120" s="42" t="s">
        <v>49</v>
      </c>
      <c r="G120" s="8" t="s">
        <v>185</v>
      </c>
      <c r="H120" s="12"/>
      <c r="I120" s="5">
        <f t="shared" si="1"/>
        <v>1</v>
      </c>
      <c r="J120" s="5"/>
      <c r="K120" s="5"/>
      <c r="L120" s="5"/>
      <c r="M120" s="5"/>
      <c r="N120" s="5"/>
      <c r="O120" s="5">
        <v>1</v>
      </c>
      <c r="P120" s="5"/>
      <c r="Q120" s="5"/>
      <c r="R120" s="5"/>
      <c r="S120" s="5"/>
      <c r="T120" s="5"/>
      <c r="U120" s="5"/>
      <c r="V120" s="6"/>
      <c r="W120" s="7">
        <v>1.0385E-4</v>
      </c>
      <c r="X120" s="7">
        <v>2.0217597918645538E-2</v>
      </c>
      <c r="Y120" s="41" t="s">
        <v>45</v>
      </c>
    </row>
    <row r="121" spans="2:25" ht="17.100000000000001" customHeight="1">
      <c r="B121" s="5" t="s">
        <v>41</v>
      </c>
      <c r="C121" s="40" t="s">
        <v>181</v>
      </c>
      <c r="D121" s="5" t="str">
        <f>IFERROR(INDEX(회사별_교통수단매핑!$C$2:$C$1000,MATCH(1,INDEX(($C$14=회사별_교통수단매핑!$A$2:$A$1000)*($Y121=회사별_교통수단매핑!$B$2:$B$1000),0),0)),"")</f>
        <v>장거리버스/코치</v>
      </c>
      <c r="E121" s="5">
        <v>1</v>
      </c>
      <c r="F121" s="42" t="s">
        <v>49</v>
      </c>
      <c r="G121" s="8" t="s">
        <v>186</v>
      </c>
      <c r="H121" s="12"/>
      <c r="I121" s="5">
        <f t="shared" si="1"/>
        <v>1</v>
      </c>
      <c r="J121" s="5"/>
      <c r="K121" s="5">
        <v>1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6"/>
      <c r="W121" s="7">
        <v>1.0385E-4</v>
      </c>
      <c r="X121" s="7">
        <v>2.0217597918645538E-2</v>
      </c>
      <c r="Y121" s="41" t="s">
        <v>45</v>
      </c>
    </row>
    <row r="122" spans="2:25" ht="17.100000000000001" customHeight="1">
      <c r="B122" s="5" t="s">
        <v>41</v>
      </c>
      <c r="C122" s="40" t="s">
        <v>181</v>
      </c>
      <c r="D122" s="5" t="str">
        <f>IFERROR(INDEX(회사별_교통수단매핑!$C$2:$C$1000,MATCH(1,INDEX(($C$14=회사별_교통수단매핑!$A$2:$A$1000)*($Y122=회사별_교통수단매핑!$B$2:$B$1000),0),0)),"")</f>
        <v>장거리버스/코치</v>
      </c>
      <c r="E122" s="5">
        <v>1</v>
      </c>
      <c r="F122" s="42" t="s">
        <v>49</v>
      </c>
      <c r="G122" s="8" t="s">
        <v>187</v>
      </c>
      <c r="H122" s="12"/>
      <c r="I122" s="5">
        <f t="shared" si="1"/>
        <v>3</v>
      </c>
      <c r="J122" s="5"/>
      <c r="K122" s="5"/>
      <c r="L122" s="5"/>
      <c r="M122" s="5">
        <v>1</v>
      </c>
      <c r="N122" s="5">
        <v>1</v>
      </c>
      <c r="O122" s="5"/>
      <c r="P122" s="5"/>
      <c r="Q122" s="5"/>
      <c r="R122" s="5">
        <v>1</v>
      </c>
      <c r="S122" s="5"/>
      <c r="T122" s="5"/>
      <c r="U122" s="5"/>
      <c r="V122" s="6"/>
      <c r="W122" s="7">
        <v>1.0385E-4</v>
      </c>
      <c r="X122" s="7">
        <v>6.0652793755936622E-2</v>
      </c>
      <c r="Y122" s="41" t="s">
        <v>45</v>
      </c>
    </row>
    <row r="123" spans="2:25" ht="17.100000000000001" customHeight="1">
      <c r="B123" s="5" t="s">
        <v>41</v>
      </c>
      <c r="C123" s="40" t="s">
        <v>181</v>
      </c>
      <c r="D123" s="5" t="str">
        <f>IFERROR(INDEX(회사별_교통수단매핑!$C$2:$C$1000,MATCH(1,INDEX(($C$14=회사별_교통수단매핑!$A$2:$A$1000)*($Y123=회사별_교통수단매핑!$B$2:$B$1000),0),0)),"")</f>
        <v>장거리버스/코치</v>
      </c>
      <c r="E123" s="5">
        <v>1</v>
      </c>
      <c r="F123" s="42" t="s">
        <v>49</v>
      </c>
      <c r="G123" s="8" t="s">
        <v>188</v>
      </c>
      <c r="H123" s="12"/>
      <c r="I123" s="5">
        <f t="shared" si="1"/>
        <v>1</v>
      </c>
      <c r="J123" s="5"/>
      <c r="K123" s="5"/>
      <c r="L123" s="5"/>
      <c r="M123" s="5"/>
      <c r="N123" s="5"/>
      <c r="O123" s="5"/>
      <c r="P123" s="5"/>
      <c r="Q123" s="5"/>
      <c r="R123" s="5"/>
      <c r="S123" s="5">
        <v>1</v>
      </c>
      <c r="T123" s="5"/>
      <c r="U123" s="5"/>
      <c r="V123" s="6"/>
      <c r="W123" s="7">
        <v>1.0385E-4</v>
      </c>
      <c r="X123" s="7">
        <v>2.0217597918645538E-2</v>
      </c>
      <c r="Y123" s="41" t="s">
        <v>45</v>
      </c>
    </row>
    <row r="124" spans="2:25" ht="17.100000000000001" customHeight="1">
      <c r="B124" s="5" t="s">
        <v>41</v>
      </c>
      <c r="C124" s="40" t="s">
        <v>181</v>
      </c>
      <c r="D124" s="5" t="str">
        <f>IFERROR(INDEX(회사별_교통수단매핑!$C$2:$C$1000,MATCH(1,INDEX(($C$14=회사별_교통수단매핑!$A$2:$A$1000)*($Y124=회사별_교통수단매핑!$B$2:$B$1000),0),0)),"")</f>
        <v>장거리버스/코치</v>
      </c>
      <c r="E124" s="5">
        <v>1</v>
      </c>
      <c r="F124" s="42" t="s">
        <v>49</v>
      </c>
      <c r="G124" s="8" t="s">
        <v>189</v>
      </c>
      <c r="H124" s="12"/>
      <c r="I124" s="5">
        <f t="shared" si="1"/>
        <v>3</v>
      </c>
      <c r="J124" s="5"/>
      <c r="K124" s="5"/>
      <c r="L124" s="5"/>
      <c r="M124" s="5"/>
      <c r="N124" s="5"/>
      <c r="O124" s="5"/>
      <c r="P124" s="5"/>
      <c r="Q124" s="5"/>
      <c r="R124" s="5">
        <v>3</v>
      </c>
      <c r="S124" s="5"/>
      <c r="T124" s="5"/>
      <c r="U124" s="5"/>
      <c r="V124" s="6"/>
      <c r="W124" s="7">
        <v>1.0385E-4</v>
      </c>
      <c r="X124" s="7">
        <v>3.7078543411599871E-2</v>
      </c>
      <c r="Y124" s="41" t="s">
        <v>45</v>
      </c>
    </row>
    <row r="125" spans="2:25" ht="17.100000000000001" customHeight="1">
      <c r="B125" s="5" t="s">
        <v>41</v>
      </c>
      <c r="C125" s="40" t="s">
        <v>181</v>
      </c>
      <c r="D125" s="5" t="str">
        <f>IFERROR(INDEX(회사별_교통수단매핑!$C$2:$C$1000,MATCH(1,INDEX(($C$14=회사별_교통수단매핑!$A$2:$A$1000)*($Y125=회사별_교통수단매핑!$B$2:$B$1000),0),0)),"")</f>
        <v>장거리버스/코치</v>
      </c>
      <c r="E125" s="5">
        <v>1</v>
      </c>
      <c r="F125" s="42" t="s">
        <v>49</v>
      </c>
      <c r="G125" s="8" t="s">
        <v>190</v>
      </c>
      <c r="H125" s="12"/>
      <c r="I125" s="5">
        <f t="shared" si="1"/>
        <v>2</v>
      </c>
      <c r="J125" s="5"/>
      <c r="K125" s="5"/>
      <c r="L125" s="5"/>
      <c r="M125" s="5"/>
      <c r="N125" s="5"/>
      <c r="O125" s="5"/>
      <c r="P125" s="5"/>
      <c r="Q125" s="5"/>
      <c r="R125" s="5">
        <v>2</v>
      </c>
      <c r="S125" s="5"/>
      <c r="T125" s="5"/>
      <c r="U125" s="5"/>
      <c r="V125" s="6"/>
      <c r="W125" s="7">
        <v>1.0385E-4</v>
      </c>
      <c r="X125" s="7">
        <v>0.15311546027122719</v>
      </c>
      <c r="Y125" s="41" t="s">
        <v>45</v>
      </c>
    </row>
    <row r="126" spans="2:25" ht="17.100000000000001" customHeight="1">
      <c r="B126" s="5" t="s">
        <v>41</v>
      </c>
      <c r="C126" s="40" t="s">
        <v>181</v>
      </c>
      <c r="D126" s="5" t="str">
        <f>IFERROR(INDEX(회사별_교통수단매핑!$C$2:$C$1000,MATCH(1,INDEX(($C$14=회사별_교통수단매핑!$A$2:$A$1000)*($Y126=회사별_교통수단매핑!$B$2:$B$1000),0),0)),"")</f>
        <v>장거리버스/코치</v>
      </c>
      <c r="E126" s="5">
        <v>1</v>
      </c>
      <c r="F126" s="42" t="s">
        <v>49</v>
      </c>
      <c r="G126" s="8" t="s">
        <v>191</v>
      </c>
      <c r="H126" s="12"/>
      <c r="I126" s="5">
        <f t="shared" si="1"/>
        <v>2</v>
      </c>
      <c r="J126" s="5"/>
      <c r="K126" s="5"/>
      <c r="L126" s="5"/>
      <c r="M126" s="5"/>
      <c r="N126" s="5"/>
      <c r="O126" s="5"/>
      <c r="P126" s="5"/>
      <c r="Q126" s="5"/>
      <c r="R126" s="5">
        <v>2</v>
      </c>
      <c r="S126" s="5"/>
      <c r="T126" s="5"/>
      <c r="U126" s="5"/>
      <c r="V126" s="6"/>
      <c r="W126" s="7">
        <v>1.0385E-4</v>
      </c>
      <c r="X126" s="7">
        <v>7.5509168231087651E-2</v>
      </c>
      <c r="Y126" s="41" t="s">
        <v>45</v>
      </c>
    </row>
    <row r="127" spans="2:25" ht="17.100000000000001" customHeight="1">
      <c r="B127" s="5" t="s">
        <v>41</v>
      </c>
      <c r="C127" s="40" t="s">
        <v>181</v>
      </c>
      <c r="D127" s="5" t="str">
        <f>IFERROR(INDEX(회사별_교통수단매핑!$C$2:$C$1000,MATCH(1,INDEX(($C$14=회사별_교통수단매핑!$A$2:$A$1000)*($Y127=회사별_교통수단매핑!$B$2:$B$1000),0),0)),"")</f>
        <v>장거리버스/코치</v>
      </c>
      <c r="E127" s="5">
        <v>1</v>
      </c>
      <c r="F127" s="42" t="s">
        <v>49</v>
      </c>
      <c r="G127" s="8" t="s">
        <v>192</v>
      </c>
      <c r="H127" s="12"/>
      <c r="I127" s="5">
        <f t="shared" si="1"/>
        <v>4</v>
      </c>
      <c r="J127" s="5"/>
      <c r="K127" s="5"/>
      <c r="L127" s="5">
        <v>1</v>
      </c>
      <c r="M127" s="5">
        <v>2</v>
      </c>
      <c r="N127" s="5">
        <v>1</v>
      </c>
      <c r="O127" s="5"/>
      <c r="P127" s="5"/>
      <c r="Q127" s="5"/>
      <c r="R127" s="5"/>
      <c r="S127" s="5"/>
      <c r="T127" s="5"/>
      <c r="U127" s="5"/>
      <c r="V127" s="6"/>
      <c r="W127" s="7">
        <v>1.0385E-4</v>
      </c>
      <c r="X127" s="7">
        <v>0.1510183364621753</v>
      </c>
      <c r="Y127" s="41" t="s">
        <v>45</v>
      </c>
    </row>
    <row r="128" spans="2:25" ht="17.100000000000001" customHeight="1">
      <c r="B128" s="5" t="s">
        <v>41</v>
      </c>
      <c r="C128" s="40" t="s">
        <v>181</v>
      </c>
      <c r="D128" s="5" t="str">
        <f>IFERROR(INDEX(회사별_교통수단매핑!$C$2:$C$1000,MATCH(1,INDEX(($C$14=회사별_교통수단매핑!$A$2:$A$1000)*($Y128=회사별_교통수단매핑!$B$2:$B$1000),0),0)),"")</f>
        <v>장거리버스/코치</v>
      </c>
      <c r="E128" s="5">
        <v>1</v>
      </c>
      <c r="F128" s="42" t="s">
        <v>49</v>
      </c>
      <c r="G128" s="8" t="s">
        <v>193</v>
      </c>
      <c r="H128" s="12"/>
      <c r="I128" s="5">
        <f t="shared" si="1"/>
        <v>1</v>
      </c>
      <c r="J128" s="5"/>
      <c r="K128" s="5"/>
      <c r="L128" s="5"/>
      <c r="M128" s="5"/>
      <c r="N128" s="5"/>
      <c r="O128" s="5"/>
      <c r="P128" s="5"/>
      <c r="Q128" s="5"/>
      <c r="R128" s="5">
        <v>1</v>
      </c>
      <c r="S128" s="5"/>
      <c r="T128" s="5"/>
      <c r="U128" s="5"/>
      <c r="V128" s="6"/>
      <c r="W128" s="7">
        <v>1.0385E-4</v>
      </c>
      <c r="X128" s="7">
        <v>1.8693E-3</v>
      </c>
      <c r="Y128" s="41" t="s">
        <v>45</v>
      </c>
    </row>
    <row r="129" spans="2:25" ht="17.100000000000001" customHeight="1">
      <c r="B129" s="5" t="s">
        <v>41</v>
      </c>
      <c r="C129" s="40" t="s">
        <v>181</v>
      </c>
      <c r="D129" s="5" t="str">
        <f>IFERROR(INDEX(회사별_교통수단매핑!$C$2:$C$1000,MATCH(1,INDEX(($C$14=회사별_교통수단매핑!$A$2:$A$1000)*($Y129=회사별_교통수단매핑!$B$2:$B$1000),0),0)),"")</f>
        <v>장거리버스/코치</v>
      </c>
      <c r="E129" s="5">
        <v>1</v>
      </c>
      <c r="F129" s="42" t="s">
        <v>49</v>
      </c>
      <c r="G129" s="8" t="s">
        <v>194</v>
      </c>
      <c r="H129" s="12"/>
      <c r="I129" s="5">
        <f t="shared" si="1"/>
        <v>1</v>
      </c>
      <c r="J129" s="5"/>
      <c r="K129" s="5"/>
      <c r="L129" s="5"/>
      <c r="M129" s="5"/>
      <c r="N129" s="5"/>
      <c r="O129" s="5">
        <v>1</v>
      </c>
      <c r="P129" s="5"/>
      <c r="Q129" s="5"/>
      <c r="R129" s="5"/>
      <c r="S129" s="5"/>
      <c r="T129" s="5"/>
      <c r="U129" s="5"/>
      <c r="V129" s="6"/>
      <c r="W129" s="7">
        <v>1.0385E-4</v>
      </c>
      <c r="X129" s="7">
        <v>2.4924000000000001E-3</v>
      </c>
      <c r="Y129" s="41" t="s">
        <v>45</v>
      </c>
    </row>
    <row r="130" spans="2:25" ht="17.100000000000001" customHeight="1">
      <c r="B130" s="53" t="s">
        <v>41</v>
      </c>
      <c r="C130" s="54" t="s">
        <v>181</v>
      </c>
      <c r="D130" s="53" t="str">
        <f>IFERROR(INDEX(회사별_교통수단매핑!$C$2:$C$1000,MATCH(1,INDEX(($C$14=회사별_교통수단매핑!$A$2:$A$1000)*($Y130=회사별_교통수단매핑!$B$2:$B$1000),0),0)),"")</f>
        <v>장거리버스/코치</v>
      </c>
      <c r="E130" s="53">
        <v>1</v>
      </c>
      <c r="F130" s="55" t="s">
        <v>49</v>
      </c>
      <c r="G130" s="53" t="s">
        <v>49</v>
      </c>
      <c r="H130" s="53"/>
      <c r="I130" s="53">
        <f t="shared" si="1"/>
        <v>10</v>
      </c>
      <c r="J130" s="53">
        <v>1</v>
      </c>
      <c r="K130" s="53">
        <v>2</v>
      </c>
      <c r="L130" s="53">
        <v>2</v>
      </c>
      <c r="M130" s="53">
        <v>2</v>
      </c>
      <c r="N130" s="53"/>
      <c r="O130" s="53"/>
      <c r="P130" s="53"/>
      <c r="Q130" s="53"/>
      <c r="R130" s="53">
        <v>2</v>
      </c>
      <c r="S130" s="53"/>
      <c r="T130" s="53"/>
      <c r="U130" s="53">
        <v>1</v>
      </c>
      <c r="V130" s="53"/>
      <c r="W130" s="53">
        <v>1.0385E-4</v>
      </c>
      <c r="X130" s="53"/>
      <c r="Y130" s="56" t="s">
        <v>45</v>
      </c>
    </row>
    <row r="131" spans="2:25" ht="17.100000000000001" customHeight="1">
      <c r="B131" s="5" t="s">
        <v>41</v>
      </c>
      <c r="C131" s="40" t="s">
        <v>181</v>
      </c>
      <c r="D131" s="5" t="str">
        <f>IFERROR(INDEX(회사별_교통수단매핑!$C$2:$C$1000,MATCH(1,INDEX(($C$14=회사별_교통수단매핑!$A$2:$A$1000)*($Y131=회사별_교통수단매핑!$B$2:$B$1000),0),0)),"")</f>
        <v>장거리버스/코치</v>
      </c>
      <c r="E131" s="5">
        <v>1</v>
      </c>
      <c r="F131" s="42" t="s">
        <v>49</v>
      </c>
      <c r="G131" s="8" t="s">
        <v>195</v>
      </c>
      <c r="H131" s="12"/>
      <c r="I131" s="5">
        <f t="shared" si="1"/>
        <v>1</v>
      </c>
      <c r="J131" s="5"/>
      <c r="K131" s="5"/>
      <c r="L131" s="5"/>
      <c r="M131" s="5">
        <v>1</v>
      </c>
      <c r="N131" s="5"/>
      <c r="O131" s="5"/>
      <c r="P131" s="5"/>
      <c r="Q131" s="5"/>
      <c r="R131" s="5"/>
      <c r="S131" s="5"/>
      <c r="T131" s="5"/>
      <c r="U131" s="5"/>
      <c r="V131" s="6"/>
      <c r="W131" s="7">
        <v>1.0385E-4</v>
      </c>
      <c r="X131" s="7">
        <v>3.340727441027487E-2</v>
      </c>
      <c r="Y131" s="41" t="s">
        <v>45</v>
      </c>
    </row>
    <row r="132" spans="2:25" ht="17.100000000000001" customHeight="1">
      <c r="B132" s="5" t="s">
        <v>41</v>
      </c>
      <c r="C132" s="40" t="s">
        <v>181</v>
      </c>
      <c r="D132" s="5" t="str">
        <f>IFERROR(INDEX(회사별_교통수단매핑!$C$2:$C$1000,MATCH(1,INDEX(($C$14=회사별_교통수단매핑!$A$2:$A$1000)*($Y132=회사별_교통수단매핑!$B$2:$B$1000),0),0)),"")</f>
        <v>장거리버스/코치</v>
      </c>
      <c r="E132" s="5">
        <v>1</v>
      </c>
      <c r="F132" s="42" t="s">
        <v>49</v>
      </c>
      <c r="G132" s="8" t="s">
        <v>196</v>
      </c>
      <c r="H132" s="12"/>
      <c r="I132" s="5">
        <f t="shared" si="1"/>
        <v>2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>
        <v>2</v>
      </c>
      <c r="U132" s="5"/>
      <c r="V132" s="6"/>
      <c r="W132" s="7">
        <v>1.0385E-4</v>
      </c>
      <c r="X132" s="7">
        <v>6.6814548820549741E-2</v>
      </c>
      <c r="Y132" s="41" t="s">
        <v>45</v>
      </c>
    </row>
    <row r="133" spans="2:25" ht="17.100000000000001" customHeight="1">
      <c r="B133" s="5" t="s">
        <v>41</v>
      </c>
      <c r="C133" s="40" t="s">
        <v>181</v>
      </c>
      <c r="D133" s="5" t="str">
        <f>IFERROR(INDEX(회사별_교통수단매핑!$C$2:$C$1000,MATCH(1,INDEX(($C$14=회사별_교통수단매핑!$A$2:$A$1000)*($Y133=회사별_교통수단매핑!$B$2:$B$1000),0),0)),"")</f>
        <v>장거리버스/코치</v>
      </c>
      <c r="E133" s="5">
        <v>1</v>
      </c>
      <c r="F133" s="42" t="s">
        <v>49</v>
      </c>
      <c r="G133" s="8" t="s">
        <v>197</v>
      </c>
      <c r="H133" s="12"/>
      <c r="I133" s="5">
        <f t="shared" si="1"/>
        <v>2</v>
      </c>
      <c r="J133" s="5"/>
      <c r="K133" s="5"/>
      <c r="L133" s="5"/>
      <c r="M133" s="5">
        <v>2</v>
      </c>
      <c r="N133" s="5"/>
      <c r="O133" s="5"/>
      <c r="P133" s="5"/>
      <c r="Q133" s="5"/>
      <c r="R133" s="5"/>
      <c r="S133" s="5"/>
      <c r="T133" s="5"/>
      <c r="U133" s="5"/>
      <c r="V133" s="6"/>
      <c r="W133" s="7">
        <v>1.0385E-4</v>
      </c>
      <c r="X133" s="7">
        <v>6.6814548820549741E-2</v>
      </c>
      <c r="Y133" s="41" t="s">
        <v>45</v>
      </c>
    </row>
    <row r="134" spans="2:25" ht="17.100000000000001" customHeight="1">
      <c r="B134" s="5" t="s">
        <v>41</v>
      </c>
      <c r="C134" s="40" t="s">
        <v>181</v>
      </c>
      <c r="D134" s="5" t="str">
        <f>IFERROR(INDEX(회사별_교통수단매핑!$C$2:$C$1000,MATCH(1,INDEX(($C$14=회사별_교통수단매핑!$A$2:$A$1000)*($Y134=회사별_교통수단매핑!$B$2:$B$1000),0),0)),"")</f>
        <v>장거리버스/코치</v>
      </c>
      <c r="E134" s="5">
        <v>1</v>
      </c>
      <c r="F134" s="42" t="s">
        <v>49</v>
      </c>
      <c r="G134" s="8" t="s">
        <v>198</v>
      </c>
      <c r="H134" s="12"/>
      <c r="I134" s="5">
        <f t="shared" si="1"/>
        <v>1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>
        <v>1</v>
      </c>
      <c r="V134" s="6"/>
      <c r="W134" s="7">
        <v>1.0385E-4</v>
      </c>
      <c r="X134" s="7">
        <v>3.340727441027487E-2</v>
      </c>
      <c r="Y134" s="41" t="s">
        <v>45</v>
      </c>
    </row>
    <row r="135" spans="2:25" ht="17.100000000000001" customHeight="1">
      <c r="B135" s="5" t="s">
        <v>41</v>
      </c>
      <c r="C135" s="40" t="s">
        <v>181</v>
      </c>
      <c r="D135" s="5" t="str">
        <f>IFERROR(INDEX(회사별_교통수단매핑!$C$2:$C$1000,MATCH(1,INDEX(($C$14=회사별_교통수단매핑!$A$2:$A$1000)*($Y135=회사별_교통수단매핑!$B$2:$B$1000),0),0)),"")</f>
        <v>장거리버스/코치</v>
      </c>
      <c r="E135" s="5">
        <v>1</v>
      </c>
      <c r="F135" s="42" t="s">
        <v>49</v>
      </c>
      <c r="G135" s="8" t="s">
        <v>199</v>
      </c>
      <c r="H135" s="12"/>
      <c r="I135" s="5">
        <f t="shared" si="1"/>
        <v>1</v>
      </c>
      <c r="J135" s="5"/>
      <c r="K135" s="5"/>
      <c r="L135" s="5"/>
      <c r="M135" s="5"/>
      <c r="N135" s="5"/>
      <c r="O135" s="5"/>
      <c r="P135" s="5">
        <v>1</v>
      </c>
      <c r="Q135" s="5"/>
      <c r="R135" s="5"/>
      <c r="S135" s="5"/>
      <c r="T135" s="5"/>
      <c r="U135" s="5"/>
      <c r="V135" s="6"/>
      <c r="W135" s="7">
        <v>1.0385E-4</v>
      </c>
      <c r="X135" s="7">
        <v>3.340727441027487E-2</v>
      </c>
      <c r="Y135" s="41" t="s">
        <v>45</v>
      </c>
    </row>
    <row r="136" spans="2:25" ht="17.100000000000001" customHeight="1">
      <c r="B136" s="5" t="s">
        <v>41</v>
      </c>
      <c r="C136" s="40" t="s">
        <v>181</v>
      </c>
      <c r="D136" s="5" t="str">
        <f>IFERROR(INDEX(회사별_교통수단매핑!$C$2:$C$1000,MATCH(1,INDEX(($C$14=회사별_교통수단매핑!$A$2:$A$1000)*($Y136=회사별_교통수단매핑!$B$2:$B$1000),0),0)),"")</f>
        <v>장거리버스/코치</v>
      </c>
      <c r="E136" s="5">
        <v>1</v>
      </c>
      <c r="F136" s="42" t="s">
        <v>49</v>
      </c>
      <c r="G136" s="8" t="s">
        <v>200</v>
      </c>
      <c r="H136" s="12"/>
      <c r="I136" s="5">
        <f t="shared" si="1"/>
        <v>3</v>
      </c>
      <c r="J136" s="5"/>
      <c r="K136" s="5"/>
      <c r="L136" s="5"/>
      <c r="M136" s="5">
        <v>1</v>
      </c>
      <c r="N136" s="5"/>
      <c r="O136" s="5"/>
      <c r="P136" s="5"/>
      <c r="Q136" s="5"/>
      <c r="R136" s="5">
        <v>1</v>
      </c>
      <c r="S136" s="5"/>
      <c r="T136" s="5"/>
      <c r="U136" s="5">
        <v>1</v>
      </c>
      <c r="V136" s="6"/>
      <c r="W136" s="7">
        <v>1.0385E-4</v>
      </c>
      <c r="X136" s="7">
        <v>0.1002218232308246</v>
      </c>
      <c r="Y136" s="41" t="s">
        <v>45</v>
      </c>
    </row>
    <row r="137" spans="2:25" ht="17.100000000000001" customHeight="1">
      <c r="B137" s="5" t="s">
        <v>41</v>
      </c>
      <c r="C137" s="40" t="s">
        <v>181</v>
      </c>
      <c r="D137" s="5" t="str">
        <f>IFERROR(INDEX(회사별_교통수단매핑!$C$2:$C$1000,MATCH(1,INDEX(($C$14=회사별_교통수단매핑!$A$2:$A$1000)*($Y137=회사별_교통수단매핑!$B$2:$B$1000),0),0)),"")</f>
        <v>장거리버스/코치</v>
      </c>
      <c r="E137" s="5">
        <v>1</v>
      </c>
      <c r="F137" s="42" t="s">
        <v>49</v>
      </c>
      <c r="G137" s="8" t="s">
        <v>201</v>
      </c>
      <c r="H137" s="12"/>
      <c r="I137" s="5">
        <f t="shared" si="1"/>
        <v>1</v>
      </c>
      <c r="J137" s="5"/>
      <c r="K137" s="5"/>
      <c r="L137" s="5"/>
      <c r="M137" s="5"/>
      <c r="N137" s="5"/>
      <c r="O137" s="5">
        <v>1</v>
      </c>
      <c r="P137" s="5"/>
      <c r="Q137" s="5"/>
      <c r="R137" s="5"/>
      <c r="S137" s="5"/>
      <c r="T137" s="5"/>
      <c r="U137" s="5"/>
      <c r="V137" s="6"/>
      <c r="W137" s="7">
        <v>1.0385E-4</v>
      </c>
      <c r="X137" s="7">
        <v>5.2382850103537951E-2</v>
      </c>
      <c r="Y137" s="41" t="s">
        <v>45</v>
      </c>
    </row>
    <row r="138" spans="2:25" ht="17.100000000000001" customHeight="1">
      <c r="B138" s="5" t="s">
        <v>41</v>
      </c>
      <c r="C138" s="40" t="s">
        <v>181</v>
      </c>
      <c r="D138" s="5" t="str">
        <f>IFERROR(INDEX(회사별_교통수단매핑!$C$2:$C$1000,MATCH(1,INDEX(($C$14=회사별_교통수단매핑!$A$2:$A$1000)*($Y138=회사별_교통수단매핑!$B$2:$B$1000),0),0)),"")</f>
        <v>장거리버스/코치</v>
      </c>
      <c r="E138" s="5">
        <v>1</v>
      </c>
      <c r="F138" s="42" t="s">
        <v>49</v>
      </c>
      <c r="G138" s="8" t="s">
        <v>202</v>
      </c>
      <c r="H138" s="12"/>
      <c r="I138" s="5">
        <f t="shared" si="1"/>
        <v>1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>
        <v>1</v>
      </c>
      <c r="U138" s="5"/>
      <c r="V138" s="6"/>
      <c r="W138" s="7">
        <v>1.0385E-4</v>
      </c>
      <c r="X138" s="7">
        <v>5.2382850103537951E-2</v>
      </c>
      <c r="Y138" s="41" t="s">
        <v>45</v>
      </c>
    </row>
    <row r="139" spans="2:25" ht="17.100000000000001" customHeight="1">
      <c r="B139" s="5" t="s">
        <v>41</v>
      </c>
      <c r="C139" s="40" t="s">
        <v>181</v>
      </c>
      <c r="D139" s="5" t="str">
        <f>IFERROR(INDEX(회사별_교통수단매핑!$C$2:$C$1000,MATCH(1,INDEX(($C$14=회사별_교통수단매핑!$A$2:$A$1000)*($Y139=회사별_교통수단매핑!$B$2:$B$1000),0),0)),"")</f>
        <v>장거리버스/코치</v>
      </c>
      <c r="E139" s="5">
        <v>1</v>
      </c>
      <c r="F139" s="42" t="s">
        <v>49</v>
      </c>
      <c r="G139" s="8" t="s">
        <v>203</v>
      </c>
      <c r="H139" s="12"/>
      <c r="I139" s="5">
        <f t="shared" si="1"/>
        <v>2</v>
      </c>
      <c r="J139" s="5"/>
      <c r="K139" s="5"/>
      <c r="L139" s="5">
        <v>2</v>
      </c>
      <c r="M139" s="5"/>
      <c r="N139" s="5"/>
      <c r="O139" s="5"/>
      <c r="P139" s="5"/>
      <c r="Q139" s="5"/>
      <c r="R139" s="5"/>
      <c r="S139" s="5"/>
      <c r="T139" s="5"/>
      <c r="U139" s="5"/>
      <c r="V139" s="6"/>
      <c r="W139" s="7">
        <v>1.0385E-4</v>
      </c>
      <c r="X139" s="7">
        <v>5.6613129017532522E-2</v>
      </c>
      <c r="Y139" s="41" t="s">
        <v>45</v>
      </c>
    </row>
    <row r="140" spans="2:25" ht="17.100000000000001" customHeight="1">
      <c r="B140" s="5" t="s">
        <v>41</v>
      </c>
      <c r="C140" s="40" t="s">
        <v>181</v>
      </c>
      <c r="D140" s="5" t="str">
        <f>IFERROR(INDEX(회사별_교통수단매핑!$C$2:$C$1000,MATCH(1,INDEX(($C$14=회사별_교통수단매핑!$A$2:$A$1000)*($Y140=회사별_교통수단매핑!$B$2:$B$1000),0),0)),"")</f>
        <v>장거리버스/코치</v>
      </c>
      <c r="E140" s="5">
        <v>1</v>
      </c>
      <c r="F140" s="42" t="s">
        <v>49</v>
      </c>
      <c r="G140" s="8" t="s">
        <v>204</v>
      </c>
      <c r="H140" s="12"/>
      <c r="I140" s="5">
        <f t="shared" si="1"/>
        <v>1</v>
      </c>
      <c r="J140" s="5"/>
      <c r="K140" s="5"/>
      <c r="L140" s="5"/>
      <c r="M140" s="5"/>
      <c r="N140" s="5"/>
      <c r="O140" s="5"/>
      <c r="P140" s="5"/>
      <c r="Q140" s="5"/>
      <c r="R140" s="5">
        <v>1</v>
      </c>
      <c r="S140" s="5"/>
      <c r="T140" s="5"/>
      <c r="U140" s="5"/>
      <c r="V140" s="6"/>
      <c r="W140" s="7">
        <v>1.0385E-4</v>
      </c>
      <c r="X140" s="7">
        <v>2.673537479808074E-2</v>
      </c>
      <c r="Y140" s="41" t="s">
        <v>45</v>
      </c>
    </row>
    <row r="141" spans="2:25" ht="17.100000000000001" customHeight="1">
      <c r="B141" s="5" t="s">
        <v>41</v>
      </c>
      <c r="C141" s="40" t="s">
        <v>181</v>
      </c>
      <c r="D141" s="5" t="str">
        <f>IFERROR(INDEX(회사별_교통수단매핑!$C$2:$C$1000,MATCH(1,INDEX(($C$14=회사별_교통수단매핑!$A$2:$A$1000)*($Y141=회사별_교통수단매핑!$B$2:$B$1000),0),0)),"")</f>
        <v>장거리버스/코치</v>
      </c>
      <c r="E141" s="5">
        <v>1</v>
      </c>
      <c r="F141" s="42" t="s">
        <v>49</v>
      </c>
      <c r="G141" s="8" t="s">
        <v>205</v>
      </c>
      <c r="H141" s="12"/>
      <c r="I141" s="5">
        <f t="shared" si="1"/>
        <v>5</v>
      </c>
      <c r="J141" s="5"/>
      <c r="K141" s="5">
        <v>2</v>
      </c>
      <c r="L141" s="5"/>
      <c r="M141" s="5">
        <v>2</v>
      </c>
      <c r="N141" s="5"/>
      <c r="O141" s="5"/>
      <c r="P141" s="5">
        <v>1</v>
      </c>
      <c r="Q141" s="5"/>
      <c r="R141" s="5"/>
      <c r="S141" s="5"/>
      <c r="T141" s="5"/>
      <c r="U141" s="5"/>
      <c r="V141" s="6"/>
      <c r="W141" s="7">
        <v>1.0385E-4</v>
      </c>
      <c r="X141" s="7">
        <v>0.1514853448909578</v>
      </c>
      <c r="Y141" s="41" t="s">
        <v>45</v>
      </c>
    </row>
    <row r="142" spans="2:25" ht="17.100000000000001" customHeight="1">
      <c r="B142" s="5" t="s">
        <v>41</v>
      </c>
      <c r="C142" s="40" t="s">
        <v>181</v>
      </c>
      <c r="D142" s="5" t="str">
        <f>IFERROR(INDEX(회사별_교통수단매핑!$C$2:$C$1000,MATCH(1,INDEX(($C$14=회사별_교통수단매핑!$A$2:$A$1000)*($Y142=회사별_교통수단매핑!$B$2:$B$1000),0),0)),"")</f>
        <v>장거리버스/코치</v>
      </c>
      <c r="E142" s="5">
        <v>1</v>
      </c>
      <c r="F142" s="42" t="s">
        <v>49</v>
      </c>
      <c r="G142" s="8" t="s">
        <v>206</v>
      </c>
      <c r="H142" s="12"/>
      <c r="I142" s="5">
        <f t="shared" si="1"/>
        <v>1</v>
      </c>
      <c r="J142" s="5"/>
      <c r="K142" s="5"/>
      <c r="L142" s="5"/>
      <c r="M142" s="5"/>
      <c r="N142" s="5"/>
      <c r="O142" s="5">
        <v>1</v>
      </c>
      <c r="P142" s="5"/>
      <c r="Q142" s="5"/>
      <c r="R142" s="5"/>
      <c r="S142" s="5"/>
      <c r="T142" s="5"/>
      <c r="U142" s="5"/>
      <c r="V142" s="6"/>
      <c r="W142" s="7">
        <v>1.0385E-4</v>
      </c>
      <c r="X142" s="7">
        <v>2.8510680200729371E-2</v>
      </c>
      <c r="Y142" s="41" t="s">
        <v>45</v>
      </c>
    </row>
    <row r="143" spans="2:25" ht="17.100000000000001" customHeight="1">
      <c r="B143" s="53" t="s">
        <v>41</v>
      </c>
      <c r="C143" s="54" t="s">
        <v>181</v>
      </c>
      <c r="D143" s="53" t="str">
        <f>IFERROR(INDEX(회사별_교통수단매핑!$C$2:$C$1000,MATCH(1,INDEX(($C$14=회사별_교통수단매핑!$A$2:$A$1000)*($Y143=회사별_교통수단매핑!$B$2:$B$1000),0),0)),"")</f>
        <v>국내선 항공</v>
      </c>
      <c r="E143" s="53">
        <v>1</v>
      </c>
      <c r="F143" s="55" t="s">
        <v>49</v>
      </c>
      <c r="G143" s="53" t="s">
        <v>207</v>
      </c>
      <c r="H143" s="53"/>
      <c r="I143" s="53">
        <f t="shared" si="1"/>
        <v>1</v>
      </c>
      <c r="J143" s="53"/>
      <c r="K143" s="53"/>
      <c r="L143" s="53"/>
      <c r="M143" s="53"/>
      <c r="N143" s="53"/>
      <c r="O143" s="53"/>
      <c r="P143" s="53"/>
      <c r="Q143" s="53">
        <v>1</v>
      </c>
      <c r="R143" s="53"/>
      <c r="S143" s="53"/>
      <c r="T143" s="53"/>
      <c r="U143" s="53"/>
      <c r="V143" s="53"/>
      <c r="W143" s="53">
        <v>1.4253000000000001E-4</v>
      </c>
      <c r="X143" s="53"/>
      <c r="Y143" s="56" t="s">
        <v>116</v>
      </c>
    </row>
    <row r="144" spans="2:25" ht="17.100000000000001" customHeight="1">
      <c r="B144" s="5" t="s">
        <v>41</v>
      </c>
      <c r="C144" s="40" t="s">
        <v>181</v>
      </c>
      <c r="D144" s="5" t="str">
        <f>IFERROR(INDEX(회사별_교통수단매핑!$C$2:$C$1000,MATCH(1,INDEX(($C$14=회사별_교통수단매핑!$A$2:$A$1000)*($Y144=회사별_교통수단매핑!$B$2:$B$1000),0),0)),"")</f>
        <v>국내선 항공</v>
      </c>
      <c r="E144" s="5">
        <v>1</v>
      </c>
      <c r="F144" s="42" t="s">
        <v>49</v>
      </c>
      <c r="G144" s="8" t="s">
        <v>208</v>
      </c>
      <c r="H144" s="12"/>
      <c r="I144" s="5">
        <f t="shared" si="1"/>
        <v>1</v>
      </c>
      <c r="J144" s="5"/>
      <c r="K144" s="5"/>
      <c r="L144" s="5"/>
      <c r="M144" s="5">
        <v>1</v>
      </c>
      <c r="N144" s="5"/>
      <c r="O144" s="5"/>
      <c r="P144" s="5"/>
      <c r="Q144" s="5"/>
      <c r="R144" s="5"/>
      <c r="S144" s="5"/>
      <c r="T144" s="5"/>
      <c r="U144" s="5"/>
      <c r="V144" s="6"/>
      <c r="W144" s="7">
        <v>1.4253000000000001E-4</v>
      </c>
      <c r="X144" s="7">
        <v>3.9783758940953699E-2</v>
      </c>
      <c r="Y144" s="41" t="s">
        <v>116</v>
      </c>
    </row>
    <row r="145" spans="2:25" ht="17.100000000000001" customHeight="1">
      <c r="B145" s="5" t="s">
        <v>41</v>
      </c>
      <c r="C145" s="40" t="s">
        <v>181</v>
      </c>
      <c r="D145" s="5" t="str">
        <f>IFERROR(INDEX(회사별_교통수단매핑!$C$2:$C$1000,MATCH(1,INDEX(($C$14=회사별_교통수단매핑!$A$2:$A$1000)*($Y145=회사별_교통수단매핑!$B$2:$B$1000),0),0)),"")</f>
        <v>국내선 항공</v>
      </c>
      <c r="E145" s="5">
        <v>1</v>
      </c>
      <c r="F145" s="42" t="s">
        <v>49</v>
      </c>
      <c r="G145" s="8" t="s">
        <v>115</v>
      </c>
      <c r="H145" s="12"/>
      <c r="I145" s="5">
        <f t="shared" si="1"/>
        <v>2</v>
      </c>
      <c r="J145" s="5"/>
      <c r="K145" s="5"/>
      <c r="L145" s="5">
        <v>2</v>
      </c>
      <c r="M145" s="5"/>
      <c r="N145" s="5"/>
      <c r="O145" s="5"/>
      <c r="P145" s="5"/>
      <c r="Q145" s="5"/>
      <c r="R145" s="5"/>
      <c r="S145" s="5"/>
      <c r="T145" s="5"/>
      <c r="U145" s="5"/>
      <c r="V145" s="6"/>
      <c r="W145" s="7">
        <v>1.4253000000000001E-4</v>
      </c>
      <c r="X145" s="7">
        <v>0.284797921375678</v>
      </c>
      <c r="Y145" s="41" t="s">
        <v>116</v>
      </c>
    </row>
    <row r="146" spans="2:25" ht="17.100000000000001" customHeight="1">
      <c r="B146" s="5" t="s">
        <v>41</v>
      </c>
      <c r="C146" s="40" t="s">
        <v>181</v>
      </c>
      <c r="D146" s="5" t="str">
        <f>IFERROR(INDEX(회사별_교통수단매핑!$C$2:$C$1000,MATCH(1,INDEX(($C$14=회사별_교통수단매핑!$A$2:$A$1000)*($Y146=회사별_교통수단매핑!$B$2:$B$1000),0),0)),"")</f>
        <v>국내선 항공</v>
      </c>
      <c r="E146" s="5">
        <v>1</v>
      </c>
      <c r="F146" s="42" t="s">
        <v>49</v>
      </c>
      <c r="G146" s="8" t="s">
        <v>171</v>
      </c>
      <c r="H146" s="12"/>
      <c r="I146" s="5">
        <f t="shared" si="1"/>
        <v>7</v>
      </c>
      <c r="J146" s="5">
        <v>4</v>
      </c>
      <c r="K146" s="5"/>
      <c r="L146" s="5"/>
      <c r="M146" s="5">
        <v>1</v>
      </c>
      <c r="N146" s="5"/>
      <c r="O146" s="5"/>
      <c r="P146" s="5">
        <v>2</v>
      </c>
      <c r="Q146" s="5"/>
      <c r="R146" s="5"/>
      <c r="S146" s="5"/>
      <c r="T146" s="5"/>
      <c r="U146" s="5"/>
      <c r="V146" s="6"/>
      <c r="W146" s="7">
        <v>1.4253000000000001E-4</v>
      </c>
      <c r="X146" s="7">
        <v>0.99679272481487302</v>
      </c>
      <c r="Y146" s="41" t="s">
        <v>116</v>
      </c>
    </row>
    <row r="147" spans="2:25" ht="17.100000000000001" customHeight="1">
      <c r="B147" s="5" t="s">
        <v>41</v>
      </c>
      <c r="C147" s="40" t="s">
        <v>181</v>
      </c>
      <c r="D147" s="5" t="str">
        <f>IFERROR(INDEX(회사별_교통수단매핑!$C$2:$C$1000,MATCH(1,INDEX(($C$14=회사별_교통수단매핑!$A$2:$A$1000)*($Y147=회사별_교통수단매핑!$B$2:$B$1000),0),0)),"")</f>
        <v>국내선 항공</v>
      </c>
      <c r="E147" s="5">
        <v>1</v>
      </c>
      <c r="F147" s="42" t="s">
        <v>49</v>
      </c>
      <c r="G147" s="8" t="s">
        <v>209</v>
      </c>
      <c r="H147" s="12"/>
      <c r="I147" s="5">
        <f t="shared" si="1"/>
        <v>2</v>
      </c>
      <c r="J147" s="5"/>
      <c r="K147" s="5"/>
      <c r="L147" s="5"/>
      <c r="M147" s="5"/>
      <c r="N147" s="5"/>
      <c r="O147" s="5"/>
      <c r="P147" s="5"/>
      <c r="Q147" s="5"/>
      <c r="R147" s="5"/>
      <c r="S147" s="5">
        <v>2</v>
      </c>
      <c r="T147" s="5"/>
      <c r="U147" s="5"/>
      <c r="V147" s="6"/>
      <c r="W147" s="7">
        <v>1.4253000000000001E-4</v>
      </c>
      <c r="X147" s="7">
        <v>0.284797921375678</v>
      </c>
      <c r="Y147" s="41" t="s">
        <v>116</v>
      </c>
    </row>
    <row r="148" spans="2:25" ht="17.100000000000001" customHeight="1">
      <c r="B148" s="5" t="s">
        <v>41</v>
      </c>
      <c r="C148" s="40" t="s">
        <v>181</v>
      </c>
      <c r="D148" s="5" t="str">
        <f>IFERROR(INDEX(회사별_교통수단매핑!$C$2:$C$1000,MATCH(1,INDEX(($C$14=회사별_교통수단매핑!$A$2:$A$1000)*($Y148=회사별_교통수단매핑!$B$2:$B$1000),0),0)),"")</f>
        <v>국내선 항공</v>
      </c>
      <c r="E148" s="5">
        <v>1</v>
      </c>
      <c r="F148" s="42" t="s">
        <v>49</v>
      </c>
      <c r="G148" s="8" t="s">
        <v>210</v>
      </c>
      <c r="H148" s="12"/>
      <c r="I148" s="5">
        <f t="shared" si="1"/>
        <v>4</v>
      </c>
      <c r="J148" s="5"/>
      <c r="K148" s="5"/>
      <c r="L148" s="5"/>
      <c r="M148" s="5"/>
      <c r="N148" s="5"/>
      <c r="O148" s="5"/>
      <c r="P148" s="5"/>
      <c r="Q148" s="5"/>
      <c r="R148" s="5"/>
      <c r="S148" s="5">
        <v>4</v>
      </c>
      <c r="T148" s="5"/>
      <c r="U148" s="5"/>
      <c r="V148" s="6"/>
      <c r="W148" s="7">
        <v>1.4253000000000001E-4</v>
      </c>
      <c r="X148" s="7">
        <v>0.569595842751356</v>
      </c>
      <c r="Y148" s="41" t="s">
        <v>116</v>
      </c>
    </row>
    <row r="149" spans="2:25" ht="17.100000000000001" customHeight="1">
      <c r="B149" s="5" t="s">
        <v>41</v>
      </c>
      <c r="C149" s="40" t="s">
        <v>181</v>
      </c>
      <c r="D149" s="5" t="str">
        <f>IFERROR(INDEX(회사별_교통수단매핑!$C$2:$C$1000,MATCH(1,INDEX(($C$14=회사별_교통수단매핑!$A$2:$A$1000)*($Y149=회사별_교통수단매핑!$B$2:$B$1000),0),0)),"")</f>
        <v>국내선 항공</v>
      </c>
      <c r="E149" s="5">
        <v>1</v>
      </c>
      <c r="F149" s="42" t="s">
        <v>49</v>
      </c>
      <c r="G149" s="8" t="s">
        <v>211</v>
      </c>
      <c r="H149" s="12"/>
      <c r="I149" s="5">
        <f t="shared" ref="I149:I212" si="2">IF(SUM(J149:U149)=0,"",SUM(J149:U149))</f>
        <v>1</v>
      </c>
      <c r="J149" s="5"/>
      <c r="K149" s="5"/>
      <c r="L149" s="5"/>
      <c r="M149" s="5"/>
      <c r="N149" s="5"/>
      <c r="O149" s="5">
        <v>1</v>
      </c>
      <c r="P149" s="5"/>
      <c r="Q149" s="5"/>
      <c r="R149" s="5"/>
      <c r="S149" s="5"/>
      <c r="T149" s="5"/>
      <c r="U149" s="5"/>
      <c r="V149" s="6"/>
      <c r="W149" s="7">
        <v>1.4253000000000001E-4</v>
      </c>
      <c r="X149" s="7">
        <v>0.142398960687839</v>
      </c>
      <c r="Y149" s="41" t="s">
        <v>116</v>
      </c>
    </row>
    <row r="150" spans="2:25" ht="17.100000000000001" customHeight="1">
      <c r="B150" s="5" t="s">
        <v>41</v>
      </c>
      <c r="C150" s="40" t="s">
        <v>181</v>
      </c>
      <c r="D150" s="5" t="str">
        <f>IFERROR(INDEX(회사별_교통수단매핑!$C$2:$C$1000,MATCH(1,INDEX(($C$14=회사별_교통수단매핑!$A$2:$A$1000)*($Y150=회사별_교통수단매핑!$B$2:$B$1000),0),0)),"")</f>
        <v>국내선 항공</v>
      </c>
      <c r="E150" s="5">
        <v>1</v>
      </c>
      <c r="F150" s="42" t="s">
        <v>49</v>
      </c>
      <c r="G150" s="8" t="s">
        <v>212</v>
      </c>
      <c r="H150" s="12"/>
      <c r="I150" s="5">
        <f t="shared" si="2"/>
        <v>5</v>
      </c>
      <c r="J150" s="5">
        <v>5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6"/>
      <c r="W150" s="7">
        <v>1.4253000000000001E-4</v>
      </c>
      <c r="X150" s="7">
        <v>0.71199480343919508</v>
      </c>
      <c r="Y150" s="41" t="s">
        <v>116</v>
      </c>
    </row>
    <row r="151" spans="2:25" ht="17.100000000000001" customHeight="1">
      <c r="B151" s="5" t="s">
        <v>41</v>
      </c>
      <c r="C151" s="40" t="s">
        <v>181</v>
      </c>
      <c r="D151" s="5" t="str">
        <f>IFERROR(INDEX(회사별_교통수단매핑!$C$2:$C$1000,MATCH(1,INDEX(($C$14=회사별_교통수단매핑!$A$2:$A$1000)*($Y151=회사별_교통수단매핑!$B$2:$B$1000),0),0)),"")</f>
        <v>국내선 항공</v>
      </c>
      <c r="E151" s="5">
        <v>1</v>
      </c>
      <c r="F151" s="42" t="s">
        <v>49</v>
      </c>
      <c r="G151" s="8" t="s">
        <v>213</v>
      </c>
      <c r="H151" s="12"/>
      <c r="I151" s="5">
        <f t="shared" si="2"/>
        <v>1</v>
      </c>
      <c r="J151" s="5"/>
      <c r="K151" s="5">
        <v>1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6"/>
      <c r="W151" s="7">
        <v>1.4253000000000001E-4</v>
      </c>
      <c r="X151" s="7">
        <v>0.142398960687839</v>
      </c>
      <c r="Y151" s="41" t="s">
        <v>116</v>
      </c>
    </row>
    <row r="152" spans="2:25" ht="17.100000000000001" customHeight="1">
      <c r="B152" s="5" t="s">
        <v>41</v>
      </c>
      <c r="C152" s="40" t="s">
        <v>181</v>
      </c>
      <c r="D152" s="5" t="str">
        <f>IFERROR(INDEX(회사별_교통수단매핑!$C$2:$C$1000,MATCH(1,INDEX(($C$14=회사별_교통수단매핑!$A$2:$A$1000)*($Y152=회사별_교통수단매핑!$B$2:$B$1000),0),0)),"")</f>
        <v>국내선 항공</v>
      </c>
      <c r="E152" s="5">
        <v>1</v>
      </c>
      <c r="F152" s="42" t="s">
        <v>49</v>
      </c>
      <c r="G152" s="8" t="s">
        <v>214</v>
      </c>
      <c r="H152" s="12"/>
      <c r="I152" s="5">
        <f t="shared" si="2"/>
        <v>1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>
        <v>1</v>
      </c>
      <c r="U152" s="5"/>
      <c r="V152" s="6"/>
      <c r="W152" s="7">
        <v>1.4253000000000001E-4</v>
      </c>
      <c r="X152" s="7">
        <v>0.142398960687839</v>
      </c>
      <c r="Y152" s="41" t="s">
        <v>116</v>
      </c>
    </row>
    <row r="153" spans="2:25" ht="17.100000000000001" customHeight="1">
      <c r="B153" s="5" t="s">
        <v>41</v>
      </c>
      <c r="C153" s="40" t="s">
        <v>181</v>
      </c>
      <c r="D153" s="5" t="str">
        <f>IFERROR(INDEX(회사별_교통수단매핑!$C$2:$C$1000,MATCH(1,INDEX(($C$14=회사별_교통수단매핑!$A$2:$A$1000)*($Y153=회사별_교통수단매핑!$B$2:$B$1000),0),0)),"")</f>
        <v>국내선 항공</v>
      </c>
      <c r="E153" s="5">
        <v>1</v>
      </c>
      <c r="F153" s="42" t="s">
        <v>49</v>
      </c>
      <c r="G153" s="8" t="s">
        <v>118</v>
      </c>
      <c r="H153" s="12"/>
      <c r="I153" s="5">
        <f t="shared" si="2"/>
        <v>1</v>
      </c>
      <c r="J153" s="5"/>
      <c r="K153" s="5"/>
      <c r="L153" s="5"/>
      <c r="M153" s="5"/>
      <c r="N153" s="5"/>
      <c r="O153" s="5"/>
      <c r="P153" s="5"/>
      <c r="Q153" s="5"/>
      <c r="R153" s="5">
        <v>1</v>
      </c>
      <c r="S153" s="5"/>
      <c r="T153" s="5"/>
      <c r="U153" s="5"/>
      <c r="V153" s="6"/>
      <c r="W153" s="7">
        <v>1.4253000000000001E-4</v>
      </c>
      <c r="X153" s="7">
        <v>0.142398960687839</v>
      </c>
      <c r="Y153" s="41" t="s">
        <v>116</v>
      </c>
    </row>
    <row r="154" spans="2:25" ht="17.100000000000001" customHeight="1">
      <c r="B154" s="5" t="s">
        <v>41</v>
      </c>
      <c r="C154" s="40" t="s">
        <v>181</v>
      </c>
      <c r="D154" s="5" t="str">
        <f>IFERROR(INDEX(회사별_교통수단매핑!$C$2:$C$1000,MATCH(1,INDEX(($C$14=회사별_교통수단매핑!$A$2:$A$1000)*($Y154=회사별_교통수단매핑!$B$2:$B$1000),0),0)),"")</f>
        <v>국내선 항공</v>
      </c>
      <c r="E154" s="5">
        <v>1</v>
      </c>
      <c r="F154" s="42" t="s">
        <v>49</v>
      </c>
      <c r="G154" s="8" t="s">
        <v>215</v>
      </c>
      <c r="H154" s="12"/>
      <c r="I154" s="5">
        <f t="shared" si="2"/>
        <v>1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>
        <v>1</v>
      </c>
      <c r="V154" s="6"/>
      <c r="W154" s="7">
        <v>1.4253000000000001E-4</v>
      </c>
      <c r="X154" s="7">
        <v>0.142398960687839</v>
      </c>
      <c r="Y154" s="41" t="s">
        <v>116</v>
      </c>
    </row>
    <row r="155" spans="2:25" ht="17.100000000000001" customHeight="1">
      <c r="B155" s="5" t="s">
        <v>41</v>
      </c>
      <c r="C155" s="40" t="s">
        <v>181</v>
      </c>
      <c r="D155" s="5" t="str">
        <f>IFERROR(INDEX(회사별_교통수단매핑!$C$2:$C$1000,MATCH(1,INDEX(($C$14=회사별_교통수단매핑!$A$2:$A$1000)*($Y155=회사별_교통수단매핑!$B$2:$B$1000),0),0)),"")</f>
        <v>국내선 항공</v>
      </c>
      <c r="E155" s="5">
        <v>1</v>
      </c>
      <c r="F155" s="42" t="s">
        <v>49</v>
      </c>
      <c r="G155" s="8" t="s">
        <v>216</v>
      </c>
      <c r="H155" s="12"/>
      <c r="I155" s="5">
        <f t="shared" si="2"/>
        <v>1</v>
      </c>
      <c r="J155" s="5"/>
      <c r="K155" s="5"/>
      <c r="L155" s="5"/>
      <c r="M155" s="5"/>
      <c r="N155" s="5"/>
      <c r="O155" s="5"/>
      <c r="P155" s="5"/>
      <c r="Q155" s="5"/>
      <c r="R155" s="5">
        <v>1</v>
      </c>
      <c r="S155" s="5"/>
      <c r="T155" s="5"/>
      <c r="U155" s="5"/>
      <c r="V155" s="6"/>
      <c r="W155" s="7">
        <v>1.4253000000000001E-4</v>
      </c>
      <c r="X155" s="7">
        <v>0.142398960687839</v>
      </c>
      <c r="Y155" s="41" t="s">
        <v>116</v>
      </c>
    </row>
    <row r="156" spans="2:25" ht="17.100000000000001" customHeight="1">
      <c r="B156" s="5" t="s">
        <v>41</v>
      </c>
      <c r="C156" s="40" t="s">
        <v>181</v>
      </c>
      <c r="D156" s="5" t="str">
        <f>IFERROR(INDEX(회사별_교통수단매핑!$C$2:$C$1000,MATCH(1,INDEX(($C$14=회사별_교통수단매핑!$A$2:$A$1000)*($Y156=회사별_교통수단매핑!$B$2:$B$1000),0),0)),"")</f>
        <v>국내선 항공</v>
      </c>
      <c r="E156" s="5">
        <v>1</v>
      </c>
      <c r="F156" s="42" t="s">
        <v>49</v>
      </c>
      <c r="G156" s="8" t="s">
        <v>217</v>
      </c>
      <c r="H156" s="12"/>
      <c r="I156" s="5">
        <f t="shared" si="2"/>
        <v>2</v>
      </c>
      <c r="J156" s="5"/>
      <c r="K156" s="5"/>
      <c r="L156" s="5"/>
      <c r="M156" s="5">
        <v>2</v>
      </c>
      <c r="N156" s="5"/>
      <c r="O156" s="5"/>
      <c r="P156" s="5"/>
      <c r="Q156" s="5"/>
      <c r="R156" s="5"/>
      <c r="S156" s="5"/>
      <c r="T156" s="5"/>
      <c r="U156" s="5"/>
      <c r="V156" s="6"/>
      <c r="W156" s="7">
        <v>1.4253000000000001E-4</v>
      </c>
      <c r="X156" s="7">
        <v>0.284797921375678</v>
      </c>
      <c r="Y156" s="41" t="s">
        <v>116</v>
      </c>
    </row>
    <row r="157" spans="2:25" ht="17.100000000000001" customHeight="1">
      <c r="B157" s="5" t="s">
        <v>41</v>
      </c>
      <c r="C157" s="40" t="s">
        <v>181</v>
      </c>
      <c r="D157" s="5" t="str">
        <f>IFERROR(INDEX(회사별_교통수단매핑!$C$2:$C$1000,MATCH(1,INDEX(($C$14=회사별_교통수단매핑!$A$2:$A$1000)*($Y157=회사별_교통수단매핑!$B$2:$B$1000),0),0)),"")</f>
        <v>국내선 항공</v>
      </c>
      <c r="E157" s="5">
        <v>1</v>
      </c>
      <c r="F157" s="42" t="s">
        <v>49</v>
      </c>
      <c r="G157" s="8" t="s">
        <v>218</v>
      </c>
      <c r="H157" s="12"/>
      <c r="I157" s="5">
        <f t="shared" si="2"/>
        <v>3</v>
      </c>
      <c r="J157" s="5"/>
      <c r="K157" s="5"/>
      <c r="L157" s="5"/>
      <c r="M157" s="5"/>
      <c r="N157" s="5"/>
      <c r="O157" s="5"/>
      <c r="P157" s="5">
        <v>1</v>
      </c>
      <c r="Q157" s="5">
        <v>2</v>
      </c>
      <c r="R157" s="5"/>
      <c r="S157" s="5"/>
      <c r="T157" s="5"/>
      <c r="U157" s="5"/>
      <c r="V157" s="6"/>
      <c r="W157" s="7">
        <v>1.4253000000000001E-4</v>
      </c>
      <c r="X157" s="7">
        <v>0.42719688206351702</v>
      </c>
      <c r="Y157" s="41" t="s">
        <v>116</v>
      </c>
    </row>
    <row r="158" spans="2:25" ht="17.100000000000001" customHeight="1">
      <c r="B158" s="5" t="s">
        <v>41</v>
      </c>
      <c r="C158" s="40" t="s">
        <v>181</v>
      </c>
      <c r="D158" s="5" t="str">
        <f>IFERROR(INDEX(회사별_교통수단매핑!$C$2:$C$1000,MATCH(1,INDEX(($C$14=회사별_교통수단매핑!$A$2:$A$1000)*($Y158=회사별_교통수단매핑!$B$2:$B$1000),0),0)),"")</f>
        <v>국내선 항공</v>
      </c>
      <c r="E158" s="5">
        <v>1</v>
      </c>
      <c r="F158" s="42" t="s">
        <v>49</v>
      </c>
      <c r="G158" s="8" t="s">
        <v>219</v>
      </c>
      <c r="H158" s="12"/>
      <c r="I158" s="5">
        <f t="shared" si="2"/>
        <v>1</v>
      </c>
      <c r="J158" s="5"/>
      <c r="K158" s="5"/>
      <c r="L158" s="5"/>
      <c r="M158" s="5"/>
      <c r="N158" s="5"/>
      <c r="O158" s="5"/>
      <c r="P158" s="5"/>
      <c r="Q158" s="5">
        <v>1</v>
      </c>
      <c r="R158" s="5"/>
      <c r="S158" s="5"/>
      <c r="T158" s="5"/>
      <c r="U158" s="5"/>
      <c r="V158" s="6"/>
      <c r="W158" s="7">
        <v>1.4253000000000001E-4</v>
      </c>
      <c r="X158" s="7">
        <v>0.142398960687839</v>
      </c>
      <c r="Y158" s="41" t="s">
        <v>116</v>
      </c>
    </row>
    <row r="159" spans="2:25" ht="17.100000000000001" customHeight="1">
      <c r="B159" s="5" t="s">
        <v>41</v>
      </c>
      <c r="C159" s="40" t="s">
        <v>181</v>
      </c>
      <c r="D159" s="5" t="str">
        <f>IFERROR(INDEX(회사별_교통수단매핑!$C$2:$C$1000,MATCH(1,INDEX(($C$14=회사별_교통수단매핑!$A$2:$A$1000)*($Y159=회사별_교통수단매핑!$B$2:$B$1000),0),0)),"")</f>
        <v>국내선 항공</v>
      </c>
      <c r="E159" s="5">
        <v>1</v>
      </c>
      <c r="F159" s="42" t="s">
        <v>49</v>
      </c>
      <c r="G159" s="8" t="s">
        <v>220</v>
      </c>
      <c r="H159" s="12"/>
      <c r="I159" s="5">
        <f t="shared" si="2"/>
        <v>1</v>
      </c>
      <c r="J159" s="5"/>
      <c r="K159" s="5"/>
      <c r="L159" s="5"/>
      <c r="M159" s="5"/>
      <c r="N159" s="5"/>
      <c r="O159" s="5"/>
      <c r="P159" s="5"/>
      <c r="Q159" s="5">
        <v>1</v>
      </c>
      <c r="R159" s="5"/>
      <c r="S159" s="5"/>
      <c r="T159" s="5"/>
      <c r="U159" s="5"/>
      <c r="V159" s="6"/>
      <c r="W159" s="7">
        <v>1.4253000000000001E-4</v>
      </c>
      <c r="X159" s="7">
        <v>0.142398960687839</v>
      </c>
      <c r="Y159" s="41" t="s">
        <v>116</v>
      </c>
    </row>
    <row r="160" spans="2:25" ht="17.100000000000001" customHeight="1">
      <c r="B160" s="5" t="s">
        <v>41</v>
      </c>
      <c r="C160" s="40" t="s">
        <v>181</v>
      </c>
      <c r="D160" s="5" t="str">
        <f>IFERROR(INDEX(회사별_교통수단매핑!$C$2:$C$1000,MATCH(1,INDEX(($C$14=회사별_교통수단매핑!$A$2:$A$1000)*($Y160=회사별_교통수단매핑!$B$2:$B$1000),0),0)),"")</f>
        <v>국내선 항공</v>
      </c>
      <c r="E160" s="5">
        <v>1</v>
      </c>
      <c r="F160" s="42" t="s">
        <v>49</v>
      </c>
      <c r="G160" s="8" t="s">
        <v>120</v>
      </c>
      <c r="H160" s="12"/>
      <c r="I160" s="5">
        <f t="shared" si="2"/>
        <v>103</v>
      </c>
      <c r="J160" s="5">
        <v>3</v>
      </c>
      <c r="K160" s="5">
        <v>2</v>
      </c>
      <c r="L160" s="5">
        <v>17</v>
      </c>
      <c r="M160" s="5">
        <v>4</v>
      </c>
      <c r="N160" s="5">
        <v>3</v>
      </c>
      <c r="O160" s="5">
        <v>4</v>
      </c>
      <c r="P160" s="5">
        <v>14</v>
      </c>
      <c r="Q160" s="5">
        <v>5</v>
      </c>
      <c r="R160" s="5">
        <v>15</v>
      </c>
      <c r="S160" s="5">
        <v>14</v>
      </c>
      <c r="T160" s="5">
        <v>2</v>
      </c>
      <c r="U160" s="5">
        <v>20</v>
      </c>
      <c r="V160" s="6"/>
      <c r="W160" s="7">
        <v>1.4253000000000001E-4</v>
      </c>
      <c r="X160" s="7">
        <v>14.667092950847421</v>
      </c>
      <c r="Y160" s="41" t="s">
        <v>116</v>
      </c>
    </row>
    <row r="161" spans="2:25" ht="17.100000000000001" customHeight="1">
      <c r="B161" s="5" t="s">
        <v>41</v>
      </c>
      <c r="C161" s="40" t="s">
        <v>181</v>
      </c>
      <c r="D161" s="5" t="str">
        <f>IFERROR(INDEX(회사별_교통수단매핑!$C$2:$C$1000,MATCH(1,INDEX(($C$14=회사별_교통수단매핑!$A$2:$A$1000)*($Y161=회사별_교통수단매핑!$B$2:$B$1000),0),0)),"")</f>
        <v>국내선 항공</v>
      </c>
      <c r="E161" s="5">
        <v>1</v>
      </c>
      <c r="F161" s="42" t="s">
        <v>49</v>
      </c>
      <c r="G161" s="8" t="s">
        <v>221</v>
      </c>
      <c r="H161" s="12"/>
      <c r="I161" s="5">
        <f t="shared" si="2"/>
        <v>14</v>
      </c>
      <c r="J161" s="5">
        <v>1</v>
      </c>
      <c r="K161" s="5">
        <v>2</v>
      </c>
      <c r="L161" s="5">
        <v>1</v>
      </c>
      <c r="M161" s="5">
        <v>1</v>
      </c>
      <c r="N161" s="5"/>
      <c r="O161" s="5"/>
      <c r="P161" s="5">
        <v>1</v>
      </c>
      <c r="Q161" s="5">
        <v>1</v>
      </c>
      <c r="R161" s="5">
        <v>2</v>
      </c>
      <c r="S161" s="5">
        <v>2</v>
      </c>
      <c r="T161" s="5"/>
      <c r="U161" s="5">
        <v>3</v>
      </c>
      <c r="V161" s="6"/>
      <c r="W161" s="7">
        <v>1.4253000000000001E-4</v>
      </c>
      <c r="X161" s="7">
        <v>1.993585449629746</v>
      </c>
      <c r="Y161" s="41" t="s">
        <v>116</v>
      </c>
    </row>
    <row r="162" spans="2:25" ht="17.100000000000001" customHeight="1">
      <c r="B162" s="5" t="s">
        <v>41</v>
      </c>
      <c r="C162" s="40" t="s">
        <v>181</v>
      </c>
      <c r="D162" s="5" t="str">
        <f>IFERROR(INDEX(회사별_교통수단매핑!$C$2:$C$1000,MATCH(1,INDEX(($C$14=회사별_교통수단매핑!$A$2:$A$1000)*($Y162=회사별_교통수단매핑!$B$2:$B$1000),0),0)),"")</f>
        <v>국내선 항공</v>
      </c>
      <c r="E162" s="5">
        <v>1</v>
      </c>
      <c r="F162" s="42" t="s">
        <v>49</v>
      </c>
      <c r="G162" s="8" t="s">
        <v>222</v>
      </c>
      <c r="H162" s="12"/>
      <c r="I162" s="5">
        <f t="shared" si="2"/>
        <v>6</v>
      </c>
      <c r="J162" s="5"/>
      <c r="K162" s="5">
        <v>2</v>
      </c>
      <c r="L162" s="5"/>
      <c r="M162" s="5"/>
      <c r="N162" s="5"/>
      <c r="O162" s="5"/>
      <c r="P162" s="5"/>
      <c r="Q162" s="5">
        <v>1</v>
      </c>
      <c r="R162" s="5"/>
      <c r="S162" s="5"/>
      <c r="T162" s="5">
        <v>3</v>
      </c>
      <c r="U162" s="5"/>
      <c r="V162" s="6"/>
      <c r="W162" s="7">
        <v>1.4253000000000001E-4</v>
      </c>
      <c r="X162" s="7">
        <v>0.85439376412703405</v>
      </c>
      <c r="Y162" s="41" t="s">
        <v>116</v>
      </c>
    </row>
    <row r="163" spans="2:25" ht="17.100000000000001" customHeight="1">
      <c r="B163" s="5" t="s">
        <v>41</v>
      </c>
      <c r="C163" s="40" t="s">
        <v>181</v>
      </c>
      <c r="D163" s="5" t="str">
        <f>IFERROR(INDEX(회사별_교통수단매핑!$C$2:$C$1000,MATCH(1,INDEX(($C$14=회사별_교통수단매핑!$A$2:$A$1000)*($Y163=회사별_교통수단매핑!$B$2:$B$1000),0),0)),"")</f>
        <v>승용차(평균)</v>
      </c>
      <c r="E163" s="5">
        <v>1</v>
      </c>
      <c r="F163" s="42" t="s">
        <v>49</v>
      </c>
      <c r="G163" s="8" t="s">
        <v>223</v>
      </c>
      <c r="H163" s="12"/>
      <c r="I163" s="5">
        <f t="shared" si="2"/>
        <v>1</v>
      </c>
      <c r="J163" s="5"/>
      <c r="K163" s="5"/>
      <c r="L163" s="5"/>
      <c r="M163" s="5"/>
      <c r="N163" s="5"/>
      <c r="O163" s="5"/>
      <c r="P163" s="5"/>
      <c r="Q163" s="5"/>
      <c r="R163" s="5">
        <v>1</v>
      </c>
      <c r="S163" s="5"/>
      <c r="T163" s="5"/>
      <c r="U163" s="5"/>
      <c r="V163" s="6"/>
      <c r="W163" s="7">
        <v>1.7304000000000001E-4</v>
      </c>
      <c r="X163" s="7">
        <v>8.4962435634421851E-2</v>
      </c>
      <c r="Y163" s="41" t="s">
        <v>122</v>
      </c>
    </row>
    <row r="164" spans="2:25" ht="17.100000000000001" customHeight="1">
      <c r="B164" s="5" t="s">
        <v>41</v>
      </c>
      <c r="C164" s="40" t="s">
        <v>181</v>
      </c>
      <c r="D164" s="5" t="str">
        <f>IFERROR(INDEX(회사별_교통수단매핑!$C$2:$C$1000,MATCH(1,INDEX(($C$14=회사별_교통수단매핑!$A$2:$A$1000)*($Y164=회사별_교통수단매핑!$B$2:$B$1000),0),0)),"")</f>
        <v>승용차(평균)</v>
      </c>
      <c r="E164" s="5">
        <v>1</v>
      </c>
      <c r="F164" s="42" t="s">
        <v>49</v>
      </c>
      <c r="G164" s="8" t="s">
        <v>183</v>
      </c>
      <c r="H164" s="12"/>
      <c r="I164" s="5">
        <f t="shared" si="2"/>
        <v>1</v>
      </c>
      <c r="J164" s="5"/>
      <c r="K164" s="5"/>
      <c r="L164" s="5">
        <v>1</v>
      </c>
      <c r="M164" s="5"/>
      <c r="N164" s="5"/>
      <c r="O164" s="5"/>
      <c r="P164" s="5"/>
      <c r="Q164" s="5"/>
      <c r="R164" s="5"/>
      <c r="S164" s="5"/>
      <c r="T164" s="5"/>
      <c r="U164" s="5"/>
      <c r="V164" s="6"/>
      <c r="W164" s="7">
        <v>1.7304000000000001E-4</v>
      </c>
      <c r="X164" s="7">
        <v>3.9118741888122782E-2</v>
      </c>
      <c r="Y164" s="41" t="s">
        <v>122</v>
      </c>
    </row>
    <row r="165" spans="2:25" ht="17.100000000000001" customHeight="1">
      <c r="B165" s="5" t="s">
        <v>41</v>
      </c>
      <c r="C165" s="40" t="s">
        <v>181</v>
      </c>
      <c r="D165" s="5" t="str">
        <f>IFERROR(INDEX(회사별_교통수단매핑!$C$2:$C$1000,MATCH(1,INDEX(($C$14=회사별_교통수단매핑!$A$2:$A$1000)*($Y165=회사별_교통수단매핑!$B$2:$B$1000),0),0)),"")</f>
        <v>승용차(평균)</v>
      </c>
      <c r="E165" s="5">
        <v>1</v>
      </c>
      <c r="F165" s="42" t="s">
        <v>49</v>
      </c>
      <c r="G165" s="8" t="s">
        <v>224</v>
      </c>
      <c r="H165" s="12"/>
      <c r="I165" s="5">
        <f t="shared" si="2"/>
        <v>1</v>
      </c>
      <c r="J165" s="5"/>
      <c r="K165" s="5"/>
      <c r="L165" s="5"/>
      <c r="M165" s="5"/>
      <c r="N165" s="5"/>
      <c r="O165" s="5"/>
      <c r="P165" s="5"/>
      <c r="Q165" s="5">
        <v>1</v>
      </c>
      <c r="R165" s="5"/>
      <c r="S165" s="5"/>
      <c r="T165" s="5"/>
      <c r="U165" s="5"/>
      <c r="V165" s="6"/>
      <c r="W165" s="7">
        <v>1.7304000000000001E-4</v>
      </c>
      <c r="X165" s="7">
        <v>3.3687560364395033E-2</v>
      </c>
      <c r="Y165" s="41" t="s">
        <v>122</v>
      </c>
    </row>
    <row r="166" spans="2:25" ht="17.100000000000001" customHeight="1">
      <c r="B166" s="5" t="s">
        <v>41</v>
      </c>
      <c r="C166" s="40" t="s">
        <v>181</v>
      </c>
      <c r="D166" s="5" t="str">
        <f>IFERROR(INDEX(회사별_교통수단매핑!$C$2:$C$1000,MATCH(1,INDEX(($C$14=회사별_교통수단매핑!$A$2:$A$1000)*($Y166=회사별_교통수단매핑!$B$2:$B$1000),0),0)),"")</f>
        <v>승용차(평균)</v>
      </c>
      <c r="E166" s="5">
        <v>1</v>
      </c>
      <c r="F166" s="42" t="s">
        <v>49</v>
      </c>
      <c r="G166" s="8" t="s">
        <v>225</v>
      </c>
      <c r="H166" s="12"/>
      <c r="I166" s="5">
        <f t="shared" si="2"/>
        <v>2</v>
      </c>
      <c r="J166" s="5"/>
      <c r="K166" s="5"/>
      <c r="L166" s="5"/>
      <c r="M166" s="5"/>
      <c r="N166" s="5"/>
      <c r="O166" s="5"/>
      <c r="P166" s="5">
        <v>1</v>
      </c>
      <c r="Q166" s="5"/>
      <c r="R166" s="5"/>
      <c r="S166" s="5">
        <v>1</v>
      </c>
      <c r="T166" s="5"/>
      <c r="U166" s="5"/>
      <c r="V166" s="6"/>
      <c r="W166" s="7">
        <v>1.7304000000000001E-4</v>
      </c>
      <c r="X166" s="7">
        <v>6.7375120728790067E-2</v>
      </c>
      <c r="Y166" s="41" t="s">
        <v>122</v>
      </c>
    </row>
    <row r="167" spans="2:25" ht="17.100000000000001" customHeight="1">
      <c r="B167" s="5" t="s">
        <v>41</v>
      </c>
      <c r="C167" s="40" t="s">
        <v>181</v>
      </c>
      <c r="D167" s="5" t="str">
        <f>IFERROR(INDEX(회사별_교통수단매핑!$C$2:$C$1000,MATCH(1,INDEX(($C$14=회사별_교통수단매핑!$A$2:$A$1000)*($Y167=회사별_교통수단매핑!$B$2:$B$1000),0),0)),"")</f>
        <v>승용차(평균)</v>
      </c>
      <c r="E167" s="5">
        <v>1</v>
      </c>
      <c r="F167" s="42" t="s">
        <v>49</v>
      </c>
      <c r="G167" s="8" t="s">
        <v>226</v>
      </c>
      <c r="H167" s="12"/>
      <c r="I167" s="5">
        <f t="shared" si="2"/>
        <v>2</v>
      </c>
      <c r="J167" s="5"/>
      <c r="K167" s="5"/>
      <c r="L167" s="5"/>
      <c r="M167" s="5"/>
      <c r="N167" s="5"/>
      <c r="O167" s="5"/>
      <c r="P167" s="5"/>
      <c r="Q167" s="5"/>
      <c r="R167" s="5"/>
      <c r="S167" s="5">
        <v>2</v>
      </c>
      <c r="T167" s="5"/>
      <c r="U167" s="5"/>
      <c r="V167" s="6"/>
      <c r="W167" s="7">
        <v>1.7304000000000001E-4</v>
      </c>
      <c r="X167" s="7">
        <v>6.7375120728790067E-2</v>
      </c>
      <c r="Y167" s="41" t="s">
        <v>122</v>
      </c>
    </row>
    <row r="168" spans="2:25" ht="17.100000000000001" customHeight="1">
      <c r="B168" s="5" t="s">
        <v>41</v>
      </c>
      <c r="C168" s="40" t="s">
        <v>181</v>
      </c>
      <c r="D168" s="5" t="str">
        <f>IFERROR(INDEX(회사별_교통수단매핑!$C$2:$C$1000,MATCH(1,INDEX(($C$14=회사별_교통수단매핑!$A$2:$A$1000)*($Y168=회사별_교통수단매핑!$B$2:$B$1000),0),0)),"")</f>
        <v>승용차(평균)</v>
      </c>
      <c r="E168" s="5">
        <v>1</v>
      </c>
      <c r="F168" s="42" t="s">
        <v>49</v>
      </c>
      <c r="G168" s="8" t="s">
        <v>227</v>
      </c>
      <c r="H168" s="12"/>
      <c r="I168" s="5">
        <f t="shared" si="2"/>
        <v>1</v>
      </c>
      <c r="J168" s="5"/>
      <c r="K168" s="5"/>
      <c r="L168" s="5">
        <v>1</v>
      </c>
      <c r="M168" s="5"/>
      <c r="N168" s="5"/>
      <c r="O168" s="5"/>
      <c r="P168" s="5"/>
      <c r="Q168" s="5"/>
      <c r="R168" s="5"/>
      <c r="S168" s="5"/>
      <c r="T168" s="5"/>
      <c r="U168" s="5"/>
      <c r="V168" s="6"/>
      <c r="W168" s="7">
        <v>1.7304000000000001E-4</v>
      </c>
      <c r="X168" s="7">
        <v>3.3687560364395033E-2</v>
      </c>
      <c r="Y168" s="41" t="s">
        <v>122</v>
      </c>
    </row>
    <row r="169" spans="2:25" ht="17.100000000000001" customHeight="1">
      <c r="B169" s="5" t="s">
        <v>41</v>
      </c>
      <c r="C169" s="40" t="s">
        <v>181</v>
      </c>
      <c r="D169" s="5" t="str">
        <f>IFERROR(INDEX(회사별_교통수단매핑!$C$2:$C$1000,MATCH(1,INDEX(($C$14=회사별_교통수단매핑!$A$2:$A$1000)*($Y169=회사별_교통수단매핑!$B$2:$B$1000),0),0)),"")</f>
        <v>승용차(평균)</v>
      </c>
      <c r="E169" s="5">
        <v>1</v>
      </c>
      <c r="F169" s="42" t="s">
        <v>49</v>
      </c>
      <c r="G169" s="8" t="s">
        <v>228</v>
      </c>
      <c r="H169" s="12"/>
      <c r="I169" s="5">
        <f t="shared" si="2"/>
        <v>1</v>
      </c>
      <c r="J169" s="5"/>
      <c r="K169" s="5"/>
      <c r="L169" s="5"/>
      <c r="M169" s="5"/>
      <c r="N169" s="5"/>
      <c r="O169" s="5"/>
      <c r="P169" s="5"/>
      <c r="Q169" s="5"/>
      <c r="R169" s="5"/>
      <c r="S169" s="5">
        <v>1</v>
      </c>
      <c r="T169" s="5"/>
      <c r="U169" s="5"/>
      <c r="V169" s="6"/>
      <c r="W169" s="7">
        <v>1.7304000000000001E-4</v>
      </c>
      <c r="X169" s="7">
        <v>1.527966476950542E-2</v>
      </c>
      <c r="Y169" s="41" t="s">
        <v>122</v>
      </c>
    </row>
    <row r="170" spans="2:25" ht="17.100000000000001" customHeight="1">
      <c r="B170" s="5" t="s">
        <v>41</v>
      </c>
      <c r="C170" s="40" t="s">
        <v>181</v>
      </c>
      <c r="D170" s="5" t="str">
        <f>IFERROR(INDEX(회사별_교통수단매핑!$C$2:$C$1000,MATCH(1,INDEX(($C$14=회사별_교통수단매핑!$A$2:$A$1000)*($Y170=회사별_교통수단매핑!$B$2:$B$1000),0),0)),"")</f>
        <v>승용차(평균)</v>
      </c>
      <c r="E170" s="5">
        <v>1</v>
      </c>
      <c r="F170" s="42" t="s">
        <v>49</v>
      </c>
      <c r="G170" s="8" t="s">
        <v>172</v>
      </c>
      <c r="H170" s="12"/>
      <c r="I170" s="5">
        <f t="shared" si="2"/>
        <v>1</v>
      </c>
      <c r="J170" s="5"/>
      <c r="K170" s="5">
        <v>1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6"/>
      <c r="W170" s="7">
        <v>1.7304000000000001E-4</v>
      </c>
      <c r="X170" s="7">
        <v>0.138432</v>
      </c>
      <c r="Y170" s="41" t="s">
        <v>122</v>
      </c>
    </row>
    <row r="171" spans="2:25" ht="17.100000000000001" customHeight="1">
      <c r="B171" s="5" t="s">
        <v>41</v>
      </c>
      <c r="C171" s="40" t="s">
        <v>181</v>
      </c>
      <c r="D171" s="5" t="str">
        <f>IFERROR(INDEX(회사별_교통수단매핑!$C$2:$C$1000,MATCH(1,INDEX(($C$14=회사별_교통수단매핑!$A$2:$A$1000)*($Y171=회사별_교통수단매핑!$B$2:$B$1000),0),0)),"")</f>
        <v>승용차(평균)</v>
      </c>
      <c r="E171" s="5">
        <v>1</v>
      </c>
      <c r="F171" s="42" t="s">
        <v>49</v>
      </c>
      <c r="G171" s="8" t="s">
        <v>229</v>
      </c>
      <c r="H171" s="12"/>
      <c r="I171" s="5">
        <f t="shared" si="2"/>
        <v>1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>
        <v>1</v>
      </c>
      <c r="U171" s="5"/>
      <c r="V171" s="6"/>
      <c r="W171" s="7">
        <v>1.7304000000000001E-4</v>
      </c>
      <c r="X171" s="7">
        <v>0.12241544012085161</v>
      </c>
      <c r="Y171" s="41" t="s">
        <v>122</v>
      </c>
    </row>
    <row r="172" spans="2:25" ht="17.100000000000001" customHeight="1">
      <c r="B172" s="5" t="s">
        <v>41</v>
      </c>
      <c r="C172" s="40" t="s">
        <v>181</v>
      </c>
      <c r="D172" s="5" t="str">
        <f>IFERROR(INDEX(회사별_교통수단매핑!$C$2:$C$1000,MATCH(1,INDEX(($C$14=회사별_교통수단매핑!$A$2:$A$1000)*($Y172=회사별_교통수단매핑!$B$2:$B$1000),0),0)),"")</f>
        <v>승용차(평균)</v>
      </c>
      <c r="E172" s="5">
        <v>1</v>
      </c>
      <c r="F172" s="42" t="s">
        <v>49</v>
      </c>
      <c r="G172" s="8" t="s">
        <v>151</v>
      </c>
      <c r="H172" s="12"/>
      <c r="I172" s="5">
        <f t="shared" si="2"/>
        <v>1</v>
      </c>
      <c r="J172" s="5"/>
      <c r="K172" s="5"/>
      <c r="L172" s="5">
        <v>1</v>
      </c>
      <c r="M172" s="5"/>
      <c r="N172" s="5"/>
      <c r="O172" s="5"/>
      <c r="P172" s="5"/>
      <c r="Q172" s="5"/>
      <c r="R172" s="5"/>
      <c r="S172" s="5"/>
      <c r="T172" s="5"/>
      <c r="U172" s="5"/>
      <c r="V172" s="6"/>
      <c r="W172" s="7">
        <v>1.7304000000000001E-4</v>
      </c>
      <c r="X172" s="7">
        <v>7.4278734900294713E-2</v>
      </c>
      <c r="Y172" s="41" t="s">
        <v>122</v>
      </c>
    </row>
    <row r="173" spans="2:25" ht="17.100000000000001" customHeight="1">
      <c r="B173" s="5" t="s">
        <v>41</v>
      </c>
      <c r="C173" s="40" t="s">
        <v>181</v>
      </c>
      <c r="D173" s="5" t="str">
        <f>IFERROR(INDEX(회사별_교통수단매핑!$C$2:$C$1000,MATCH(1,INDEX(($C$14=회사별_교통수단매핑!$A$2:$A$1000)*($Y173=회사별_교통수단매핑!$B$2:$B$1000),0),0)),"")</f>
        <v>승용차(평균)</v>
      </c>
      <c r="E173" s="5">
        <v>1</v>
      </c>
      <c r="F173" s="42" t="s">
        <v>49</v>
      </c>
      <c r="G173" s="8" t="s">
        <v>230</v>
      </c>
      <c r="H173" s="12"/>
      <c r="I173" s="5">
        <f t="shared" si="2"/>
        <v>1</v>
      </c>
      <c r="J173" s="5"/>
      <c r="K173" s="5"/>
      <c r="L173" s="5"/>
      <c r="M173" s="5"/>
      <c r="N173" s="5">
        <v>1</v>
      </c>
      <c r="O173" s="5"/>
      <c r="P173" s="5"/>
      <c r="Q173" s="5"/>
      <c r="R173" s="5"/>
      <c r="S173" s="5"/>
      <c r="T173" s="5"/>
      <c r="U173" s="5"/>
      <c r="V173" s="6"/>
      <c r="W173" s="7">
        <v>1.7304000000000001E-4</v>
      </c>
      <c r="X173" s="7">
        <v>0.1205073747398298</v>
      </c>
      <c r="Y173" s="41" t="s">
        <v>122</v>
      </c>
    </row>
    <row r="174" spans="2:25" ht="17.100000000000001" customHeight="1">
      <c r="B174" s="5" t="s">
        <v>41</v>
      </c>
      <c r="C174" s="40" t="s">
        <v>181</v>
      </c>
      <c r="D174" s="5" t="str">
        <f>IFERROR(INDEX(회사별_교통수단매핑!$C$2:$C$1000,MATCH(1,INDEX(($C$14=회사별_교통수단매핑!$A$2:$A$1000)*($Y174=회사별_교통수단매핑!$B$2:$B$1000),0),0)),"")</f>
        <v>승용차(평균)</v>
      </c>
      <c r="E174" s="5">
        <v>1</v>
      </c>
      <c r="F174" s="42" t="s">
        <v>49</v>
      </c>
      <c r="G174" s="8" t="s">
        <v>43</v>
      </c>
      <c r="H174" s="12"/>
      <c r="I174" s="5">
        <f t="shared" si="2"/>
        <v>1</v>
      </c>
      <c r="J174" s="5"/>
      <c r="K174" s="5"/>
      <c r="L174" s="5"/>
      <c r="M174" s="5">
        <v>1</v>
      </c>
      <c r="N174" s="5"/>
      <c r="O174" s="5"/>
      <c r="P174" s="5"/>
      <c r="Q174" s="5"/>
      <c r="R174" s="5"/>
      <c r="S174" s="5"/>
      <c r="T174" s="5"/>
      <c r="U174" s="5"/>
      <c r="V174" s="6"/>
      <c r="W174" s="7">
        <v>1.7304000000000001E-4</v>
      </c>
      <c r="X174" s="7">
        <v>0.1205073747398298</v>
      </c>
      <c r="Y174" s="41" t="s">
        <v>122</v>
      </c>
    </row>
    <row r="175" spans="2:25" ht="17.100000000000001" customHeight="1">
      <c r="B175" s="5" t="s">
        <v>41</v>
      </c>
      <c r="C175" s="40" t="s">
        <v>181</v>
      </c>
      <c r="D175" s="5" t="str">
        <f>IFERROR(INDEX(회사별_교통수단매핑!$C$2:$C$1000,MATCH(1,INDEX(($C$14=회사별_교통수단매핑!$A$2:$A$1000)*($Y175=회사별_교통수단매핑!$B$2:$B$1000),0),0)),"")</f>
        <v>승용차(평균)</v>
      </c>
      <c r="E175" s="5">
        <v>1</v>
      </c>
      <c r="F175" s="42" t="s">
        <v>49</v>
      </c>
      <c r="G175" s="8" t="s">
        <v>231</v>
      </c>
      <c r="H175" s="12"/>
      <c r="I175" s="5">
        <f t="shared" si="2"/>
        <v>2</v>
      </c>
      <c r="J175" s="5"/>
      <c r="K175" s="5"/>
      <c r="L175" s="5"/>
      <c r="M175" s="5"/>
      <c r="N175" s="5"/>
      <c r="O175" s="5"/>
      <c r="P175" s="5"/>
      <c r="Q175" s="5">
        <v>2</v>
      </c>
      <c r="R175" s="5"/>
      <c r="S175" s="5"/>
      <c r="T175" s="5"/>
      <c r="U175" s="5"/>
      <c r="V175" s="6"/>
      <c r="W175" s="7">
        <v>1.7304000000000001E-4</v>
      </c>
      <c r="X175" s="7">
        <v>0.21374775539044591</v>
      </c>
      <c r="Y175" s="41" t="s">
        <v>122</v>
      </c>
    </row>
    <row r="176" spans="2:25" ht="17.100000000000001" customHeight="1">
      <c r="B176" s="5" t="s">
        <v>41</v>
      </c>
      <c r="C176" s="40" t="s">
        <v>181</v>
      </c>
      <c r="D176" s="5" t="str">
        <f>IFERROR(INDEX(회사별_교통수단매핑!$C$2:$C$1000,MATCH(1,INDEX(($C$14=회사별_교통수단매핑!$A$2:$A$1000)*($Y176=회사별_교통수단매핑!$B$2:$B$1000),0),0)),"")</f>
        <v>승용차(평균)</v>
      </c>
      <c r="E176" s="5">
        <v>1</v>
      </c>
      <c r="F176" s="42" t="s">
        <v>49</v>
      </c>
      <c r="G176" s="8" t="s">
        <v>232</v>
      </c>
      <c r="H176" s="12"/>
      <c r="I176" s="5">
        <f t="shared" si="2"/>
        <v>1</v>
      </c>
      <c r="J176" s="5">
        <v>1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6"/>
      <c r="W176" s="7">
        <v>1.7304000000000001E-4</v>
      </c>
      <c r="X176" s="7">
        <v>0.1068738776952229</v>
      </c>
      <c r="Y176" s="41" t="s">
        <v>122</v>
      </c>
    </row>
    <row r="177" spans="2:25" ht="17.100000000000001" customHeight="1">
      <c r="B177" s="5" t="s">
        <v>41</v>
      </c>
      <c r="C177" s="40" t="s">
        <v>181</v>
      </c>
      <c r="D177" s="5" t="str">
        <f>IFERROR(INDEX(회사별_교통수단매핑!$C$2:$C$1000,MATCH(1,INDEX(($C$14=회사별_교통수단매핑!$A$2:$A$1000)*($Y177=회사별_교통수단매핑!$B$2:$B$1000),0),0)),"")</f>
        <v>승용차(평균)</v>
      </c>
      <c r="E177" s="5">
        <v>1</v>
      </c>
      <c r="F177" s="42" t="s">
        <v>49</v>
      </c>
      <c r="G177" s="8" t="s">
        <v>233</v>
      </c>
      <c r="H177" s="12"/>
      <c r="I177" s="5">
        <f t="shared" si="2"/>
        <v>1</v>
      </c>
      <c r="J177" s="5"/>
      <c r="K177" s="5"/>
      <c r="L177" s="5"/>
      <c r="M177" s="5"/>
      <c r="N177" s="5"/>
      <c r="O177" s="5"/>
      <c r="P177" s="5"/>
      <c r="Q177" s="5"/>
      <c r="R177" s="5">
        <v>1</v>
      </c>
      <c r="S177" s="5"/>
      <c r="T177" s="5"/>
      <c r="U177" s="5"/>
      <c r="V177" s="6"/>
      <c r="W177" s="7">
        <v>1.7304000000000001E-4</v>
      </c>
      <c r="X177" s="7">
        <v>6.290855306070009E-2</v>
      </c>
      <c r="Y177" s="41" t="s">
        <v>122</v>
      </c>
    </row>
    <row r="178" spans="2:25" ht="17.100000000000001" customHeight="1">
      <c r="B178" s="5" t="s">
        <v>41</v>
      </c>
      <c r="C178" s="40" t="s">
        <v>181</v>
      </c>
      <c r="D178" s="5" t="str">
        <f>IFERROR(INDEX(회사별_교통수단매핑!$C$2:$C$1000,MATCH(1,INDEX(($C$14=회사별_교통수단매핑!$A$2:$A$1000)*($Y178=회사별_교통수단매핑!$B$2:$B$1000),0),0)),"")</f>
        <v>승용차(평균)</v>
      </c>
      <c r="E178" s="5">
        <v>1</v>
      </c>
      <c r="F178" s="42" t="s">
        <v>49</v>
      </c>
      <c r="G178" s="8" t="s">
        <v>234</v>
      </c>
      <c r="H178" s="12"/>
      <c r="I178" s="5">
        <f t="shared" si="2"/>
        <v>1</v>
      </c>
      <c r="J178" s="5"/>
      <c r="K178" s="5"/>
      <c r="L178" s="5"/>
      <c r="M178" s="5"/>
      <c r="N178" s="5"/>
      <c r="O178" s="5"/>
      <c r="P178" s="5">
        <v>1</v>
      </c>
      <c r="Q178" s="5"/>
      <c r="R178" s="5"/>
      <c r="S178" s="5"/>
      <c r="T178" s="5"/>
      <c r="U178" s="5"/>
      <c r="V178" s="6"/>
      <c r="W178" s="7">
        <v>1.7304000000000001E-4</v>
      </c>
      <c r="X178" s="7">
        <v>6.290855306070009E-2</v>
      </c>
      <c r="Y178" s="41" t="s">
        <v>122</v>
      </c>
    </row>
    <row r="179" spans="2:25" ht="17.100000000000001" customHeight="1">
      <c r="B179" s="53" t="s">
        <v>41</v>
      </c>
      <c r="C179" s="54" t="s">
        <v>181</v>
      </c>
      <c r="D179" s="53" t="str">
        <f>IFERROR(INDEX(회사별_교통수단매핑!$C$2:$C$1000,MATCH(1,INDEX(($C$14=회사별_교통수단매핑!$A$2:$A$1000)*($Y179=회사별_교통수단매핑!$B$2:$B$1000),0),0)),"")</f>
        <v>승용차(평균)</v>
      </c>
      <c r="E179" s="53">
        <v>1</v>
      </c>
      <c r="F179" s="55" t="s">
        <v>49</v>
      </c>
      <c r="G179" s="53" t="s">
        <v>49</v>
      </c>
      <c r="H179" s="53"/>
      <c r="I179" s="53">
        <f t="shared" si="2"/>
        <v>3</v>
      </c>
      <c r="J179" s="53">
        <v>2</v>
      </c>
      <c r="K179" s="53">
        <v>1</v>
      </c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>
        <v>1.7304000000000001E-4</v>
      </c>
      <c r="X179" s="53"/>
      <c r="Y179" s="56" t="s">
        <v>122</v>
      </c>
    </row>
    <row r="180" spans="2:25" ht="17.100000000000001" customHeight="1">
      <c r="B180" s="5" t="s">
        <v>41</v>
      </c>
      <c r="C180" s="40" t="s">
        <v>181</v>
      </c>
      <c r="D180" s="5" t="str">
        <f>IFERROR(INDEX(회사별_교통수단매핑!$C$2:$C$1000,MATCH(1,INDEX(($C$14=회사별_교통수단매핑!$A$2:$A$1000)*($Y180=회사별_교통수단매핑!$B$2:$B$1000),0),0)),"")</f>
        <v>승용차(평균)</v>
      </c>
      <c r="E180" s="5">
        <v>1</v>
      </c>
      <c r="F180" s="42" t="s">
        <v>49</v>
      </c>
      <c r="G180" s="8" t="s">
        <v>208</v>
      </c>
      <c r="H180" s="12"/>
      <c r="I180" s="5">
        <f t="shared" si="2"/>
        <v>1</v>
      </c>
      <c r="J180" s="5"/>
      <c r="K180" s="5"/>
      <c r="L180" s="5">
        <v>1</v>
      </c>
      <c r="M180" s="5"/>
      <c r="N180" s="5"/>
      <c r="O180" s="5"/>
      <c r="P180" s="5"/>
      <c r="Q180" s="5"/>
      <c r="R180" s="5"/>
      <c r="S180" s="5"/>
      <c r="T180" s="5"/>
      <c r="U180" s="5"/>
      <c r="V180" s="6"/>
      <c r="W180" s="7">
        <v>1.7304000000000001E-4</v>
      </c>
      <c r="X180" s="7">
        <v>5.5664850880635178E-2</v>
      </c>
      <c r="Y180" s="41" t="s">
        <v>122</v>
      </c>
    </row>
    <row r="181" spans="2:25" ht="17.100000000000001" customHeight="1">
      <c r="B181" s="5" t="s">
        <v>41</v>
      </c>
      <c r="C181" s="40" t="s">
        <v>181</v>
      </c>
      <c r="D181" s="5" t="str">
        <f>IFERROR(INDEX(회사별_교통수단매핑!$C$2:$C$1000,MATCH(1,INDEX(($C$14=회사별_교통수단매핑!$A$2:$A$1000)*($Y181=회사별_교통수단매핑!$B$2:$B$1000),0),0)),"")</f>
        <v>승용차(평균)</v>
      </c>
      <c r="E181" s="5">
        <v>1</v>
      </c>
      <c r="F181" s="42" t="s">
        <v>49</v>
      </c>
      <c r="G181" s="8" t="s">
        <v>196</v>
      </c>
      <c r="H181" s="12"/>
      <c r="I181" s="5">
        <f t="shared" si="2"/>
        <v>1</v>
      </c>
      <c r="J181" s="5"/>
      <c r="K181" s="5"/>
      <c r="L181" s="5"/>
      <c r="M181" s="5"/>
      <c r="N181" s="5"/>
      <c r="O181" s="5"/>
      <c r="P181" s="5"/>
      <c r="Q181" s="5"/>
      <c r="R181" s="5">
        <v>1</v>
      </c>
      <c r="S181" s="5"/>
      <c r="T181" s="5"/>
      <c r="U181" s="5"/>
      <c r="V181" s="6"/>
      <c r="W181" s="7">
        <v>1.7304000000000001E-4</v>
      </c>
      <c r="X181" s="7">
        <v>5.5664850880635178E-2</v>
      </c>
      <c r="Y181" s="41" t="s">
        <v>122</v>
      </c>
    </row>
    <row r="182" spans="2:25" ht="17.100000000000001" customHeight="1">
      <c r="B182" s="5" t="s">
        <v>41</v>
      </c>
      <c r="C182" s="40" t="s">
        <v>181</v>
      </c>
      <c r="D182" s="5" t="str">
        <f>IFERROR(INDEX(회사별_교통수단매핑!$C$2:$C$1000,MATCH(1,INDEX(($C$14=회사별_교통수단매핑!$A$2:$A$1000)*($Y182=회사별_교통수단매핑!$B$2:$B$1000),0),0)),"")</f>
        <v>승용차(평균)</v>
      </c>
      <c r="E182" s="5">
        <v>1</v>
      </c>
      <c r="F182" s="42" t="s">
        <v>49</v>
      </c>
      <c r="G182" s="8" t="s">
        <v>235</v>
      </c>
      <c r="H182" s="12"/>
      <c r="I182" s="5">
        <f t="shared" si="2"/>
        <v>1</v>
      </c>
      <c r="J182" s="5"/>
      <c r="K182" s="5"/>
      <c r="L182" s="5"/>
      <c r="M182" s="5"/>
      <c r="N182" s="5"/>
      <c r="O182" s="5">
        <v>1</v>
      </c>
      <c r="P182" s="5"/>
      <c r="Q182" s="5"/>
      <c r="R182" s="5"/>
      <c r="S182" s="5"/>
      <c r="T182" s="5"/>
      <c r="U182" s="5"/>
      <c r="V182" s="6"/>
      <c r="W182" s="7">
        <v>1.7304000000000001E-4</v>
      </c>
      <c r="X182" s="7">
        <v>5.5664850880635178E-2</v>
      </c>
      <c r="Y182" s="41" t="s">
        <v>122</v>
      </c>
    </row>
    <row r="183" spans="2:25" ht="17.100000000000001" customHeight="1">
      <c r="B183" s="5" t="s">
        <v>41</v>
      </c>
      <c r="C183" s="40" t="s">
        <v>181</v>
      </c>
      <c r="D183" s="5" t="str">
        <f>IFERROR(INDEX(회사별_교통수단매핑!$C$2:$C$1000,MATCH(1,INDEX(($C$14=회사별_교통수단매핑!$A$2:$A$1000)*($Y183=회사별_교통수단매핑!$B$2:$B$1000),0),0)),"")</f>
        <v>승용차(평균)</v>
      </c>
      <c r="E183" s="5">
        <v>1</v>
      </c>
      <c r="F183" s="42" t="s">
        <v>49</v>
      </c>
      <c r="G183" s="8" t="s">
        <v>198</v>
      </c>
      <c r="H183" s="12"/>
      <c r="I183" s="5">
        <f t="shared" si="2"/>
        <v>2</v>
      </c>
      <c r="J183" s="5"/>
      <c r="K183" s="5"/>
      <c r="L183" s="5">
        <v>1</v>
      </c>
      <c r="M183" s="5"/>
      <c r="N183" s="5"/>
      <c r="O183" s="5"/>
      <c r="P183" s="5"/>
      <c r="Q183" s="5"/>
      <c r="R183" s="5"/>
      <c r="S183" s="5"/>
      <c r="T183" s="5"/>
      <c r="U183" s="5">
        <v>1</v>
      </c>
      <c r="V183" s="6"/>
      <c r="W183" s="7">
        <v>1.7304000000000001E-4</v>
      </c>
      <c r="X183" s="7">
        <v>0.1113297017612704</v>
      </c>
      <c r="Y183" s="41" t="s">
        <v>122</v>
      </c>
    </row>
    <row r="184" spans="2:25" ht="17.100000000000001" customHeight="1">
      <c r="B184" s="5" t="s">
        <v>41</v>
      </c>
      <c r="C184" s="40" t="s">
        <v>181</v>
      </c>
      <c r="D184" s="5" t="str">
        <f>IFERROR(INDEX(회사별_교통수단매핑!$C$2:$C$1000,MATCH(1,INDEX(($C$14=회사별_교통수단매핑!$A$2:$A$1000)*($Y184=회사별_교통수단매핑!$B$2:$B$1000),0),0)),"")</f>
        <v>승용차(평균)</v>
      </c>
      <c r="E184" s="5">
        <v>1</v>
      </c>
      <c r="F184" s="42" t="s">
        <v>49</v>
      </c>
      <c r="G184" s="8" t="s">
        <v>199</v>
      </c>
      <c r="H184" s="12"/>
      <c r="I184" s="5">
        <f t="shared" si="2"/>
        <v>2</v>
      </c>
      <c r="J184" s="5"/>
      <c r="K184" s="5">
        <v>1</v>
      </c>
      <c r="L184" s="5"/>
      <c r="M184" s="5"/>
      <c r="N184" s="5"/>
      <c r="O184" s="5"/>
      <c r="P184" s="5"/>
      <c r="Q184" s="5">
        <v>1</v>
      </c>
      <c r="R184" s="5"/>
      <c r="S184" s="5"/>
      <c r="T184" s="5"/>
      <c r="U184" s="5"/>
      <c r="V184" s="6"/>
      <c r="W184" s="7">
        <v>1.7304000000000001E-4</v>
      </c>
      <c r="X184" s="7">
        <v>0.1113297017612704</v>
      </c>
      <c r="Y184" s="41" t="s">
        <v>122</v>
      </c>
    </row>
    <row r="185" spans="2:25" ht="17.100000000000001" customHeight="1">
      <c r="B185" s="5" t="s">
        <v>41</v>
      </c>
      <c r="C185" s="40" t="s">
        <v>181</v>
      </c>
      <c r="D185" s="5" t="str">
        <f>IFERROR(INDEX(회사별_교통수단매핑!$C$2:$C$1000,MATCH(1,INDEX(($C$14=회사별_교통수단매핑!$A$2:$A$1000)*($Y185=회사별_교통수단매핑!$B$2:$B$1000),0),0)),"")</f>
        <v>승용차(평균)</v>
      </c>
      <c r="E185" s="5">
        <v>1</v>
      </c>
      <c r="F185" s="42" t="s">
        <v>49</v>
      </c>
      <c r="G185" s="8" t="s">
        <v>200</v>
      </c>
      <c r="H185" s="12"/>
      <c r="I185" s="5">
        <f t="shared" si="2"/>
        <v>1</v>
      </c>
      <c r="J185" s="5"/>
      <c r="K185" s="5"/>
      <c r="L185" s="5">
        <v>1</v>
      </c>
      <c r="M185" s="5"/>
      <c r="N185" s="5"/>
      <c r="O185" s="5"/>
      <c r="P185" s="5"/>
      <c r="Q185" s="5"/>
      <c r="R185" s="5"/>
      <c r="S185" s="5"/>
      <c r="T185" s="5"/>
      <c r="U185" s="5"/>
      <c r="V185" s="6"/>
      <c r="W185" s="7">
        <v>1.7304000000000001E-4</v>
      </c>
      <c r="X185" s="7">
        <v>5.5664850880635178E-2</v>
      </c>
      <c r="Y185" s="41" t="s">
        <v>122</v>
      </c>
    </row>
    <row r="186" spans="2:25" ht="17.100000000000001" customHeight="1">
      <c r="B186" s="5" t="s">
        <v>41</v>
      </c>
      <c r="C186" s="40" t="s">
        <v>181</v>
      </c>
      <c r="D186" s="5" t="str">
        <f>IFERROR(INDEX(회사별_교통수단매핑!$C$2:$C$1000,MATCH(1,INDEX(($C$14=회사별_교통수단매핑!$A$2:$A$1000)*($Y186=회사별_교통수단매핑!$B$2:$B$1000),0),0)),"")</f>
        <v>승용차(평균)</v>
      </c>
      <c r="E186" s="5">
        <v>1</v>
      </c>
      <c r="F186" s="42" t="s">
        <v>49</v>
      </c>
      <c r="G186" s="8" t="s">
        <v>236</v>
      </c>
      <c r="H186" s="12"/>
      <c r="I186" s="5">
        <f t="shared" si="2"/>
        <v>1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>
        <v>1</v>
      </c>
      <c r="U186" s="5"/>
      <c r="V186" s="6"/>
      <c r="W186" s="7">
        <v>1.7304000000000001E-4</v>
      </c>
      <c r="X186" s="7">
        <v>0.14306847524195579</v>
      </c>
      <c r="Y186" s="41" t="s">
        <v>122</v>
      </c>
    </row>
    <row r="187" spans="2:25" ht="17.100000000000001" customHeight="1">
      <c r="B187" s="5" t="s">
        <v>41</v>
      </c>
      <c r="C187" s="40" t="s">
        <v>181</v>
      </c>
      <c r="D187" s="5" t="str">
        <f>IFERROR(INDEX(회사별_교통수단매핑!$C$2:$C$1000,MATCH(1,INDEX(($C$14=회사별_교통수단매핑!$A$2:$A$1000)*($Y187=회사별_교통수단매핑!$B$2:$B$1000),0),0)),"")</f>
        <v>승용차(평균)</v>
      </c>
      <c r="E187" s="5">
        <v>1</v>
      </c>
      <c r="F187" s="42" t="s">
        <v>49</v>
      </c>
      <c r="G187" s="8" t="s">
        <v>237</v>
      </c>
      <c r="H187" s="12"/>
      <c r="I187" s="5">
        <f t="shared" si="2"/>
        <v>1</v>
      </c>
      <c r="J187" s="5"/>
      <c r="K187" s="5"/>
      <c r="L187" s="5"/>
      <c r="M187" s="5"/>
      <c r="N187" s="5"/>
      <c r="O187" s="5">
        <v>1</v>
      </c>
      <c r="P187" s="5"/>
      <c r="Q187" s="5"/>
      <c r="R187" s="5"/>
      <c r="S187" s="5"/>
      <c r="T187" s="5"/>
      <c r="U187" s="5"/>
      <c r="V187" s="6"/>
      <c r="W187" s="7">
        <v>1.7304000000000001E-4</v>
      </c>
      <c r="X187" s="7">
        <v>8.0404546259036647E-2</v>
      </c>
      <c r="Y187" s="41" t="s">
        <v>122</v>
      </c>
    </row>
    <row r="188" spans="2:25" ht="17.100000000000001" customHeight="1">
      <c r="B188" s="5" t="s">
        <v>41</v>
      </c>
      <c r="C188" s="40" t="s">
        <v>181</v>
      </c>
      <c r="D188" s="5" t="str">
        <f>IFERROR(INDEX(회사별_교통수단매핑!$C$2:$C$1000,MATCH(1,INDEX(($C$14=회사별_교통수단매핑!$A$2:$A$1000)*($Y188=회사별_교통수단매핑!$B$2:$B$1000),0),0)),"")</f>
        <v>승용차(평균)</v>
      </c>
      <c r="E188" s="5">
        <v>1</v>
      </c>
      <c r="F188" s="42" t="s">
        <v>49</v>
      </c>
      <c r="G188" s="8" t="s">
        <v>238</v>
      </c>
      <c r="H188" s="12"/>
      <c r="I188" s="5">
        <f t="shared" si="2"/>
        <v>1</v>
      </c>
      <c r="J188" s="5">
        <v>1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6"/>
      <c r="W188" s="7">
        <v>1.7304000000000001E-4</v>
      </c>
      <c r="X188" s="7">
        <v>5.4815101090146527E-2</v>
      </c>
      <c r="Y188" s="41" t="s">
        <v>122</v>
      </c>
    </row>
    <row r="189" spans="2:25" ht="17.100000000000001" customHeight="1">
      <c r="B189" s="5" t="s">
        <v>41</v>
      </c>
      <c r="C189" s="40" t="s">
        <v>181</v>
      </c>
      <c r="D189" s="5" t="str">
        <f>IFERROR(INDEX(회사별_교통수단매핑!$C$2:$C$1000,MATCH(1,INDEX(($C$14=회사별_교통수단매핑!$A$2:$A$1000)*($Y189=회사별_교통수단매핑!$B$2:$B$1000),0),0)),"")</f>
        <v>승용차(평균)</v>
      </c>
      <c r="E189" s="5">
        <v>1</v>
      </c>
      <c r="F189" s="42" t="s">
        <v>49</v>
      </c>
      <c r="G189" s="8" t="s">
        <v>239</v>
      </c>
      <c r="H189" s="12"/>
      <c r="I189" s="5">
        <f t="shared" si="2"/>
        <v>1</v>
      </c>
      <c r="J189" s="5"/>
      <c r="K189" s="5"/>
      <c r="L189" s="5"/>
      <c r="M189" s="5"/>
      <c r="N189" s="5"/>
      <c r="O189" s="5"/>
      <c r="P189" s="5">
        <v>1</v>
      </c>
      <c r="Q189" s="5"/>
      <c r="R189" s="5"/>
      <c r="S189" s="5"/>
      <c r="T189" s="5"/>
      <c r="U189" s="5"/>
      <c r="V189" s="6"/>
      <c r="W189" s="7">
        <v>1.7304000000000001E-4</v>
      </c>
      <c r="X189" s="7">
        <v>3.6277151190820277E-2</v>
      </c>
      <c r="Y189" s="41" t="s">
        <v>122</v>
      </c>
    </row>
    <row r="190" spans="2:25" ht="17.100000000000001" customHeight="1">
      <c r="B190" s="5" t="s">
        <v>41</v>
      </c>
      <c r="C190" s="40" t="s">
        <v>181</v>
      </c>
      <c r="D190" s="5" t="str">
        <f>IFERROR(INDEX(회사별_교통수단매핑!$C$2:$C$1000,MATCH(1,INDEX(($C$14=회사별_교통수단매핑!$A$2:$A$1000)*($Y190=회사별_교통수단매핑!$B$2:$B$1000),0),0)),"")</f>
        <v>승용차(평균)</v>
      </c>
      <c r="E190" s="5">
        <v>1</v>
      </c>
      <c r="F190" s="42" t="s">
        <v>49</v>
      </c>
      <c r="G190" s="8" t="s">
        <v>240</v>
      </c>
      <c r="H190" s="12"/>
      <c r="I190" s="5">
        <f t="shared" si="2"/>
        <v>1</v>
      </c>
      <c r="J190" s="5"/>
      <c r="K190" s="5"/>
      <c r="L190" s="5"/>
      <c r="M190" s="5"/>
      <c r="N190" s="5"/>
      <c r="O190" s="5"/>
      <c r="P190" s="5">
        <v>1</v>
      </c>
      <c r="Q190" s="5"/>
      <c r="R190" s="5"/>
      <c r="S190" s="5"/>
      <c r="T190" s="5"/>
      <c r="U190" s="5"/>
      <c r="V190" s="6"/>
      <c r="W190" s="7">
        <v>1.7304000000000001E-4</v>
      </c>
      <c r="X190" s="7">
        <v>4.9191697520245409E-2</v>
      </c>
      <c r="Y190" s="41" t="s">
        <v>122</v>
      </c>
    </row>
    <row r="191" spans="2:25" ht="17.100000000000001" customHeight="1">
      <c r="B191" s="5" t="s">
        <v>41</v>
      </c>
      <c r="C191" s="40" t="s">
        <v>181</v>
      </c>
      <c r="D191" s="5" t="str">
        <f>IFERROR(INDEX(회사별_교통수단매핑!$C$2:$C$1000,MATCH(1,INDEX(($C$14=회사별_교통수단매핑!$A$2:$A$1000)*($Y191=회사별_교통수단매핑!$B$2:$B$1000),0),0)),"")</f>
        <v>승용차(평균)</v>
      </c>
      <c r="E191" s="5">
        <v>1</v>
      </c>
      <c r="F191" s="42" t="s">
        <v>49</v>
      </c>
      <c r="G191" s="8" t="s">
        <v>203</v>
      </c>
      <c r="H191" s="12"/>
      <c r="I191" s="5">
        <f t="shared" si="2"/>
        <v>1</v>
      </c>
      <c r="J191" s="5"/>
      <c r="K191" s="5"/>
      <c r="L191" s="5">
        <v>1</v>
      </c>
      <c r="M191" s="5"/>
      <c r="N191" s="5"/>
      <c r="O191" s="5"/>
      <c r="P191" s="5"/>
      <c r="Q191" s="5"/>
      <c r="R191" s="5"/>
      <c r="S191" s="5"/>
      <c r="T191" s="5"/>
      <c r="U191" s="5"/>
      <c r="V191" s="6"/>
      <c r="W191" s="7">
        <v>1.7304000000000001E-4</v>
      </c>
      <c r="X191" s="7">
        <v>4.7165796077004468E-2</v>
      </c>
      <c r="Y191" s="41" t="s">
        <v>122</v>
      </c>
    </row>
    <row r="192" spans="2:25" ht="17.100000000000001" customHeight="1">
      <c r="B192" s="5" t="s">
        <v>41</v>
      </c>
      <c r="C192" s="40" t="s">
        <v>181</v>
      </c>
      <c r="D192" s="5" t="str">
        <f>IFERROR(INDEX(회사별_교통수단매핑!$C$2:$C$1000,MATCH(1,INDEX(($C$14=회사별_교통수단매핑!$A$2:$A$1000)*($Y192=회사별_교통수단매핑!$B$2:$B$1000),0),0)),"")</f>
        <v>승용차(평균)</v>
      </c>
      <c r="E192" s="5">
        <v>1</v>
      </c>
      <c r="F192" s="42" t="s">
        <v>49</v>
      </c>
      <c r="G192" s="8" t="s">
        <v>241</v>
      </c>
      <c r="H192" s="12"/>
      <c r="I192" s="5">
        <f t="shared" si="2"/>
        <v>1</v>
      </c>
      <c r="J192" s="5"/>
      <c r="K192" s="5"/>
      <c r="L192" s="5"/>
      <c r="M192" s="5"/>
      <c r="N192" s="5"/>
      <c r="O192" s="5"/>
      <c r="P192" s="5">
        <v>1</v>
      </c>
      <c r="Q192" s="5"/>
      <c r="R192" s="5"/>
      <c r="S192" s="5"/>
      <c r="T192" s="5"/>
      <c r="U192" s="5"/>
      <c r="V192" s="6"/>
      <c r="W192" s="7">
        <v>1.7304000000000001E-4</v>
      </c>
      <c r="X192" s="7">
        <v>4.2277701984060133E-2</v>
      </c>
      <c r="Y192" s="41" t="s">
        <v>122</v>
      </c>
    </row>
    <row r="193" spans="2:25" ht="17.100000000000001" customHeight="1">
      <c r="B193" s="5" t="s">
        <v>41</v>
      </c>
      <c r="C193" s="40" t="s">
        <v>181</v>
      </c>
      <c r="D193" s="5" t="str">
        <f>IFERROR(INDEX(회사별_교통수단매핑!$C$2:$C$1000,MATCH(1,INDEX(($C$14=회사별_교통수단매핑!$A$2:$A$1000)*($Y193=회사별_교통수단매핑!$B$2:$B$1000),0),0)),"")</f>
        <v>승용차(평균)</v>
      </c>
      <c r="E193" s="5">
        <v>1</v>
      </c>
      <c r="F193" s="42" t="s">
        <v>49</v>
      </c>
      <c r="G193" s="8" t="s">
        <v>242</v>
      </c>
      <c r="H193" s="12"/>
      <c r="I193" s="5">
        <f t="shared" si="2"/>
        <v>1</v>
      </c>
      <c r="J193" s="5"/>
      <c r="K193" s="5"/>
      <c r="L193" s="5"/>
      <c r="M193" s="5"/>
      <c r="N193" s="5"/>
      <c r="O193" s="5"/>
      <c r="P193" s="5">
        <v>1</v>
      </c>
      <c r="Q193" s="5"/>
      <c r="R193" s="5"/>
      <c r="S193" s="5"/>
      <c r="T193" s="5"/>
      <c r="U193" s="5"/>
      <c r="V193" s="6"/>
      <c r="W193" s="7">
        <v>1.7304000000000001E-4</v>
      </c>
      <c r="X193" s="7">
        <v>4.2277701984060133E-2</v>
      </c>
      <c r="Y193" s="41" t="s">
        <v>122</v>
      </c>
    </row>
    <row r="194" spans="2:25" ht="17.100000000000001" customHeight="1">
      <c r="B194" s="5" t="s">
        <v>41</v>
      </c>
      <c r="C194" s="40" t="s">
        <v>181</v>
      </c>
      <c r="D194" s="5" t="str">
        <f>IFERROR(INDEX(회사별_교통수단매핑!$C$2:$C$1000,MATCH(1,INDEX(($C$14=회사별_교통수단매핑!$A$2:$A$1000)*($Y194=회사별_교통수단매핑!$B$2:$B$1000),0),0)),"")</f>
        <v>승용차(평균)</v>
      </c>
      <c r="E194" s="5">
        <v>1</v>
      </c>
      <c r="F194" s="42" t="s">
        <v>49</v>
      </c>
      <c r="G194" s="8" t="s">
        <v>204</v>
      </c>
      <c r="H194" s="12"/>
      <c r="I194" s="5">
        <f t="shared" si="2"/>
        <v>2</v>
      </c>
      <c r="J194" s="5"/>
      <c r="K194" s="5"/>
      <c r="L194" s="5"/>
      <c r="M194" s="5">
        <v>1</v>
      </c>
      <c r="N194" s="5">
        <v>1</v>
      </c>
      <c r="O194" s="5"/>
      <c r="P194" s="5"/>
      <c r="Q194" s="5"/>
      <c r="R194" s="5"/>
      <c r="S194" s="5"/>
      <c r="T194" s="5"/>
      <c r="U194" s="5"/>
      <c r="V194" s="6"/>
      <c r="W194" s="7">
        <v>1.7304000000000001E-4</v>
      </c>
      <c r="X194" s="7">
        <v>8.909560433432627E-2</v>
      </c>
      <c r="Y194" s="41" t="s">
        <v>122</v>
      </c>
    </row>
    <row r="195" spans="2:25" ht="17.100000000000001" customHeight="1">
      <c r="B195" s="5" t="s">
        <v>41</v>
      </c>
      <c r="C195" s="40" t="s">
        <v>181</v>
      </c>
      <c r="D195" s="5" t="str">
        <f>IFERROR(INDEX(회사별_교통수단매핑!$C$2:$C$1000,MATCH(1,INDEX(($C$14=회사별_교통수단매핑!$A$2:$A$1000)*($Y195=회사별_교통수단매핑!$B$2:$B$1000),0),0)),"")</f>
        <v>승용차(평균)</v>
      </c>
      <c r="E195" s="5">
        <v>1</v>
      </c>
      <c r="F195" s="42" t="s">
        <v>49</v>
      </c>
      <c r="G195" s="8" t="s">
        <v>148</v>
      </c>
      <c r="H195" s="12"/>
      <c r="I195" s="5">
        <f t="shared" si="2"/>
        <v>9</v>
      </c>
      <c r="J195" s="5">
        <v>1</v>
      </c>
      <c r="K195" s="5">
        <v>1</v>
      </c>
      <c r="L195" s="5"/>
      <c r="M195" s="5"/>
      <c r="N195" s="5"/>
      <c r="O195" s="5">
        <v>2</v>
      </c>
      <c r="P195" s="5">
        <v>2</v>
      </c>
      <c r="Q195" s="5"/>
      <c r="R195" s="5">
        <v>1</v>
      </c>
      <c r="S195" s="5">
        <v>1</v>
      </c>
      <c r="T195" s="5">
        <v>1</v>
      </c>
      <c r="U195" s="5"/>
      <c r="V195" s="6"/>
      <c r="W195" s="7">
        <v>1.7304000000000001E-4</v>
      </c>
      <c r="X195" s="7">
        <v>0.34128411287211269</v>
      </c>
      <c r="Y195" s="41" t="s">
        <v>122</v>
      </c>
    </row>
    <row r="196" spans="2:25" ht="17.100000000000001" customHeight="1">
      <c r="B196" s="5" t="s">
        <v>41</v>
      </c>
      <c r="C196" s="40" t="s">
        <v>181</v>
      </c>
      <c r="D196" s="5" t="str">
        <f>IFERROR(INDEX(회사별_교통수단매핑!$C$2:$C$1000,MATCH(1,INDEX(($C$14=회사별_교통수단매핑!$A$2:$A$1000)*($Y196=회사별_교통수단매핑!$B$2:$B$1000),0),0)),"")</f>
        <v>승용차(평균)</v>
      </c>
      <c r="E196" s="5">
        <v>1</v>
      </c>
      <c r="F196" s="42" t="s">
        <v>49</v>
      </c>
      <c r="G196" s="8" t="s">
        <v>243</v>
      </c>
      <c r="H196" s="12"/>
      <c r="I196" s="5">
        <f t="shared" si="2"/>
        <v>1</v>
      </c>
      <c r="J196" s="5"/>
      <c r="K196" s="5"/>
      <c r="L196" s="5"/>
      <c r="M196" s="5"/>
      <c r="N196" s="5"/>
      <c r="O196" s="5"/>
      <c r="P196" s="5"/>
      <c r="Q196" s="5"/>
      <c r="R196" s="5">
        <v>1</v>
      </c>
      <c r="S196" s="5"/>
      <c r="T196" s="5"/>
      <c r="U196" s="5"/>
      <c r="V196" s="6"/>
      <c r="W196" s="7">
        <v>1.7304000000000001E-4</v>
      </c>
      <c r="X196" s="7">
        <v>5.0482472951239948E-2</v>
      </c>
      <c r="Y196" s="41" t="s">
        <v>122</v>
      </c>
    </row>
    <row r="197" spans="2:25" ht="17.100000000000001" customHeight="1">
      <c r="B197" s="5" t="s">
        <v>41</v>
      </c>
      <c r="C197" s="40" t="s">
        <v>181</v>
      </c>
      <c r="D197" s="5" t="str">
        <f>IFERROR(INDEX(회사별_교통수단매핑!$C$2:$C$1000,MATCH(1,INDEX(($C$14=회사별_교통수단매핑!$A$2:$A$1000)*($Y197=회사별_교통수단매핑!$B$2:$B$1000),0),0)),"")</f>
        <v>승용차(평균)</v>
      </c>
      <c r="E197" s="5">
        <v>1</v>
      </c>
      <c r="F197" s="42" t="s">
        <v>49</v>
      </c>
      <c r="G197" s="8" t="s">
        <v>206</v>
      </c>
      <c r="H197" s="12"/>
      <c r="I197" s="5">
        <f t="shared" si="2"/>
        <v>7</v>
      </c>
      <c r="J197" s="5"/>
      <c r="K197" s="5"/>
      <c r="L197" s="5">
        <v>2</v>
      </c>
      <c r="M197" s="5"/>
      <c r="N197" s="5">
        <v>1</v>
      </c>
      <c r="O197" s="5">
        <v>1</v>
      </c>
      <c r="P197" s="5"/>
      <c r="Q197" s="5"/>
      <c r="R197" s="5"/>
      <c r="S197" s="5">
        <v>1</v>
      </c>
      <c r="T197" s="5">
        <v>2</v>
      </c>
      <c r="U197" s="5"/>
      <c r="V197" s="6"/>
      <c r="W197" s="7">
        <v>1.7304000000000001E-4</v>
      </c>
      <c r="X197" s="7">
        <v>0.33254132608126608</v>
      </c>
      <c r="Y197" s="41" t="s">
        <v>122</v>
      </c>
    </row>
    <row r="198" spans="2:25" ht="17.100000000000001" customHeight="1">
      <c r="B198" s="5" t="s">
        <v>41</v>
      </c>
      <c r="C198" s="40" t="s">
        <v>181</v>
      </c>
      <c r="D198" s="5" t="str">
        <f>IFERROR(INDEX(회사별_교통수단매핑!$C$2:$C$1000,MATCH(1,INDEX(($C$14=회사별_교통수단매핑!$A$2:$A$1000)*($Y198=회사별_교통수단매핑!$B$2:$B$1000),0),0)),"")</f>
        <v>철도/KTX/SRT</v>
      </c>
      <c r="E198" s="5">
        <v>1</v>
      </c>
      <c r="F198" s="42" t="s">
        <v>49</v>
      </c>
      <c r="G198" s="8" t="s">
        <v>244</v>
      </c>
      <c r="H198" s="12"/>
      <c r="I198" s="5">
        <f t="shared" si="2"/>
        <v>1</v>
      </c>
      <c r="J198" s="5"/>
      <c r="K198" s="5"/>
      <c r="L198" s="5"/>
      <c r="M198" s="5"/>
      <c r="N198" s="5"/>
      <c r="O198" s="5"/>
      <c r="P198" s="5"/>
      <c r="Q198" s="5"/>
      <c r="R198" s="5">
        <v>1</v>
      </c>
      <c r="S198" s="5"/>
      <c r="T198" s="5"/>
      <c r="U198" s="5"/>
      <c r="V198" s="6"/>
      <c r="W198" s="7">
        <v>3.5460000000000003E-5</v>
      </c>
      <c r="X198" s="7">
        <v>1.0312922509894599E-2</v>
      </c>
      <c r="Y198" s="41" t="s">
        <v>134</v>
      </c>
    </row>
    <row r="199" spans="2:25" ht="17.100000000000001" customHeight="1">
      <c r="B199" s="5" t="s">
        <v>41</v>
      </c>
      <c r="C199" s="40" t="s">
        <v>181</v>
      </c>
      <c r="D199" s="5" t="str">
        <f>IFERROR(INDEX(회사별_교통수단매핑!$C$2:$C$1000,MATCH(1,INDEX(($C$14=회사별_교통수단매핑!$A$2:$A$1000)*($Y199=회사별_교통수단매핑!$B$2:$B$1000),0),0)),"")</f>
        <v>철도/KTX/SRT</v>
      </c>
      <c r="E199" s="5">
        <v>1</v>
      </c>
      <c r="F199" s="42" t="s">
        <v>49</v>
      </c>
      <c r="G199" s="8" t="s">
        <v>245</v>
      </c>
      <c r="H199" s="12"/>
      <c r="I199" s="5">
        <f t="shared" si="2"/>
        <v>2</v>
      </c>
      <c r="J199" s="5"/>
      <c r="K199" s="5"/>
      <c r="L199" s="5"/>
      <c r="M199" s="5">
        <v>2</v>
      </c>
      <c r="N199" s="5"/>
      <c r="O199" s="5"/>
      <c r="P199" s="5"/>
      <c r="Q199" s="5"/>
      <c r="R199" s="5"/>
      <c r="S199" s="5"/>
      <c r="T199" s="5"/>
      <c r="U199" s="5"/>
      <c r="V199" s="6"/>
      <c r="W199" s="7">
        <v>3.5460000000000003E-5</v>
      </c>
      <c r="X199" s="7">
        <v>1.274470170192519E-2</v>
      </c>
      <c r="Y199" s="41" t="s">
        <v>134</v>
      </c>
    </row>
    <row r="200" spans="2:25" ht="17.100000000000001" customHeight="1">
      <c r="B200" s="5" t="s">
        <v>41</v>
      </c>
      <c r="C200" s="40" t="s">
        <v>181</v>
      </c>
      <c r="D200" s="5" t="str">
        <f>IFERROR(INDEX(회사별_교통수단매핑!$C$2:$C$1000,MATCH(1,INDEX(($C$14=회사별_교통수단매핑!$A$2:$A$1000)*($Y200=회사별_교통수단매핑!$B$2:$B$1000),0),0)),"")</f>
        <v>철도/KTX/SRT</v>
      </c>
      <c r="E200" s="5">
        <v>1</v>
      </c>
      <c r="F200" s="42" t="s">
        <v>49</v>
      </c>
      <c r="G200" s="8" t="s">
        <v>246</v>
      </c>
      <c r="H200" s="12"/>
      <c r="I200" s="5">
        <f t="shared" si="2"/>
        <v>1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>
        <v>1</v>
      </c>
      <c r="U200" s="5"/>
      <c r="V200" s="6"/>
      <c r="W200" s="7">
        <v>3.5460000000000003E-5</v>
      </c>
      <c r="X200" s="7">
        <v>6.3723508509625926E-3</v>
      </c>
      <c r="Y200" s="41" t="s">
        <v>134</v>
      </c>
    </row>
    <row r="201" spans="2:25" ht="17.100000000000001" customHeight="1">
      <c r="B201" s="5" t="s">
        <v>41</v>
      </c>
      <c r="C201" s="40" t="s">
        <v>181</v>
      </c>
      <c r="D201" s="5" t="str">
        <f>IFERROR(INDEX(회사별_교통수단매핑!$C$2:$C$1000,MATCH(1,INDEX(($C$14=회사별_교통수단매핑!$A$2:$A$1000)*($Y201=회사별_교통수단매핑!$B$2:$B$1000),0),0)),"")</f>
        <v>철도/KTX/SRT</v>
      </c>
      <c r="E201" s="5">
        <v>1</v>
      </c>
      <c r="F201" s="42" t="s">
        <v>49</v>
      </c>
      <c r="G201" s="8" t="s">
        <v>247</v>
      </c>
      <c r="H201" s="12"/>
      <c r="I201" s="5">
        <f t="shared" si="2"/>
        <v>1</v>
      </c>
      <c r="J201" s="5"/>
      <c r="K201" s="5"/>
      <c r="L201" s="5"/>
      <c r="M201" s="5"/>
      <c r="N201" s="5"/>
      <c r="O201" s="5"/>
      <c r="P201" s="5"/>
      <c r="Q201" s="5">
        <v>1</v>
      </c>
      <c r="R201" s="5"/>
      <c r="S201" s="5"/>
      <c r="T201" s="5"/>
      <c r="U201" s="5"/>
      <c r="V201" s="6"/>
      <c r="W201" s="7">
        <v>3.5460000000000003E-5</v>
      </c>
      <c r="X201" s="7">
        <v>1.7761412233116059E-3</v>
      </c>
      <c r="Y201" s="41" t="s">
        <v>134</v>
      </c>
    </row>
    <row r="202" spans="2:25" ht="17.100000000000001" customHeight="1">
      <c r="B202" s="5" t="s">
        <v>41</v>
      </c>
      <c r="C202" s="40" t="s">
        <v>181</v>
      </c>
      <c r="D202" s="5" t="str">
        <f>IFERROR(INDEX(회사별_교통수단매핑!$C$2:$C$1000,MATCH(1,INDEX(($C$14=회사별_교통수단매핑!$A$2:$A$1000)*($Y202=회사별_교통수단매핑!$B$2:$B$1000),0),0)),"")</f>
        <v>철도/KTX/SRT</v>
      </c>
      <c r="E202" s="5">
        <v>1</v>
      </c>
      <c r="F202" s="42" t="s">
        <v>49</v>
      </c>
      <c r="G202" s="8" t="s">
        <v>248</v>
      </c>
      <c r="H202" s="12"/>
      <c r="I202" s="5">
        <f t="shared" si="2"/>
        <v>1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>
        <v>1</v>
      </c>
      <c r="U202" s="5"/>
      <c r="V202" s="6"/>
      <c r="W202" s="7">
        <v>3.5460000000000003E-5</v>
      </c>
      <c r="X202" s="7">
        <v>2.2021895387803361E-3</v>
      </c>
      <c r="Y202" s="41" t="s">
        <v>134</v>
      </c>
    </row>
    <row r="203" spans="2:25" ht="17.100000000000001" customHeight="1">
      <c r="B203" s="5" t="s">
        <v>41</v>
      </c>
      <c r="C203" s="40" t="s">
        <v>181</v>
      </c>
      <c r="D203" s="5" t="str">
        <f>IFERROR(INDEX(회사별_교통수단매핑!$C$2:$C$1000,MATCH(1,INDEX(($C$14=회사별_교통수단매핑!$A$2:$A$1000)*($Y203=회사별_교통수단매핑!$B$2:$B$1000),0),0)),"")</f>
        <v>철도/KTX/SRT</v>
      </c>
      <c r="E203" s="5">
        <v>1</v>
      </c>
      <c r="F203" s="42" t="s">
        <v>49</v>
      </c>
      <c r="G203" s="8" t="s">
        <v>44</v>
      </c>
      <c r="H203" s="12"/>
      <c r="I203" s="5">
        <f t="shared" si="2"/>
        <v>1</v>
      </c>
      <c r="J203" s="5"/>
      <c r="K203" s="5"/>
      <c r="L203" s="5"/>
      <c r="M203" s="5"/>
      <c r="N203" s="5"/>
      <c r="O203" s="5"/>
      <c r="P203" s="5"/>
      <c r="Q203" s="5">
        <v>1</v>
      </c>
      <c r="R203" s="5"/>
      <c r="S203" s="5"/>
      <c r="T203" s="5"/>
      <c r="U203" s="5"/>
      <c r="V203" s="6"/>
      <c r="W203" s="7">
        <v>3.5460000000000003E-5</v>
      </c>
      <c r="X203" s="7">
        <v>2.335022987599366E-2</v>
      </c>
      <c r="Y203" s="41" t="s">
        <v>134</v>
      </c>
    </row>
    <row r="204" spans="2:25" ht="17.100000000000001" customHeight="1">
      <c r="B204" s="5" t="s">
        <v>41</v>
      </c>
      <c r="C204" s="40" t="s">
        <v>181</v>
      </c>
      <c r="D204" s="5" t="str">
        <f>IFERROR(INDEX(회사별_교통수단매핑!$C$2:$C$1000,MATCH(1,INDEX(($C$14=회사별_교통수단매핑!$A$2:$A$1000)*($Y204=회사별_교통수단매핑!$B$2:$B$1000),0),0)),"")</f>
        <v>철도/KTX/SRT</v>
      </c>
      <c r="E204" s="5">
        <v>1</v>
      </c>
      <c r="F204" s="42" t="s">
        <v>49</v>
      </c>
      <c r="G204" s="8" t="s">
        <v>152</v>
      </c>
      <c r="H204" s="12"/>
      <c r="I204" s="5">
        <f t="shared" si="2"/>
        <v>1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>
        <v>1</v>
      </c>
      <c r="V204" s="6"/>
      <c r="W204" s="7">
        <v>3.5460000000000003E-5</v>
      </c>
      <c r="X204" s="7">
        <v>2.5629880582920359E-2</v>
      </c>
      <c r="Y204" s="41" t="s">
        <v>134</v>
      </c>
    </row>
    <row r="205" spans="2:25" ht="17.100000000000001" customHeight="1">
      <c r="B205" s="5" t="s">
        <v>41</v>
      </c>
      <c r="C205" s="40" t="s">
        <v>181</v>
      </c>
      <c r="D205" s="5" t="str">
        <f>IFERROR(INDEX(회사별_교통수단매핑!$C$2:$C$1000,MATCH(1,INDEX(($C$14=회사별_교통수단매핑!$A$2:$A$1000)*($Y205=회사별_교통수단매핑!$B$2:$B$1000),0),0)),"")</f>
        <v>철도/KTX/SRT</v>
      </c>
      <c r="E205" s="5">
        <v>1</v>
      </c>
      <c r="F205" s="42" t="s">
        <v>49</v>
      </c>
      <c r="G205" s="8" t="s">
        <v>151</v>
      </c>
      <c r="H205" s="12"/>
      <c r="I205" s="5">
        <f t="shared" si="2"/>
        <v>2</v>
      </c>
      <c r="J205" s="5"/>
      <c r="K205" s="5"/>
      <c r="L205" s="5"/>
      <c r="M205" s="5"/>
      <c r="N205" s="5">
        <v>1</v>
      </c>
      <c r="O205" s="5"/>
      <c r="P205" s="5"/>
      <c r="Q205" s="5"/>
      <c r="R205" s="5"/>
      <c r="S205" s="5"/>
      <c r="T205" s="5"/>
      <c r="U205" s="5">
        <v>1</v>
      </c>
      <c r="V205" s="6"/>
      <c r="W205" s="7">
        <v>3.5460000000000003E-5</v>
      </c>
      <c r="X205" s="7">
        <v>2.8101183607857148E-2</v>
      </c>
      <c r="Y205" s="41" t="s">
        <v>134</v>
      </c>
    </row>
    <row r="206" spans="2:25" ht="17.100000000000001" customHeight="1">
      <c r="B206" s="5" t="s">
        <v>41</v>
      </c>
      <c r="C206" s="40" t="s">
        <v>181</v>
      </c>
      <c r="D206" s="5" t="str">
        <f>IFERROR(INDEX(회사별_교통수단매핑!$C$2:$C$1000,MATCH(1,INDEX(($C$14=회사별_교통수단매핑!$A$2:$A$1000)*($Y206=회사별_교통수단매핑!$B$2:$B$1000),0),0)),"")</f>
        <v>철도/KTX/SRT</v>
      </c>
      <c r="E206" s="5">
        <v>1</v>
      </c>
      <c r="F206" s="42" t="s">
        <v>49</v>
      </c>
      <c r="G206" s="8" t="s">
        <v>249</v>
      </c>
      <c r="H206" s="12"/>
      <c r="I206" s="5">
        <f t="shared" si="2"/>
        <v>1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>
        <v>1</v>
      </c>
      <c r="U206" s="5"/>
      <c r="V206" s="6"/>
      <c r="W206" s="7">
        <v>3.5460000000000003E-5</v>
      </c>
      <c r="X206" s="7">
        <v>2.27952176905706E-2</v>
      </c>
      <c r="Y206" s="41" t="s">
        <v>134</v>
      </c>
    </row>
    <row r="207" spans="2:25" ht="17.100000000000001" customHeight="1">
      <c r="B207" s="5" t="s">
        <v>41</v>
      </c>
      <c r="C207" s="40" t="s">
        <v>181</v>
      </c>
      <c r="D207" s="5" t="str">
        <f>IFERROR(INDEX(회사별_교통수단매핑!$C$2:$C$1000,MATCH(1,INDEX(($C$14=회사별_교통수단매핑!$A$2:$A$1000)*($Y207=회사별_교통수단매핑!$B$2:$B$1000),0),0)),"")</f>
        <v>철도/KTX/SRT</v>
      </c>
      <c r="E207" s="5">
        <v>1</v>
      </c>
      <c r="F207" s="42" t="s">
        <v>49</v>
      </c>
      <c r="G207" s="8" t="s">
        <v>250</v>
      </c>
      <c r="H207" s="12"/>
      <c r="I207" s="5">
        <f t="shared" si="2"/>
        <v>7</v>
      </c>
      <c r="J207" s="5"/>
      <c r="K207" s="5"/>
      <c r="L207" s="5"/>
      <c r="M207" s="5">
        <v>2</v>
      </c>
      <c r="N207" s="5">
        <v>1</v>
      </c>
      <c r="O207" s="5">
        <v>1</v>
      </c>
      <c r="P207" s="5">
        <v>1</v>
      </c>
      <c r="Q207" s="5"/>
      <c r="R207" s="5">
        <v>1</v>
      </c>
      <c r="S207" s="5">
        <v>1</v>
      </c>
      <c r="T207" s="5"/>
      <c r="U207" s="5"/>
      <c r="V207" s="6"/>
      <c r="W207" s="7">
        <v>3.5460000000000003E-5</v>
      </c>
      <c r="X207" s="7">
        <v>0.15956652383399419</v>
      </c>
      <c r="Y207" s="41" t="s">
        <v>134</v>
      </c>
    </row>
    <row r="208" spans="2:25" ht="17.100000000000001" customHeight="1">
      <c r="B208" s="5" t="s">
        <v>41</v>
      </c>
      <c r="C208" s="40" t="s">
        <v>181</v>
      </c>
      <c r="D208" s="5" t="str">
        <f>IFERROR(INDEX(회사별_교통수단매핑!$C$2:$C$1000,MATCH(1,INDEX(($C$14=회사별_교통수단매핑!$A$2:$A$1000)*($Y208=회사별_교통수단매핑!$B$2:$B$1000),0),0)),"")</f>
        <v>철도/KTX/SRT</v>
      </c>
      <c r="E208" s="5">
        <v>1</v>
      </c>
      <c r="F208" s="42" t="s">
        <v>49</v>
      </c>
      <c r="G208" s="8" t="s">
        <v>251</v>
      </c>
      <c r="H208" s="12"/>
      <c r="I208" s="5">
        <f t="shared" si="2"/>
        <v>1</v>
      </c>
      <c r="J208" s="5"/>
      <c r="K208" s="5"/>
      <c r="L208" s="5">
        <v>1</v>
      </c>
      <c r="M208" s="5"/>
      <c r="N208" s="5"/>
      <c r="O208" s="5"/>
      <c r="P208" s="5"/>
      <c r="Q208" s="5"/>
      <c r="R208" s="5"/>
      <c r="S208" s="5"/>
      <c r="T208" s="5"/>
      <c r="U208" s="5"/>
      <c r="V208" s="6"/>
      <c r="W208" s="7">
        <v>3.5460000000000003E-5</v>
      </c>
      <c r="X208" s="7">
        <v>2.27952176905706E-2</v>
      </c>
      <c r="Y208" s="41" t="s">
        <v>134</v>
      </c>
    </row>
    <row r="209" spans="2:25" ht="17.100000000000001" customHeight="1">
      <c r="B209" s="5" t="s">
        <v>41</v>
      </c>
      <c r="C209" s="40" t="s">
        <v>181</v>
      </c>
      <c r="D209" s="5" t="str">
        <f>IFERROR(INDEX(회사별_교통수단매핑!$C$2:$C$1000,MATCH(1,INDEX(($C$14=회사별_교통수단매핑!$A$2:$A$1000)*($Y209=회사별_교통수단매핑!$B$2:$B$1000),0),0)),"")</f>
        <v>철도/KTX/SRT</v>
      </c>
      <c r="E209" s="5">
        <v>1</v>
      </c>
      <c r="F209" s="42" t="s">
        <v>49</v>
      </c>
      <c r="G209" s="8" t="s">
        <v>252</v>
      </c>
      <c r="H209" s="12"/>
      <c r="I209" s="5">
        <f t="shared" si="2"/>
        <v>1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>
        <v>1</v>
      </c>
      <c r="U209" s="5"/>
      <c r="V209" s="6"/>
      <c r="W209" s="7">
        <v>3.5460000000000003E-5</v>
      </c>
      <c r="X209" s="7">
        <v>2.27952176905706E-2</v>
      </c>
      <c r="Y209" s="41" t="s">
        <v>134</v>
      </c>
    </row>
    <row r="210" spans="2:25" ht="17.100000000000001" customHeight="1">
      <c r="B210" s="5" t="s">
        <v>41</v>
      </c>
      <c r="C210" s="40" t="s">
        <v>181</v>
      </c>
      <c r="D210" s="5" t="str">
        <f>IFERROR(INDEX(회사별_교통수단매핑!$C$2:$C$1000,MATCH(1,INDEX(($C$14=회사별_교통수단매핑!$A$2:$A$1000)*($Y210=회사별_교통수단매핑!$B$2:$B$1000),0),0)),"")</f>
        <v>철도/KTX/SRT</v>
      </c>
      <c r="E210" s="5">
        <v>1</v>
      </c>
      <c r="F210" s="42" t="s">
        <v>49</v>
      </c>
      <c r="G210" s="8" t="s">
        <v>253</v>
      </c>
      <c r="H210" s="12"/>
      <c r="I210" s="5">
        <f t="shared" si="2"/>
        <v>5</v>
      </c>
      <c r="J210" s="5"/>
      <c r="K210" s="5"/>
      <c r="L210" s="5"/>
      <c r="M210" s="5"/>
      <c r="N210" s="5">
        <v>5</v>
      </c>
      <c r="O210" s="5"/>
      <c r="P210" s="5"/>
      <c r="Q210" s="5"/>
      <c r="R210" s="5"/>
      <c r="S210" s="5"/>
      <c r="T210" s="5"/>
      <c r="U210" s="5"/>
      <c r="V210" s="6"/>
      <c r="W210" s="7">
        <v>3.5460000000000003E-5</v>
      </c>
      <c r="X210" s="7">
        <v>0.11397608845285299</v>
      </c>
      <c r="Y210" s="41" t="s">
        <v>134</v>
      </c>
    </row>
    <row r="211" spans="2:25" ht="17.100000000000001" customHeight="1">
      <c r="B211" s="5" t="s">
        <v>41</v>
      </c>
      <c r="C211" s="40" t="s">
        <v>181</v>
      </c>
      <c r="D211" s="5" t="str">
        <f>IFERROR(INDEX(회사별_교통수단매핑!$C$2:$C$1000,MATCH(1,INDEX(($C$14=회사별_교통수단매핑!$A$2:$A$1000)*($Y211=회사별_교통수단매핑!$B$2:$B$1000),0),0)),"")</f>
        <v>철도/KTX/SRT</v>
      </c>
      <c r="E211" s="5">
        <v>1</v>
      </c>
      <c r="F211" s="42" t="s">
        <v>49</v>
      </c>
      <c r="G211" s="8" t="s">
        <v>254</v>
      </c>
      <c r="H211" s="12"/>
      <c r="I211" s="5">
        <f t="shared" si="2"/>
        <v>1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>
        <v>1</v>
      </c>
      <c r="U211" s="5"/>
      <c r="V211" s="6"/>
      <c r="W211" s="7">
        <v>3.5460000000000003E-5</v>
      </c>
      <c r="X211" s="7">
        <v>2.27952176905706E-2</v>
      </c>
      <c r="Y211" s="41" t="s">
        <v>134</v>
      </c>
    </row>
    <row r="212" spans="2:25" ht="17.100000000000001" customHeight="1">
      <c r="B212" s="5" t="s">
        <v>41</v>
      </c>
      <c r="C212" s="40" t="s">
        <v>181</v>
      </c>
      <c r="D212" s="5" t="str">
        <f>IFERROR(INDEX(회사별_교통수단매핑!$C$2:$C$1000,MATCH(1,INDEX(($C$14=회사별_교통수단매핑!$A$2:$A$1000)*($Y212=회사별_교통수단매핑!$B$2:$B$1000),0),0)),"")</f>
        <v>철도/KTX/SRT</v>
      </c>
      <c r="E212" s="5">
        <v>1</v>
      </c>
      <c r="F212" s="42" t="s">
        <v>49</v>
      </c>
      <c r="G212" s="8" t="s">
        <v>230</v>
      </c>
      <c r="H212" s="12"/>
      <c r="I212" s="5">
        <f t="shared" si="2"/>
        <v>3</v>
      </c>
      <c r="J212" s="5"/>
      <c r="K212" s="5"/>
      <c r="L212" s="5"/>
      <c r="M212" s="5"/>
      <c r="N212" s="5">
        <v>3</v>
      </c>
      <c r="O212" s="5"/>
      <c r="P212" s="5"/>
      <c r="Q212" s="5"/>
      <c r="R212" s="5"/>
      <c r="S212" s="5"/>
      <c r="T212" s="5"/>
      <c r="U212" s="5"/>
      <c r="V212" s="6"/>
      <c r="W212" s="7">
        <v>3.5460000000000003E-5</v>
      </c>
      <c r="X212" s="7">
        <v>6.8385653071711794E-2</v>
      </c>
      <c r="Y212" s="41" t="s">
        <v>134</v>
      </c>
    </row>
    <row r="213" spans="2:25" ht="17.100000000000001" customHeight="1">
      <c r="B213" s="5" t="s">
        <v>41</v>
      </c>
      <c r="C213" s="40" t="s">
        <v>181</v>
      </c>
      <c r="D213" s="5" t="str">
        <f>IFERROR(INDEX(회사별_교통수단매핑!$C$2:$C$1000,MATCH(1,INDEX(($C$14=회사별_교통수단매핑!$A$2:$A$1000)*($Y213=회사별_교통수단매핑!$B$2:$B$1000),0),0)),"")</f>
        <v>철도/KTX/SRT</v>
      </c>
      <c r="E213" s="5">
        <v>1</v>
      </c>
      <c r="F213" s="42" t="s">
        <v>49</v>
      </c>
      <c r="G213" s="8" t="s">
        <v>43</v>
      </c>
      <c r="H213" s="12"/>
      <c r="I213" s="5">
        <f t="shared" ref="I213:I276" si="3">IF(SUM(J213:U213)=0,"",SUM(J213:U213))</f>
        <v>17</v>
      </c>
      <c r="J213" s="5"/>
      <c r="K213" s="5">
        <v>3</v>
      </c>
      <c r="L213" s="5"/>
      <c r="M213" s="5">
        <v>2</v>
      </c>
      <c r="N213" s="5">
        <v>1</v>
      </c>
      <c r="O213" s="5">
        <v>2</v>
      </c>
      <c r="P213" s="5">
        <v>1</v>
      </c>
      <c r="Q213" s="5">
        <v>2</v>
      </c>
      <c r="R213" s="5">
        <v>4</v>
      </c>
      <c r="S213" s="5"/>
      <c r="T213" s="5">
        <v>1</v>
      </c>
      <c r="U213" s="5">
        <v>1</v>
      </c>
      <c r="V213" s="6"/>
      <c r="W213" s="7">
        <v>3.5460000000000003E-5</v>
      </c>
      <c r="X213" s="7">
        <v>0.38751870073970018</v>
      </c>
      <c r="Y213" s="41" t="s">
        <v>134</v>
      </c>
    </row>
    <row r="214" spans="2:25" ht="17.100000000000001" customHeight="1">
      <c r="B214" s="5" t="s">
        <v>41</v>
      </c>
      <c r="C214" s="40" t="s">
        <v>181</v>
      </c>
      <c r="D214" s="5" t="str">
        <f>IFERROR(INDEX(회사별_교통수단매핑!$C$2:$C$1000,MATCH(1,INDEX(($C$14=회사별_교통수단매핑!$A$2:$A$1000)*($Y214=회사별_교통수단매핑!$B$2:$B$1000),0),0)),"")</f>
        <v>철도/KTX/SRT</v>
      </c>
      <c r="E214" s="5">
        <v>1</v>
      </c>
      <c r="F214" s="42" t="s">
        <v>49</v>
      </c>
      <c r="G214" s="8" t="s">
        <v>255</v>
      </c>
      <c r="H214" s="12"/>
      <c r="I214" s="5">
        <f t="shared" si="3"/>
        <v>1</v>
      </c>
      <c r="J214" s="5"/>
      <c r="K214" s="5"/>
      <c r="L214" s="5"/>
      <c r="M214" s="5"/>
      <c r="N214" s="5"/>
      <c r="O214" s="5"/>
      <c r="P214" s="5"/>
      <c r="Q214" s="5"/>
      <c r="R214" s="5">
        <v>1</v>
      </c>
      <c r="S214" s="5"/>
      <c r="T214" s="5"/>
      <c r="U214" s="5"/>
      <c r="V214" s="6"/>
      <c r="W214" s="7">
        <v>3.5460000000000003E-5</v>
      </c>
      <c r="X214" s="7">
        <v>2.0216300560506811E-2</v>
      </c>
      <c r="Y214" s="41" t="s">
        <v>134</v>
      </c>
    </row>
    <row r="215" spans="2:25" ht="17.100000000000001" customHeight="1">
      <c r="B215" s="5" t="s">
        <v>41</v>
      </c>
      <c r="C215" s="40" t="s">
        <v>181</v>
      </c>
      <c r="D215" s="5" t="str">
        <f>IFERROR(INDEX(회사별_교통수단매핑!$C$2:$C$1000,MATCH(1,INDEX(($C$14=회사별_교통수단매핑!$A$2:$A$1000)*($Y215=회사별_교통수단매핑!$B$2:$B$1000),0),0)),"")</f>
        <v>철도/KTX/SRT</v>
      </c>
      <c r="E215" s="5">
        <v>1</v>
      </c>
      <c r="F215" s="42" t="s">
        <v>49</v>
      </c>
      <c r="G215" s="8" t="s">
        <v>256</v>
      </c>
      <c r="H215" s="12"/>
      <c r="I215" s="5">
        <f t="shared" si="3"/>
        <v>2</v>
      </c>
      <c r="J215" s="5"/>
      <c r="K215" s="5"/>
      <c r="L215" s="5"/>
      <c r="M215" s="5"/>
      <c r="N215" s="5">
        <v>2</v>
      </c>
      <c r="O215" s="5"/>
      <c r="P215" s="5"/>
      <c r="Q215" s="5"/>
      <c r="R215" s="5"/>
      <c r="S215" s="5"/>
      <c r="T215" s="5"/>
      <c r="U215" s="5"/>
      <c r="V215" s="6"/>
      <c r="W215" s="7">
        <v>3.5460000000000003E-5</v>
      </c>
      <c r="X215" s="7">
        <v>4.0432601121013607E-2</v>
      </c>
      <c r="Y215" s="41" t="s">
        <v>134</v>
      </c>
    </row>
    <row r="216" spans="2:25" ht="17.100000000000001" customHeight="1">
      <c r="B216" s="5" t="s">
        <v>41</v>
      </c>
      <c r="C216" s="40" t="s">
        <v>181</v>
      </c>
      <c r="D216" s="5" t="str">
        <f>IFERROR(INDEX(회사별_교통수단매핑!$C$2:$C$1000,MATCH(1,INDEX(($C$14=회사별_교통수단매핑!$A$2:$A$1000)*($Y216=회사별_교통수단매핑!$B$2:$B$1000),0),0)),"")</f>
        <v>철도/KTX/SRT</v>
      </c>
      <c r="E216" s="5">
        <v>1</v>
      </c>
      <c r="F216" s="42" t="s">
        <v>49</v>
      </c>
      <c r="G216" s="8" t="s">
        <v>231</v>
      </c>
      <c r="H216" s="12"/>
      <c r="I216" s="5">
        <f t="shared" si="3"/>
        <v>4</v>
      </c>
      <c r="J216" s="5"/>
      <c r="K216" s="5"/>
      <c r="L216" s="5"/>
      <c r="M216" s="5"/>
      <c r="N216" s="5"/>
      <c r="O216" s="5"/>
      <c r="P216" s="5"/>
      <c r="Q216" s="5"/>
      <c r="R216" s="5">
        <v>1</v>
      </c>
      <c r="S216" s="5"/>
      <c r="T216" s="5"/>
      <c r="U216" s="5">
        <v>3</v>
      </c>
      <c r="V216" s="6"/>
      <c r="W216" s="7">
        <v>3.5460000000000003E-5</v>
      </c>
      <c r="X216" s="7">
        <v>8.0865202242027229E-2</v>
      </c>
      <c r="Y216" s="41" t="s">
        <v>134</v>
      </c>
    </row>
    <row r="217" spans="2:25" ht="17.100000000000001" customHeight="1">
      <c r="B217" s="5" t="s">
        <v>41</v>
      </c>
      <c r="C217" s="40" t="s">
        <v>181</v>
      </c>
      <c r="D217" s="5" t="str">
        <f>IFERROR(INDEX(회사별_교통수단매핑!$C$2:$C$1000,MATCH(1,INDEX(($C$14=회사별_교통수단매핑!$A$2:$A$1000)*($Y217=회사별_교통수단매핑!$B$2:$B$1000),0),0)),"")</f>
        <v>철도/KTX/SRT</v>
      </c>
      <c r="E217" s="5">
        <v>1</v>
      </c>
      <c r="F217" s="42" t="s">
        <v>49</v>
      </c>
      <c r="G217" s="8" t="s">
        <v>257</v>
      </c>
      <c r="H217" s="12"/>
      <c r="I217" s="5">
        <f t="shared" si="3"/>
        <v>1</v>
      </c>
      <c r="J217" s="5"/>
      <c r="K217" s="5"/>
      <c r="L217" s="5"/>
      <c r="M217" s="5"/>
      <c r="N217" s="5"/>
      <c r="O217" s="5">
        <v>1</v>
      </c>
      <c r="P217" s="5"/>
      <c r="Q217" s="5"/>
      <c r="R217" s="5"/>
      <c r="S217" s="5"/>
      <c r="T217" s="5"/>
      <c r="U217" s="5"/>
      <c r="V217" s="6"/>
      <c r="W217" s="7">
        <v>3.5460000000000003E-5</v>
      </c>
      <c r="X217" s="7">
        <v>2.0216300560506811E-2</v>
      </c>
      <c r="Y217" s="41" t="s">
        <v>134</v>
      </c>
    </row>
    <row r="218" spans="2:25" ht="17.100000000000001" customHeight="1">
      <c r="B218" s="5" t="s">
        <v>41</v>
      </c>
      <c r="C218" s="40" t="s">
        <v>181</v>
      </c>
      <c r="D218" s="5" t="str">
        <f>IFERROR(INDEX(회사별_교통수단매핑!$C$2:$C$1000,MATCH(1,INDEX(($C$14=회사별_교통수단매핑!$A$2:$A$1000)*($Y218=회사별_교통수단매핑!$B$2:$B$1000),0),0)),"")</f>
        <v>철도/KTX/SRT</v>
      </c>
      <c r="E218" s="5">
        <v>1</v>
      </c>
      <c r="F218" s="42" t="s">
        <v>49</v>
      </c>
      <c r="G218" s="8" t="s">
        <v>232</v>
      </c>
      <c r="H218" s="12"/>
      <c r="I218" s="5">
        <f t="shared" si="3"/>
        <v>1</v>
      </c>
      <c r="J218" s="5"/>
      <c r="K218" s="5"/>
      <c r="L218" s="5"/>
      <c r="M218" s="5"/>
      <c r="N218" s="5"/>
      <c r="O218" s="5"/>
      <c r="P218" s="5"/>
      <c r="Q218" s="5"/>
      <c r="R218" s="5"/>
      <c r="S218" s="5">
        <v>1</v>
      </c>
      <c r="T218" s="5"/>
      <c r="U218" s="5"/>
      <c r="V218" s="6"/>
      <c r="W218" s="7">
        <v>3.5460000000000003E-5</v>
      </c>
      <c r="X218" s="7">
        <v>2.0216300560506811E-2</v>
      </c>
      <c r="Y218" s="41" t="s">
        <v>134</v>
      </c>
    </row>
    <row r="219" spans="2:25" ht="17.100000000000001" customHeight="1">
      <c r="B219" s="5" t="s">
        <v>41</v>
      </c>
      <c r="C219" s="40" t="s">
        <v>181</v>
      </c>
      <c r="D219" s="5" t="str">
        <f>IFERROR(INDEX(회사별_교통수단매핑!$C$2:$C$1000,MATCH(1,INDEX(($C$14=회사별_교통수단매핑!$A$2:$A$1000)*($Y219=회사별_교통수단매핑!$B$2:$B$1000),0),0)),"")</f>
        <v>철도/KTX/SRT</v>
      </c>
      <c r="E219" s="5">
        <v>1</v>
      </c>
      <c r="F219" s="42" t="s">
        <v>49</v>
      </c>
      <c r="G219" s="8" t="s">
        <v>258</v>
      </c>
      <c r="H219" s="12"/>
      <c r="I219" s="5">
        <f t="shared" si="3"/>
        <v>4</v>
      </c>
      <c r="J219" s="5"/>
      <c r="K219" s="5"/>
      <c r="L219" s="5"/>
      <c r="M219" s="5">
        <v>1</v>
      </c>
      <c r="N219" s="5"/>
      <c r="O219" s="5">
        <v>1</v>
      </c>
      <c r="P219" s="5"/>
      <c r="Q219" s="5"/>
      <c r="R219" s="5">
        <v>1</v>
      </c>
      <c r="S219" s="5">
        <v>1</v>
      </c>
      <c r="T219" s="5"/>
      <c r="U219" s="5"/>
      <c r="V219" s="6"/>
      <c r="W219" s="7">
        <v>3.5460000000000003E-5</v>
      </c>
      <c r="X219" s="7">
        <v>8.0865202242027229E-2</v>
      </c>
      <c r="Y219" s="41" t="s">
        <v>134</v>
      </c>
    </row>
    <row r="220" spans="2:25" ht="17.100000000000001" customHeight="1">
      <c r="B220" s="5" t="s">
        <v>41</v>
      </c>
      <c r="C220" s="40" t="s">
        <v>181</v>
      </c>
      <c r="D220" s="5" t="str">
        <f>IFERROR(INDEX(회사별_교통수단매핑!$C$2:$C$1000,MATCH(1,INDEX(($C$14=회사별_교통수단매핑!$A$2:$A$1000)*($Y220=회사별_교통수단매핑!$B$2:$B$1000),0),0)),"")</f>
        <v>철도/KTX/SRT</v>
      </c>
      <c r="E220" s="5">
        <v>1</v>
      </c>
      <c r="F220" s="42" t="s">
        <v>49</v>
      </c>
      <c r="G220" s="8" t="s">
        <v>259</v>
      </c>
      <c r="H220" s="12"/>
      <c r="I220" s="5">
        <f t="shared" si="3"/>
        <v>2</v>
      </c>
      <c r="J220" s="5"/>
      <c r="K220" s="5"/>
      <c r="L220" s="5"/>
      <c r="M220" s="5">
        <v>2</v>
      </c>
      <c r="N220" s="5"/>
      <c r="O220" s="5"/>
      <c r="P220" s="5"/>
      <c r="Q220" s="5"/>
      <c r="R220" s="5"/>
      <c r="S220" s="5"/>
      <c r="T220" s="5"/>
      <c r="U220" s="5"/>
      <c r="V220" s="6"/>
      <c r="W220" s="7">
        <v>3.5460000000000003E-5</v>
      </c>
      <c r="X220" s="7">
        <v>2.379960835946255E-2</v>
      </c>
      <c r="Y220" s="41" t="s">
        <v>134</v>
      </c>
    </row>
    <row r="221" spans="2:25" ht="17.100000000000001" customHeight="1">
      <c r="B221" s="5" t="s">
        <v>41</v>
      </c>
      <c r="C221" s="40" t="s">
        <v>181</v>
      </c>
      <c r="D221" s="5" t="str">
        <f>IFERROR(INDEX(회사별_교통수단매핑!$C$2:$C$1000,MATCH(1,INDEX(($C$14=회사별_교통수단매핑!$A$2:$A$1000)*($Y221=회사별_교통수단매핑!$B$2:$B$1000),0),0)),"")</f>
        <v>철도/KTX/SRT</v>
      </c>
      <c r="E221" s="5">
        <v>1</v>
      </c>
      <c r="F221" s="42" t="s">
        <v>49</v>
      </c>
      <c r="G221" s="8" t="s">
        <v>233</v>
      </c>
      <c r="H221" s="12"/>
      <c r="I221" s="5">
        <f t="shared" si="3"/>
        <v>1</v>
      </c>
      <c r="J221" s="5"/>
      <c r="K221" s="5"/>
      <c r="L221" s="5"/>
      <c r="M221" s="5"/>
      <c r="N221" s="5"/>
      <c r="O221" s="5"/>
      <c r="P221" s="5"/>
      <c r="Q221" s="5"/>
      <c r="R221" s="5">
        <v>1</v>
      </c>
      <c r="S221" s="5"/>
      <c r="T221" s="5"/>
      <c r="U221" s="5"/>
      <c r="V221" s="6"/>
      <c r="W221" s="7">
        <v>3.5460000000000003E-5</v>
      </c>
      <c r="X221" s="7">
        <v>1.189980417973127E-2</v>
      </c>
      <c r="Y221" s="41" t="s">
        <v>134</v>
      </c>
    </row>
    <row r="222" spans="2:25" ht="17.100000000000001" customHeight="1">
      <c r="B222" s="5" t="s">
        <v>41</v>
      </c>
      <c r="C222" s="40" t="s">
        <v>181</v>
      </c>
      <c r="D222" s="5" t="str">
        <f>IFERROR(INDEX(회사별_교통수단매핑!$C$2:$C$1000,MATCH(1,INDEX(($C$14=회사별_교통수단매핑!$A$2:$A$1000)*($Y222=회사별_교통수단매핑!$B$2:$B$1000),0),0)),"")</f>
        <v>철도/KTX/SRT</v>
      </c>
      <c r="E222" s="5">
        <v>1</v>
      </c>
      <c r="F222" s="42" t="s">
        <v>49</v>
      </c>
      <c r="G222" s="8" t="s">
        <v>260</v>
      </c>
      <c r="H222" s="12"/>
      <c r="I222" s="5">
        <f t="shared" si="3"/>
        <v>2</v>
      </c>
      <c r="J222" s="5">
        <v>2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6"/>
      <c r="W222" s="7">
        <v>3.5460000000000003E-5</v>
      </c>
      <c r="X222" s="7">
        <v>2.379960835946255E-2</v>
      </c>
      <c r="Y222" s="41" t="s">
        <v>134</v>
      </c>
    </row>
    <row r="223" spans="2:25" ht="17.100000000000001" customHeight="1">
      <c r="B223" s="5" t="s">
        <v>41</v>
      </c>
      <c r="C223" s="40" t="s">
        <v>181</v>
      </c>
      <c r="D223" s="5" t="str">
        <f>IFERROR(INDEX(회사별_교통수단매핑!$C$2:$C$1000,MATCH(1,INDEX(($C$14=회사별_교통수단매핑!$A$2:$A$1000)*($Y223=회사별_교통수단매핑!$B$2:$B$1000),0),0)),"")</f>
        <v>철도/KTX/SRT</v>
      </c>
      <c r="E223" s="5">
        <v>1</v>
      </c>
      <c r="F223" s="42" t="s">
        <v>49</v>
      </c>
      <c r="G223" s="8" t="s">
        <v>261</v>
      </c>
      <c r="H223" s="12"/>
      <c r="I223" s="5">
        <f t="shared" si="3"/>
        <v>1</v>
      </c>
      <c r="J223" s="5">
        <v>1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6"/>
      <c r="W223" s="7">
        <v>3.5460000000000003E-5</v>
      </c>
      <c r="X223" s="7">
        <v>1.228380362699252E-2</v>
      </c>
      <c r="Y223" s="41" t="s">
        <v>134</v>
      </c>
    </row>
    <row r="224" spans="2:25" ht="17.100000000000001" customHeight="1">
      <c r="B224" s="5" t="s">
        <v>41</v>
      </c>
      <c r="C224" s="40" t="s">
        <v>181</v>
      </c>
      <c r="D224" s="5" t="str">
        <f>IFERROR(INDEX(회사별_교통수단매핑!$C$2:$C$1000,MATCH(1,INDEX(($C$14=회사별_교통수단매핑!$A$2:$A$1000)*($Y224=회사별_교통수단매핑!$B$2:$B$1000),0),0)),"")</f>
        <v>철도/KTX/SRT</v>
      </c>
      <c r="E224" s="5">
        <v>1</v>
      </c>
      <c r="F224" s="42" t="s">
        <v>49</v>
      </c>
      <c r="G224" s="8" t="s">
        <v>234</v>
      </c>
      <c r="H224" s="12"/>
      <c r="I224" s="5">
        <f t="shared" si="3"/>
        <v>2</v>
      </c>
      <c r="J224" s="5"/>
      <c r="K224" s="5"/>
      <c r="L224" s="5">
        <v>1</v>
      </c>
      <c r="M224" s="5"/>
      <c r="N224" s="5"/>
      <c r="O224" s="5"/>
      <c r="P224" s="5"/>
      <c r="Q224" s="5"/>
      <c r="R224" s="5">
        <v>1</v>
      </c>
      <c r="S224" s="5"/>
      <c r="T224" s="5"/>
      <c r="U224" s="5"/>
      <c r="V224" s="6"/>
      <c r="W224" s="7">
        <v>3.5460000000000003E-5</v>
      </c>
      <c r="X224" s="7">
        <v>2.379960835946255E-2</v>
      </c>
      <c r="Y224" s="41" t="s">
        <v>134</v>
      </c>
    </row>
    <row r="225" spans="2:25" ht="17.100000000000001" customHeight="1">
      <c r="B225" s="5" t="s">
        <v>41</v>
      </c>
      <c r="C225" s="40" t="s">
        <v>181</v>
      </c>
      <c r="D225" s="5" t="str">
        <f>IFERROR(INDEX(회사별_교통수단매핑!$C$2:$C$1000,MATCH(1,INDEX(($C$14=회사별_교통수단매핑!$A$2:$A$1000)*($Y225=회사별_교통수단매핑!$B$2:$B$1000),0),0)),"")</f>
        <v>철도/KTX/SRT</v>
      </c>
      <c r="E225" s="5">
        <v>1</v>
      </c>
      <c r="F225" s="42" t="s">
        <v>49</v>
      </c>
      <c r="G225" s="8" t="s">
        <v>191</v>
      </c>
      <c r="H225" s="12"/>
      <c r="I225" s="5">
        <f t="shared" si="3"/>
        <v>5</v>
      </c>
      <c r="J225" s="5"/>
      <c r="K225" s="5">
        <v>1</v>
      </c>
      <c r="L225" s="5">
        <v>1</v>
      </c>
      <c r="M225" s="5">
        <v>1</v>
      </c>
      <c r="N225" s="5"/>
      <c r="O225" s="5"/>
      <c r="P225" s="5"/>
      <c r="Q225" s="5"/>
      <c r="R225" s="5"/>
      <c r="S225" s="5">
        <v>1</v>
      </c>
      <c r="T225" s="5"/>
      <c r="U225" s="5">
        <v>1</v>
      </c>
      <c r="V225" s="6"/>
      <c r="W225" s="7">
        <v>3.5460000000000003E-5</v>
      </c>
      <c r="X225" s="7">
        <v>5.9499020898656378E-2</v>
      </c>
      <c r="Y225" s="41" t="s">
        <v>134</v>
      </c>
    </row>
    <row r="226" spans="2:25" ht="17.100000000000001" customHeight="1">
      <c r="B226" s="5" t="s">
        <v>41</v>
      </c>
      <c r="C226" s="40" t="s">
        <v>181</v>
      </c>
      <c r="D226" s="5" t="str">
        <f>IFERROR(INDEX(회사별_교통수단매핑!$C$2:$C$1000,MATCH(1,INDEX(($C$14=회사별_교통수단매핑!$A$2:$A$1000)*($Y226=회사별_교통수단매핑!$B$2:$B$1000),0),0)),"")</f>
        <v>철도/KTX/SRT</v>
      </c>
      <c r="E226" s="5">
        <v>1</v>
      </c>
      <c r="F226" s="42" t="s">
        <v>49</v>
      </c>
      <c r="G226" s="8" t="s">
        <v>192</v>
      </c>
      <c r="H226" s="12"/>
      <c r="I226" s="5">
        <f t="shared" si="3"/>
        <v>5</v>
      </c>
      <c r="J226" s="5">
        <v>1</v>
      </c>
      <c r="K226" s="5"/>
      <c r="L226" s="5">
        <v>1</v>
      </c>
      <c r="M226" s="5">
        <v>1</v>
      </c>
      <c r="N226" s="5">
        <v>1</v>
      </c>
      <c r="O226" s="5"/>
      <c r="P226" s="5"/>
      <c r="Q226" s="5">
        <v>1</v>
      </c>
      <c r="R226" s="5"/>
      <c r="S226" s="5"/>
      <c r="T226" s="5"/>
      <c r="U226" s="5"/>
      <c r="V226" s="6"/>
      <c r="W226" s="7">
        <v>3.5460000000000003E-5</v>
      </c>
      <c r="X226" s="7">
        <v>5.9499020898656378E-2</v>
      </c>
      <c r="Y226" s="41" t="s">
        <v>134</v>
      </c>
    </row>
    <row r="227" spans="2:25" ht="17.100000000000001" customHeight="1">
      <c r="B227" s="5" t="s">
        <v>41</v>
      </c>
      <c r="C227" s="40" t="s">
        <v>181</v>
      </c>
      <c r="D227" s="5" t="str">
        <f>IFERROR(INDEX(회사별_교통수단매핑!$C$2:$C$1000,MATCH(1,INDEX(($C$14=회사별_교통수단매핑!$A$2:$A$1000)*($Y227=회사별_교통수단매핑!$B$2:$B$1000),0),0)),"")</f>
        <v>철도/KTX/SRT</v>
      </c>
      <c r="E227" s="5">
        <v>1</v>
      </c>
      <c r="F227" s="42" t="s">
        <v>49</v>
      </c>
      <c r="G227" s="8" t="s">
        <v>262</v>
      </c>
      <c r="H227" s="12"/>
      <c r="I227" s="5">
        <f t="shared" si="3"/>
        <v>2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>
        <v>2</v>
      </c>
      <c r="V227" s="6"/>
      <c r="W227" s="7">
        <v>3.5460000000000003E-5</v>
      </c>
      <c r="X227" s="7">
        <v>2.0625845019789209E-2</v>
      </c>
      <c r="Y227" s="41" t="s">
        <v>134</v>
      </c>
    </row>
    <row r="228" spans="2:25" ht="17.100000000000001" customHeight="1">
      <c r="B228" s="5" t="s">
        <v>41</v>
      </c>
      <c r="C228" s="40" t="s">
        <v>181</v>
      </c>
      <c r="D228" s="5" t="str">
        <f>IFERROR(INDEX(회사별_교통수단매핑!$C$2:$C$1000,MATCH(1,INDEX(($C$14=회사별_교통수단매핑!$A$2:$A$1000)*($Y228=회사별_교통수단매핑!$B$2:$B$1000),0),0)),"")</f>
        <v>철도/KTX/SRT</v>
      </c>
      <c r="E228" s="5">
        <v>1</v>
      </c>
      <c r="F228" s="42" t="s">
        <v>49</v>
      </c>
      <c r="G228" s="8" t="s">
        <v>263</v>
      </c>
      <c r="H228" s="12"/>
      <c r="I228" s="5">
        <f t="shared" si="3"/>
        <v>5</v>
      </c>
      <c r="J228" s="5"/>
      <c r="K228" s="5">
        <v>1</v>
      </c>
      <c r="L228" s="5"/>
      <c r="M228" s="5"/>
      <c r="N228" s="5"/>
      <c r="O228" s="5">
        <v>3</v>
      </c>
      <c r="P228" s="5"/>
      <c r="Q228" s="5"/>
      <c r="R228" s="5"/>
      <c r="S228" s="5"/>
      <c r="T228" s="5">
        <v>1</v>
      </c>
      <c r="U228" s="5"/>
      <c r="V228" s="6"/>
      <c r="W228" s="7">
        <v>3.5460000000000003E-5</v>
      </c>
      <c r="X228" s="7">
        <v>0.1400387146685701</v>
      </c>
      <c r="Y228" s="41" t="s">
        <v>134</v>
      </c>
    </row>
    <row r="229" spans="2:25" ht="17.100000000000001" customHeight="1">
      <c r="B229" s="5" t="s">
        <v>41</v>
      </c>
      <c r="C229" s="40" t="s">
        <v>181</v>
      </c>
      <c r="D229" s="5" t="str">
        <f>IFERROR(INDEX(회사별_교통수단매핑!$C$2:$C$1000,MATCH(1,INDEX(($C$14=회사별_교통수단매핑!$A$2:$A$1000)*($Y229=회사별_교통수단매핑!$B$2:$B$1000),0),0)),"")</f>
        <v>철도/KTX/SRT</v>
      </c>
      <c r="E229" s="5">
        <v>1</v>
      </c>
      <c r="F229" s="42" t="s">
        <v>49</v>
      </c>
      <c r="G229" s="8" t="s">
        <v>264</v>
      </c>
      <c r="H229" s="12"/>
      <c r="I229" s="5">
        <f t="shared" si="3"/>
        <v>1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>
        <v>1</v>
      </c>
      <c r="V229" s="6"/>
      <c r="W229" s="7">
        <v>3.5460000000000003E-5</v>
      </c>
      <c r="X229" s="7">
        <v>2.7647327790276569E-2</v>
      </c>
      <c r="Y229" s="41" t="s">
        <v>134</v>
      </c>
    </row>
    <row r="230" spans="2:25" ht="17.100000000000001" customHeight="1">
      <c r="B230" s="5" t="s">
        <v>41</v>
      </c>
      <c r="C230" s="40" t="s">
        <v>181</v>
      </c>
      <c r="D230" s="5" t="str">
        <f>IFERROR(INDEX(회사별_교통수단매핑!$C$2:$C$1000,MATCH(1,INDEX(($C$14=회사별_교통수단매핑!$A$2:$A$1000)*($Y230=회사별_교통수단매핑!$B$2:$B$1000),0),0)),"")</f>
        <v>철도/KTX/SRT</v>
      </c>
      <c r="E230" s="5">
        <v>1</v>
      </c>
      <c r="F230" s="42" t="s">
        <v>49</v>
      </c>
      <c r="G230" s="8" t="s">
        <v>265</v>
      </c>
      <c r="H230" s="12"/>
      <c r="I230" s="5">
        <f t="shared" si="3"/>
        <v>6</v>
      </c>
      <c r="J230" s="5"/>
      <c r="K230" s="5"/>
      <c r="L230" s="5">
        <v>1</v>
      </c>
      <c r="M230" s="5"/>
      <c r="N230" s="5"/>
      <c r="O230" s="5">
        <v>4</v>
      </c>
      <c r="P230" s="5">
        <v>1</v>
      </c>
      <c r="Q230" s="5"/>
      <c r="R230" s="5"/>
      <c r="S230" s="5"/>
      <c r="T230" s="5"/>
      <c r="U230" s="5"/>
      <c r="V230" s="6"/>
      <c r="W230" s="7">
        <v>3.5460000000000003E-5</v>
      </c>
      <c r="X230" s="7">
        <v>0.16588396674165939</v>
      </c>
      <c r="Y230" s="41" t="s">
        <v>134</v>
      </c>
    </row>
    <row r="231" spans="2:25" ht="17.100000000000001" customHeight="1">
      <c r="B231" s="5" t="s">
        <v>41</v>
      </c>
      <c r="C231" s="40" t="s">
        <v>181</v>
      </c>
      <c r="D231" s="5" t="str">
        <f>IFERROR(INDEX(회사별_교통수단매핑!$C$2:$C$1000,MATCH(1,INDEX(($C$14=회사별_교통수단매핑!$A$2:$A$1000)*($Y231=회사별_교통수단매핑!$B$2:$B$1000),0),0)),"")</f>
        <v>철도/KTX/SRT</v>
      </c>
      <c r="E231" s="5">
        <v>1</v>
      </c>
      <c r="F231" s="42" t="s">
        <v>49</v>
      </c>
      <c r="G231" s="8" t="s">
        <v>266</v>
      </c>
      <c r="H231" s="12"/>
      <c r="I231" s="5">
        <f t="shared" si="3"/>
        <v>7</v>
      </c>
      <c r="J231" s="5"/>
      <c r="K231" s="5">
        <v>2</v>
      </c>
      <c r="L231" s="5">
        <v>1</v>
      </c>
      <c r="M231" s="5"/>
      <c r="N231" s="5"/>
      <c r="O231" s="5">
        <v>1</v>
      </c>
      <c r="P231" s="5">
        <v>3</v>
      </c>
      <c r="Q231" s="5"/>
      <c r="R231" s="5"/>
      <c r="S231" s="5"/>
      <c r="T231" s="5"/>
      <c r="U231" s="5"/>
      <c r="V231" s="6"/>
      <c r="W231" s="7">
        <v>3.5460000000000003E-5</v>
      </c>
      <c r="X231" s="7">
        <v>0.19353129453193599</v>
      </c>
      <c r="Y231" s="41" t="s">
        <v>134</v>
      </c>
    </row>
    <row r="232" spans="2:25" ht="17.100000000000001" customHeight="1">
      <c r="B232" s="5" t="s">
        <v>41</v>
      </c>
      <c r="C232" s="40" t="s">
        <v>181</v>
      </c>
      <c r="D232" s="5" t="str">
        <f>IFERROR(INDEX(회사별_교통수단매핑!$C$2:$C$1000,MATCH(1,INDEX(($C$14=회사별_교통수단매핑!$A$2:$A$1000)*($Y232=회사별_교통수단매핑!$B$2:$B$1000),0),0)),"")</f>
        <v>철도/KTX/SRT</v>
      </c>
      <c r="E232" s="5">
        <v>1</v>
      </c>
      <c r="F232" s="42" t="s">
        <v>49</v>
      </c>
      <c r="G232" s="8" t="s">
        <v>267</v>
      </c>
      <c r="H232" s="12"/>
      <c r="I232" s="5">
        <f t="shared" si="3"/>
        <v>1</v>
      </c>
      <c r="J232" s="5"/>
      <c r="K232" s="5">
        <v>1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6"/>
      <c r="W232" s="7">
        <v>3.5460000000000003E-5</v>
      </c>
      <c r="X232" s="7">
        <v>2.7647327790276569E-2</v>
      </c>
      <c r="Y232" s="41" t="s">
        <v>134</v>
      </c>
    </row>
    <row r="233" spans="2:25" ht="17.100000000000001" customHeight="1">
      <c r="B233" s="5" t="s">
        <v>41</v>
      </c>
      <c r="C233" s="40" t="s">
        <v>181</v>
      </c>
      <c r="D233" s="5" t="str">
        <f>IFERROR(INDEX(회사별_교통수단매핑!$C$2:$C$1000,MATCH(1,INDEX(($C$14=회사별_교통수단매핑!$A$2:$A$1000)*($Y233=회사별_교통수단매핑!$B$2:$B$1000),0),0)),"")</f>
        <v>철도/KTX/SRT</v>
      </c>
      <c r="E233" s="5">
        <v>1</v>
      </c>
      <c r="F233" s="42" t="s">
        <v>49</v>
      </c>
      <c r="G233" s="8" t="s">
        <v>268</v>
      </c>
      <c r="H233" s="12"/>
      <c r="I233" s="5">
        <f t="shared" si="3"/>
        <v>5</v>
      </c>
      <c r="J233" s="5"/>
      <c r="K233" s="5"/>
      <c r="L233" s="5"/>
      <c r="M233" s="5"/>
      <c r="N233" s="5"/>
      <c r="O233" s="5"/>
      <c r="P233" s="5">
        <v>2</v>
      </c>
      <c r="Q233" s="5"/>
      <c r="R233" s="5"/>
      <c r="S233" s="5"/>
      <c r="T233" s="5">
        <v>2</v>
      </c>
      <c r="U233" s="5">
        <v>1</v>
      </c>
      <c r="V233" s="6"/>
      <c r="W233" s="7">
        <v>3.5460000000000003E-5</v>
      </c>
      <c r="X233" s="7">
        <v>0.1402230013915548</v>
      </c>
      <c r="Y233" s="41" t="s">
        <v>134</v>
      </c>
    </row>
    <row r="234" spans="2:25" ht="17.100000000000001" customHeight="1">
      <c r="B234" s="5" t="s">
        <v>41</v>
      </c>
      <c r="C234" s="40" t="s">
        <v>181</v>
      </c>
      <c r="D234" s="5" t="str">
        <f>IFERROR(INDEX(회사별_교통수단매핑!$C$2:$C$1000,MATCH(1,INDEX(($C$14=회사별_교통수단매핑!$A$2:$A$1000)*($Y234=회사별_교통수단매핑!$B$2:$B$1000),0),0)),"")</f>
        <v>철도/KTX/SRT</v>
      </c>
      <c r="E234" s="5">
        <v>1</v>
      </c>
      <c r="F234" s="42" t="s">
        <v>49</v>
      </c>
      <c r="G234" s="8" t="s">
        <v>161</v>
      </c>
      <c r="H234" s="12"/>
      <c r="I234" s="5">
        <f t="shared" si="3"/>
        <v>10</v>
      </c>
      <c r="J234" s="5"/>
      <c r="K234" s="5">
        <v>3</v>
      </c>
      <c r="L234" s="5">
        <v>1</v>
      </c>
      <c r="M234" s="5"/>
      <c r="N234" s="5"/>
      <c r="O234" s="5"/>
      <c r="P234" s="5">
        <v>4</v>
      </c>
      <c r="Q234" s="5">
        <v>1</v>
      </c>
      <c r="R234" s="5"/>
      <c r="S234" s="5"/>
      <c r="T234" s="5">
        <v>1</v>
      </c>
      <c r="U234" s="5"/>
      <c r="V234" s="6"/>
      <c r="W234" s="7">
        <v>3.5460000000000003E-5</v>
      </c>
      <c r="X234" s="7">
        <v>0.27647327790276582</v>
      </c>
      <c r="Y234" s="41" t="s">
        <v>134</v>
      </c>
    </row>
    <row r="235" spans="2:25" ht="17.100000000000001" customHeight="1">
      <c r="B235" s="5" t="s">
        <v>41</v>
      </c>
      <c r="C235" s="40" t="s">
        <v>181</v>
      </c>
      <c r="D235" s="5" t="str">
        <f>IFERROR(INDEX(회사별_교통수단매핑!$C$2:$C$1000,MATCH(1,INDEX(($C$14=회사별_교통수단매핑!$A$2:$A$1000)*($Y235=회사별_교통수단매핑!$B$2:$B$1000),0),0)),"")</f>
        <v>철도/KTX/SRT</v>
      </c>
      <c r="E235" s="5">
        <v>1</v>
      </c>
      <c r="F235" s="42" t="s">
        <v>49</v>
      </c>
      <c r="G235" s="8" t="s">
        <v>269</v>
      </c>
      <c r="H235" s="12"/>
      <c r="I235" s="5">
        <f t="shared" si="3"/>
        <v>1</v>
      </c>
      <c r="J235" s="5"/>
      <c r="K235" s="5"/>
      <c r="L235" s="5">
        <v>1</v>
      </c>
      <c r="M235" s="5"/>
      <c r="N235" s="5"/>
      <c r="O235" s="5"/>
      <c r="P235" s="5"/>
      <c r="Q235" s="5"/>
      <c r="R235" s="5"/>
      <c r="S235" s="5"/>
      <c r="T235" s="5"/>
      <c r="U235" s="5"/>
      <c r="V235" s="6"/>
      <c r="W235" s="7">
        <v>3.5460000000000003E-5</v>
      </c>
      <c r="X235" s="7">
        <v>2.7647327790276569E-2</v>
      </c>
      <c r="Y235" s="41" t="s">
        <v>134</v>
      </c>
    </row>
    <row r="236" spans="2:25" ht="17.100000000000001" customHeight="1">
      <c r="B236" s="5" t="s">
        <v>41</v>
      </c>
      <c r="C236" s="40" t="s">
        <v>181</v>
      </c>
      <c r="D236" s="5" t="str">
        <f>IFERROR(INDEX(회사별_교통수단매핑!$C$2:$C$1000,MATCH(1,INDEX(($C$14=회사별_교통수단매핑!$A$2:$A$1000)*($Y236=회사별_교통수단매핑!$B$2:$B$1000),0),0)),"")</f>
        <v>철도/KTX/SRT</v>
      </c>
      <c r="E236" s="5">
        <v>1</v>
      </c>
      <c r="F236" s="42" t="s">
        <v>49</v>
      </c>
      <c r="G236" s="8" t="s">
        <v>270</v>
      </c>
      <c r="H236" s="12"/>
      <c r="I236" s="5">
        <f t="shared" si="3"/>
        <v>2</v>
      </c>
      <c r="J236" s="5"/>
      <c r="K236" s="5"/>
      <c r="L236" s="5"/>
      <c r="M236" s="5"/>
      <c r="N236" s="5"/>
      <c r="O236" s="5"/>
      <c r="P236" s="5"/>
      <c r="Q236" s="5">
        <v>2</v>
      </c>
      <c r="R236" s="5"/>
      <c r="S236" s="5"/>
      <c r="T236" s="5"/>
      <c r="U236" s="5"/>
      <c r="V236" s="6"/>
      <c r="W236" s="7">
        <v>3.5460000000000003E-5</v>
      </c>
      <c r="X236" s="7">
        <v>5.5294655580553152E-2</v>
      </c>
      <c r="Y236" s="41" t="s">
        <v>134</v>
      </c>
    </row>
    <row r="237" spans="2:25" ht="17.100000000000001" customHeight="1">
      <c r="B237" s="5" t="s">
        <v>41</v>
      </c>
      <c r="C237" s="40" t="s">
        <v>181</v>
      </c>
      <c r="D237" s="5" t="str">
        <f>IFERROR(INDEX(회사별_교통수단매핑!$C$2:$C$1000,MATCH(1,INDEX(($C$14=회사별_교통수단매핑!$A$2:$A$1000)*($Y237=회사별_교통수단매핑!$B$2:$B$1000),0),0)),"")</f>
        <v>철도/KTX/SRT</v>
      </c>
      <c r="E237" s="5">
        <v>1</v>
      </c>
      <c r="F237" s="42" t="s">
        <v>49</v>
      </c>
      <c r="G237" s="8" t="s">
        <v>271</v>
      </c>
      <c r="H237" s="12"/>
      <c r="I237" s="5">
        <f t="shared" si="3"/>
        <v>1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>
        <v>1</v>
      </c>
      <c r="V237" s="6"/>
      <c r="W237" s="7">
        <v>3.5460000000000003E-5</v>
      </c>
      <c r="X237" s="7">
        <v>2.7647327790276569E-2</v>
      </c>
      <c r="Y237" s="41" t="s">
        <v>134</v>
      </c>
    </row>
    <row r="238" spans="2:25" ht="17.100000000000001" customHeight="1">
      <c r="B238" s="5" t="s">
        <v>41</v>
      </c>
      <c r="C238" s="40" t="s">
        <v>181</v>
      </c>
      <c r="D238" s="5" t="str">
        <f>IFERROR(INDEX(회사별_교통수단매핑!$C$2:$C$1000,MATCH(1,INDEX(($C$14=회사별_교통수단매핑!$A$2:$A$1000)*($Y238=회사별_교통수단매핑!$B$2:$B$1000),0),0)),"")</f>
        <v>철도/KTX/SRT</v>
      </c>
      <c r="E238" s="5">
        <v>1</v>
      </c>
      <c r="F238" s="42" t="s">
        <v>49</v>
      </c>
      <c r="G238" s="8" t="s">
        <v>272</v>
      </c>
      <c r="H238" s="12"/>
      <c r="I238" s="5">
        <f t="shared" si="3"/>
        <v>1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>
        <v>1</v>
      </c>
      <c r="V238" s="6"/>
      <c r="W238" s="7">
        <v>3.5460000000000003E-5</v>
      </c>
      <c r="X238" s="7">
        <v>2.7647327790276569E-2</v>
      </c>
      <c r="Y238" s="41" t="s">
        <v>134</v>
      </c>
    </row>
    <row r="239" spans="2:25" ht="17.100000000000001" customHeight="1">
      <c r="B239" s="5" t="s">
        <v>41</v>
      </c>
      <c r="C239" s="40" t="s">
        <v>181</v>
      </c>
      <c r="D239" s="5" t="str">
        <f>IFERROR(INDEX(회사별_교통수단매핑!$C$2:$C$1000,MATCH(1,INDEX(($C$14=회사별_교통수단매핑!$A$2:$A$1000)*($Y239=회사별_교통수단매핑!$B$2:$B$1000),0),0)),"")</f>
        <v>철도/KTX/SRT</v>
      </c>
      <c r="E239" s="5">
        <v>1</v>
      </c>
      <c r="F239" s="42" t="s">
        <v>49</v>
      </c>
      <c r="G239" s="8" t="s">
        <v>273</v>
      </c>
      <c r="H239" s="12"/>
      <c r="I239" s="5">
        <f t="shared" si="3"/>
        <v>2</v>
      </c>
      <c r="J239" s="5"/>
      <c r="K239" s="5"/>
      <c r="L239" s="5"/>
      <c r="M239" s="5"/>
      <c r="N239" s="5"/>
      <c r="O239" s="5"/>
      <c r="P239" s="5">
        <v>2</v>
      </c>
      <c r="Q239" s="5"/>
      <c r="R239" s="5"/>
      <c r="S239" s="5"/>
      <c r="T239" s="5"/>
      <c r="U239" s="5"/>
      <c r="V239" s="6"/>
      <c r="W239" s="7">
        <v>3.5460000000000003E-5</v>
      </c>
      <c r="X239" s="7">
        <v>2.105916581913285E-2</v>
      </c>
      <c r="Y239" s="41" t="s">
        <v>134</v>
      </c>
    </row>
    <row r="240" spans="2:25" ht="17.100000000000001" customHeight="1">
      <c r="B240" s="5" t="s">
        <v>41</v>
      </c>
      <c r="C240" s="40" t="s">
        <v>181</v>
      </c>
      <c r="D240" s="5" t="str">
        <f>IFERROR(INDEX(회사별_교통수단매핑!$C$2:$C$1000,MATCH(1,INDEX(($C$14=회사별_교통수단매핑!$A$2:$A$1000)*($Y240=회사별_교통수단매핑!$B$2:$B$1000),0),0)),"")</f>
        <v>철도/KTX/SRT</v>
      </c>
      <c r="E240" s="5">
        <v>1</v>
      </c>
      <c r="F240" s="42" t="s">
        <v>49</v>
      </c>
      <c r="G240" s="8" t="s">
        <v>274</v>
      </c>
      <c r="H240" s="12"/>
      <c r="I240" s="5">
        <f t="shared" si="3"/>
        <v>2</v>
      </c>
      <c r="J240" s="5"/>
      <c r="K240" s="5"/>
      <c r="L240" s="5"/>
      <c r="M240" s="5"/>
      <c r="N240" s="5"/>
      <c r="O240" s="5"/>
      <c r="P240" s="5"/>
      <c r="Q240" s="5"/>
      <c r="R240" s="5">
        <v>2</v>
      </c>
      <c r="S240" s="5"/>
      <c r="T240" s="5"/>
      <c r="U240" s="5"/>
      <c r="V240" s="6"/>
      <c r="W240" s="7">
        <v>3.5460000000000003E-5</v>
      </c>
      <c r="X240" s="7">
        <v>1.2765599999999999E-3</v>
      </c>
      <c r="Y240" s="41" t="s">
        <v>134</v>
      </c>
    </row>
    <row r="241" spans="2:25" ht="17.100000000000001" customHeight="1">
      <c r="B241" s="5" t="s">
        <v>41</v>
      </c>
      <c r="C241" s="40" t="s">
        <v>181</v>
      </c>
      <c r="D241" s="5" t="str">
        <f>IFERROR(INDEX(회사별_교통수단매핑!$C$2:$C$1000,MATCH(1,INDEX(($C$14=회사별_교통수단매핑!$A$2:$A$1000)*($Y241=회사별_교통수단매핑!$B$2:$B$1000),0),0)),"")</f>
        <v>철도/KTX/SRT</v>
      </c>
      <c r="E241" s="5">
        <v>1</v>
      </c>
      <c r="F241" s="42" t="s">
        <v>49</v>
      </c>
      <c r="G241" s="8" t="s">
        <v>275</v>
      </c>
      <c r="H241" s="12"/>
      <c r="I241" s="5">
        <f t="shared" si="3"/>
        <v>2</v>
      </c>
      <c r="J241" s="5"/>
      <c r="K241" s="5"/>
      <c r="L241" s="5"/>
      <c r="M241" s="5"/>
      <c r="N241" s="5"/>
      <c r="O241" s="5">
        <v>2</v>
      </c>
      <c r="P241" s="5"/>
      <c r="Q241" s="5"/>
      <c r="R241" s="5"/>
      <c r="S241" s="5"/>
      <c r="T241" s="5"/>
      <c r="U241" s="5"/>
      <c r="V241" s="6"/>
      <c r="W241" s="7">
        <v>3.5460000000000003E-5</v>
      </c>
      <c r="X241" s="7">
        <v>2.105916581913285E-2</v>
      </c>
      <c r="Y241" s="41" t="s">
        <v>134</v>
      </c>
    </row>
    <row r="242" spans="2:25" ht="17.100000000000001" customHeight="1">
      <c r="B242" s="5" t="s">
        <v>41</v>
      </c>
      <c r="C242" s="40" t="s">
        <v>181</v>
      </c>
      <c r="D242" s="5" t="str">
        <f>IFERROR(INDEX(회사별_교통수단매핑!$C$2:$C$1000,MATCH(1,INDEX(($C$14=회사별_교통수단매핑!$A$2:$A$1000)*($Y242=회사별_교통수단매핑!$B$2:$B$1000),0),0)),"")</f>
        <v>철도/KTX/SRT</v>
      </c>
      <c r="E242" s="5">
        <v>1</v>
      </c>
      <c r="F242" s="42" t="s">
        <v>49</v>
      </c>
      <c r="G242" s="8" t="s">
        <v>208</v>
      </c>
      <c r="H242" s="12"/>
      <c r="I242" s="5">
        <f t="shared" si="3"/>
        <v>25</v>
      </c>
      <c r="J242" s="5">
        <v>1</v>
      </c>
      <c r="K242" s="5">
        <v>3</v>
      </c>
      <c r="L242" s="5">
        <v>3</v>
      </c>
      <c r="M242" s="5">
        <v>1</v>
      </c>
      <c r="N242" s="5">
        <v>3</v>
      </c>
      <c r="O242" s="5">
        <v>3</v>
      </c>
      <c r="P242" s="5">
        <v>3</v>
      </c>
      <c r="Q242" s="5">
        <v>1</v>
      </c>
      <c r="R242" s="5">
        <v>3</v>
      </c>
      <c r="S242" s="5">
        <v>2</v>
      </c>
      <c r="T242" s="5">
        <v>1</v>
      </c>
      <c r="U242" s="5">
        <v>1</v>
      </c>
      <c r="V242" s="6"/>
      <c r="W242" s="7">
        <v>3.5460000000000003E-5</v>
      </c>
      <c r="X242" s="7">
        <v>0.26323957273916071</v>
      </c>
      <c r="Y242" s="41" t="s">
        <v>134</v>
      </c>
    </row>
    <row r="243" spans="2:25" ht="17.100000000000001" customHeight="1">
      <c r="B243" s="5" t="s">
        <v>41</v>
      </c>
      <c r="C243" s="40" t="s">
        <v>181</v>
      </c>
      <c r="D243" s="5" t="str">
        <f>IFERROR(INDEX(회사별_교통수단매핑!$C$2:$C$1000,MATCH(1,INDEX(($C$14=회사별_교통수단매핑!$A$2:$A$1000)*($Y243=회사별_교통수단매핑!$B$2:$B$1000),0),0)),"")</f>
        <v>철도/KTX/SRT</v>
      </c>
      <c r="E243" s="5">
        <v>1</v>
      </c>
      <c r="F243" s="42" t="s">
        <v>49</v>
      </c>
      <c r="G243" s="8" t="s">
        <v>276</v>
      </c>
      <c r="H243" s="12"/>
      <c r="I243" s="5">
        <f t="shared" si="3"/>
        <v>1</v>
      </c>
      <c r="J243" s="5"/>
      <c r="K243" s="5"/>
      <c r="L243" s="5"/>
      <c r="M243" s="5"/>
      <c r="N243" s="5"/>
      <c r="O243" s="5"/>
      <c r="P243" s="5"/>
      <c r="Q243" s="5">
        <v>1</v>
      </c>
      <c r="R243" s="5"/>
      <c r="S243" s="5"/>
      <c r="T243" s="5"/>
      <c r="U243" s="5"/>
      <c r="V243" s="6"/>
      <c r="W243" s="7">
        <v>3.5460000000000003E-5</v>
      </c>
      <c r="X243" s="7">
        <v>1.052958290956643E-2</v>
      </c>
      <c r="Y243" s="41" t="s">
        <v>134</v>
      </c>
    </row>
    <row r="244" spans="2:25" ht="17.100000000000001" customHeight="1">
      <c r="B244" s="5" t="s">
        <v>41</v>
      </c>
      <c r="C244" s="40" t="s">
        <v>181</v>
      </c>
      <c r="D244" s="5" t="str">
        <f>IFERROR(INDEX(회사별_교통수단매핑!$C$2:$C$1000,MATCH(1,INDEX(($C$14=회사별_교통수단매핑!$A$2:$A$1000)*($Y244=회사별_교통수단매핑!$B$2:$B$1000),0),0)),"")</f>
        <v>철도/KTX/SRT</v>
      </c>
      <c r="E244" s="5">
        <v>1</v>
      </c>
      <c r="F244" s="42" t="s">
        <v>49</v>
      </c>
      <c r="G244" s="8" t="s">
        <v>277</v>
      </c>
      <c r="H244" s="12"/>
      <c r="I244" s="5">
        <f t="shared" si="3"/>
        <v>1</v>
      </c>
      <c r="J244" s="5"/>
      <c r="K244" s="5"/>
      <c r="L244" s="5"/>
      <c r="M244" s="5"/>
      <c r="N244" s="5"/>
      <c r="O244" s="5"/>
      <c r="P244" s="5"/>
      <c r="Q244" s="5"/>
      <c r="R244" s="5">
        <v>1</v>
      </c>
      <c r="S244" s="5"/>
      <c r="T244" s="5"/>
      <c r="U244" s="5"/>
      <c r="V244" s="6"/>
      <c r="W244" s="7">
        <v>3.5460000000000003E-5</v>
      </c>
      <c r="X244" s="7">
        <v>1.052958290956643E-2</v>
      </c>
      <c r="Y244" s="41" t="s">
        <v>134</v>
      </c>
    </row>
    <row r="245" spans="2:25" ht="17.100000000000001" customHeight="1">
      <c r="B245" s="5" t="s">
        <v>41</v>
      </c>
      <c r="C245" s="40" t="s">
        <v>181</v>
      </c>
      <c r="D245" s="5" t="str">
        <f>IFERROR(INDEX(회사별_교통수단매핑!$C$2:$C$1000,MATCH(1,INDEX(($C$14=회사별_교통수단매핑!$A$2:$A$1000)*($Y245=회사별_교통수단매핑!$B$2:$B$1000),0),0)),"")</f>
        <v>철도/KTX/SRT</v>
      </c>
      <c r="E245" s="5">
        <v>1</v>
      </c>
      <c r="F245" s="42" t="s">
        <v>49</v>
      </c>
      <c r="G245" s="8" t="s">
        <v>196</v>
      </c>
      <c r="H245" s="12"/>
      <c r="I245" s="5">
        <f t="shared" si="3"/>
        <v>5</v>
      </c>
      <c r="J245" s="5"/>
      <c r="K245" s="5"/>
      <c r="L245" s="5"/>
      <c r="M245" s="5">
        <v>1</v>
      </c>
      <c r="N245" s="5"/>
      <c r="O245" s="5"/>
      <c r="P245" s="5"/>
      <c r="Q245" s="5"/>
      <c r="R245" s="5">
        <v>1</v>
      </c>
      <c r="S245" s="5"/>
      <c r="T245" s="5">
        <v>2</v>
      </c>
      <c r="U245" s="5">
        <v>1</v>
      </c>
      <c r="V245" s="6"/>
      <c r="W245" s="7">
        <v>3.5460000000000003E-5</v>
      </c>
      <c r="X245" s="7">
        <v>5.2647914547832138E-2</v>
      </c>
      <c r="Y245" s="41" t="s">
        <v>134</v>
      </c>
    </row>
    <row r="246" spans="2:25" ht="17.100000000000001" customHeight="1">
      <c r="B246" s="5" t="s">
        <v>41</v>
      </c>
      <c r="C246" s="40" t="s">
        <v>181</v>
      </c>
      <c r="D246" s="5" t="str">
        <f>IFERROR(INDEX(회사별_교통수단매핑!$C$2:$C$1000,MATCH(1,INDEX(($C$14=회사별_교통수단매핑!$A$2:$A$1000)*($Y246=회사별_교통수단매핑!$B$2:$B$1000),0),0)),"")</f>
        <v>철도/KTX/SRT</v>
      </c>
      <c r="E246" s="5">
        <v>1</v>
      </c>
      <c r="F246" s="42" t="s">
        <v>49</v>
      </c>
      <c r="G246" s="8" t="s">
        <v>278</v>
      </c>
      <c r="H246" s="12"/>
      <c r="I246" s="5">
        <f t="shared" si="3"/>
        <v>6</v>
      </c>
      <c r="J246" s="5"/>
      <c r="K246" s="5">
        <v>1</v>
      </c>
      <c r="L246" s="5"/>
      <c r="M246" s="5"/>
      <c r="N246" s="5"/>
      <c r="O246" s="5"/>
      <c r="P246" s="5">
        <v>1</v>
      </c>
      <c r="Q246" s="5"/>
      <c r="R246" s="5"/>
      <c r="S246" s="5">
        <v>4</v>
      </c>
      <c r="T246" s="5"/>
      <c r="U246" s="5"/>
      <c r="V246" s="6"/>
      <c r="W246" s="7">
        <v>3.5460000000000003E-5</v>
      </c>
      <c r="X246" s="7">
        <v>6.3177497457398563E-2</v>
      </c>
      <c r="Y246" s="41" t="s">
        <v>134</v>
      </c>
    </row>
    <row r="247" spans="2:25" ht="17.100000000000001" customHeight="1">
      <c r="B247" s="5" t="s">
        <v>41</v>
      </c>
      <c r="C247" s="40" t="s">
        <v>181</v>
      </c>
      <c r="D247" s="5" t="str">
        <f>IFERROR(INDEX(회사별_교통수단매핑!$C$2:$C$1000,MATCH(1,INDEX(($C$14=회사별_교통수단매핑!$A$2:$A$1000)*($Y247=회사별_교통수단매핑!$B$2:$B$1000),0),0)),"")</f>
        <v>철도/KTX/SRT</v>
      </c>
      <c r="E247" s="5">
        <v>1</v>
      </c>
      <c r="F247" s="42" t="s">
        <v>49</v>
      </c>
      <c r="G247" s="8" t="s">
        <v>279</v>
      </c>
      <c r="H247" s="12"/>
      <c r="I247" s="5">
        <f t="shared" si="3"/>
        <v>1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>
        <v>1</v>
      </c>
      <c r="V247" s="6"/>
      <c r="W247" s="7">
        <v>3.5460000000000003E-5</v>
      </c>
      <c r="X247" s="7">
        <v>1.052958290956643E-2</v>
      </c>
      <c r="Y247" s="41" t="s">
        <v>134</v>
      </c>
    </row>
    <row r="248" spans="2:25" ht="17.100000000000001" customHeight="1">
      <c r="B248" s="5" t="s">
        <v>41</v>
      </c>
      <c r="C248" s="40" t="s">
        <v>181</v>
      </c>
      <c r="D248" s="5" t="str">
        <f>IFERROR(INDEX(회사별_교통수단매핑!$C$2:$C$1000,MATCH(1,INDEX(($C$14=회사별_교통수단매핑!$A$2:$A$1000)*($Y248=회사별_교통수단매핑!$B$2:$B$1000),0),0)),"")</f>
        <v>철도/KTX/SRT</v>
      </c>
      <c r="E248" s="5">
        <v>1</v>
      </c>
      <c r="F248" s="42" t="s">
        <v>49</v>
      </c>
      <c r="G248" s="8" t="s">
        <v>280</v>
      </c>
      <c r="H248" s="12"/>
      <c r="I248" s="5">
        <f t="shared" si="3"/>
        <v>2</v>
      </c>
      <c r="J248" s="5"/>
      <c r="K248" s="5">
        <v>1</v>
      </c>
      <c r="L248" s="5"/>
      <c r="M248" s="5"/>
      <c r="N248" s="5"/>
      <c r="O248" s="5"/>
      <c r="P248" s="5"/>
      <c r="Q248" s="5"/>
      <c r="R248" s="5"/>
      <c r="S248" s="5"/>
      <c r="T248" s="5">
        <v>1</v>
      </c>
      <c r="U248" s="5"/>
      <c r="V248" s="6"/>
      <c r="W248" s="7">
        <v>3.5460000000000003E-5</v>
      </c>
      <c r="X248" s="7">
        <v>2.105916581913285E-2</v>
      </c>
      <c r="Y248" s="41" t="s">
        <v>134</v>
      </c>
    </row>
    <row r="249" spans="2:25" ht="17.100000000000001" customHeight="1">
      <c r="B249" s="5" t="s">
        <v>41</v>
      </c>
      <c r="C249" s="40" t="s">
        <v>181</v>
      </c>
      <c r="D249" s="5" t="str">
        <f>IFERROR(INDEX(회사별_교통수단매핑!$C$2:$C$1000,MATCH(1,INDEX(($C$14=회사별_교통수단매핑!$A$2:$A$1000)*($Y249=회사별_교통수단매핑!$B$2:$B$1000),0),0)),"")</f>
        <v>철도/KTX/SRT</v>
      </c>
      <c r="E249" s="5">
        <v>1</v>
      </c>
      <c r="F249" s="42" t="s">
        <v>49</v>
      </c>
      <c r="G249" s="8" t="s">
        <v>235</v>
      </c>
      <c r="H249" s="12"/>
      <c r="I249" s="5">
        <f t="shared" si="3"/>
        <v>1</v>
      </c>
      <c r="J249" s="5"/>
      <c r="K249" s="5"/>
      <c r="L249" s="5"/>
      <c r="M249" s="5"/>
      <c r="N249" s="5">
        <v>1</v>
      </c>
      <c r="O249" s="5"/>
      <c r="P249" s="5"/>
      <c r="Q249" s="5"/>
      <c r="R249" s="5"/>
      <c r="S249" s="5"/>
      <c r="T249" s="5"/>
      <c r="U249" s="5"/>
      <c r="V249" s="6"/>
      <c r="W249" s="7">
        <v>3.5460000000000003E-5</v>
      </c>
      <c r="X249" s="7">
        <v>1.052958290956643E-2</v>
      </c>
      <c r="Y249" s="41" t="s">
        <v>134</v>
      </c>
    </row>
    <row r="250" spans="2:25" ht="17.100000000000001" customHeight="1">
      <c r="B250" s="5" t="s">
        <v>41</v>
      </c>
      <c r="C250" s="40" t="s">
        <v>181</v>
      </c>
      <c r="D250" s="5" t="str">
        <f>IFERROR(INDEX(회사별_교통수단매핑!$C$2:$C$1000,MATCH(1,INDEX(($C$14=회사별_교통수단매핑!$A$2:$A$1000)*($Y250=회사별_교통수단매핑!$B$2:$B$1000),0),0)),"")</f>
        <v>철도/KTX/SRT</v>
      </c>
      <c r="E250" s="5">
        <v>1</v>
      </c>
      <c r="F250" s="42" t="s">
        <v>49</v>
      </c>
      <c r="G250" s="8" t="s">
        <v>197</v>
      </c>
      <c r="H250" s="12"/>
      <c r="I250" s="5">
        <f t="shared" si="3"/>
        <v>2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>
        <v>2</v>
      </c>
      <c r="U250" s="5"/>
      <c r="V250" s="6"/>
      <c r="W250" s="7">
        <v>3.5460000000000003E-5</v>
      </c>
      <c r="X250" s="7">
        <v>2.105916581913285E-2</v>
      </c>
      <c r="Y250" s="41" t="s">
        <v>134</v>
      </c>
    </row>
    <row r="251" spans="2:25" ht="17.100000000000001" customHeight="1">
      <c r="B251" s="5" t="s">
        <v>41</v>
      </c>
      <c r="C251" s="40" t="s">
        <v>181</v>
      </c>
      <c r="D251" s="5" t="str">
        <f>IFERROR(INDEX(회사별_교통수단매핑!$C$2:$C$1000,MATCH(1,INDEX(($C$14=회사별_교통수단매핑!$A$2:$A$1000)*($Y251=회사별_교통수단매핑!$B$2:$B$1000),0),0)),"")</f>
        <v>철도/KTX/SRT</v>
      </c>
      <c r="E251" s="5">
        <v>1</v>
      </c>
      <c r="F251" s="42" t="s">
        <v>49</v>
      </c>
      <c r="G251" s="8" t="s">
        <v>198</v>
      </c>
      <c r="H251" s="12"/>
      <c r="I251" s="5">
        <f t="shared" si="3"/>
        <v>26</v>
      </c>
      <c r="J251" s="5"/>
      <c r="K251" s="5">
        <v>3</v>
      </c>
      <c r="L251" s="5">
        <v>3</v>
      </c>
      <c r="M251" s="5">
        <v>8</v>
      </c>
      <c r="N251" s="5"/>
      <c r="O251" s="5">
        <v>3</v>
      </c>
      <c r="P251" s="5"/>
      <c r="Q251" s="5">
        <v>2</v>
      </c>
      <c r="R251" s="5">
        <v>3</v>
      </c>
      <c r="S251" s="5">
        <v>1</v>
      </c>
      <c r="T251" s="5">
        <v>2</v>
      </c>
      <c r="U251" s="5">
        <v>1</v>
      </c>
      <c r="V251" s="6"/>
      <c r="W251" s="7">
        <v>3.5460000000000003E-5</v>
      </c>
      <c r="X251" s="7">
        <v>0.27376915564872711</v>
      </c>
      <c r="Y251" s="41" t="s">
        <v>134</v>
      </c>
    </row>
    <row r="252" spans="2:25" ht="17.100000000000001" customHeight="1">
      <c r="B252" s="5" t="s">
        <v>41</v>
      </c>
      <c r="C252" s="40" t="s">
        <v>181</v>
      </c>
      <c r="D252" s="5" t="str">
        <f>IFERROR(INDEX(회사별_교통수단매핑!$C$2:$C$1000,MATCH(1,INDEX(($C$14=회사별_교통수단매핑!$A$2:$A$1000)*($Y252=회사별_교통수단매핑!$B$2:$B$1000),0),0)),"")</f>
        <v>철도/KTX/SRT</v>
      </c>
      <c r="E252" s="5">
        <v>1</v>
      </c>
      <c r="F252" s="42" t="s">
        <v>49</v>
      </c>
      <c r="G252" s="8" t="s">
        <v>199</v>
      </c>
      <c r="H252" s="12"/>
      <c r="I252" s="5">
        <f t="shared" si="3"/>
        <v>3</v>
      </c>
      <c r="J252" s="5"/>
      <c r="K252" s="5"/>
      <c r="L252" s="5">
        <v>2</v>
      </c>
      <c r="M252" s="5"/>
      <c r="N252" s="5"/>
      <c r="O252" s="5"/>
      <c r="P252" s="5">
        <v>1</v>
      </c>
      <c r="Q252" s="5"/>
      <c r="R252" s="5"/>
      <c r="S252" s="5"/>
      <c r="T252" s="5"/>
      <c r="U252" s="5"/>
      <c r="V252" s="6"/>
      <c r="W252" s="7">
        <v>3.5460000000000003E-5</v>
      </c>
      <c r="X252" s="7">
        <v>3.1588748728699281E-2</v>
      </c>
      <c r="Y252" s="41" t="s">
        <v>134</v>
      </c>
    </row>
    <row r="253" spans="2:25" ht="17.100000000000001" customHeight="1">
      <c r="B253" s="5" t="s">
        <v>41</v>
      </c>
      <c r="C253" s="40" t="s">
        <v>181</v>
      </c>
      <c r="D253" s="5" t="str">
        <f>IFERROR(INDEX(회사별_교통수단매핑!$C$2:$C$1000,MATCH(1,INDEX(($C$14=회사별_교통수단매핑!$A$2:$A$1000)*($Y253=회사별_교통수단매핑!$B$2:$B$1000),0),0)),"")</f>
        <v>철도/KTX/SRT</v>
      </c>
      <c r="E253" s="5">
        <v>1</v>
      </c>
      <c r="F253" s="42" t="s">
        <v>49</v>
      </c>
      <c r="G253" s="8" t="s">
        <v>200</v>
      </c>
      <c r="H253" s="12"/>
      <c r="I253" s="5">
        <f t="shared" si="3"/>
        <v>29</v>
      </c>
      <c r="J253" s="5"/>
      <c r="K253" s="5">
        <v>2</v>
      </c>
      <c r="L253" s="5">
        <v>12</v>
      </c>
      <c r="M253" s="5">
        <v>3</v>
      </c>
      <c r="N253" s="5"/>
      <c r="O253" s="5"/>
      <c r="P253" s="5">
        <v>1</v>
      </c>
      <c r="Q253" s="5">
        <v>2</v>
      </c>
      <c r="R253" s="5">
        <v>1</v>
      </c>
      <c r="S253" s="5">
        <v>2</v>
      </c>
      <c r="T253" s="5">
        <v>2</v>
      </c>
      <c r="U253" s="5">
        <v>4</v>
      </c>
      <c r="V253" s="6"/>
      <c r="W253" s="7">
        <v>3.5460000000000003E-5</v>
      </c>
      <c r="X253" s="7">
        <v>0.30535790437742638</v>
      </c>
      <c r="Y253" s="41" t="s">
        <v>134</v>
      </c>
    </row>
    <row r="254" spans="2:25" ht="17.100000000000001" customHeight="1">
      <c r="B254" s="5" t="s">
        <v>41</v>
      </c>
      <c r="C254" s="40" t="s">
        <v>181</v>
      </c>
      <c r="D254" s="5" t="str">
        <f>IFERROR(INDEX(회사별_교통수단매핑!$C$2:$C$1000,MATCH(1,INDEX(($C$14=회사별_교통수단매핑!$A$2:$A$1000)*($Y254=회사별_교통수단매핑!$B$2:$B$1000),0),0)),"")</f>
        <v>철도/KTX/SRT</v>
      </c>
      <c r="E254" s="5">
        <v>1</v>
      </c>
      <c r="F254" s="42" t="s">
        <v>49</v>
      </c>
      <c r="G254" s="8" t="s">
        <v>281</v>
      </c>
      <c r="H254" s="12"/>
      <c r="I254" s="5">
        <f t="shared" si="3"/>
        <v>2</v>
      </c>
      <c r="J254" s="5">
        <v>2</v>
      </c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6"/>
      <c r="W254" s="7">
        <v>3.5460000000000003E-5</v>
      </c>
      <c r="X254" s="7">
        <v>5.2256455707003407E-2</v>
      </c>
      <c r="Y254" s="41" t="s">
        <v>134</v>
      </c>
    </row>
    <row r="255" spans="2:25" ht="17.100000000000001" customHeight="1">
      <c r="B255" s="5" t="s">
        <v>41</v>
      </c>
      <c r="C255" s="40" t="s">
        <v>181</v>
      </c>
      <c r="D255" s="5" t="str">
        <f>IFERROR(INDEX(회사별_교통수단매핑!$C$2:$C$1000,MATCH(1,INDEX(($C$14=회사별_교통수단매핑!$A$2:$A$1000)*($Y255=회사별_교통수단매핑!$B$2:$B$1000),0),0)),"")</f>
        <v>철도/KTX/SRT</v>
      </c>
      <c r="E255" s="5">
        <v>1</v>
      </c>
      <c r="F255" s="42" t="s">
        <v>49</v>
      </c>
      <c r="G255" s="8" t="s">
        <v>282</v>
      </c>
      <c r="H255" s="12"/>
      <c r="I255" s="5">
        <f t="shared" si="3"/>
        <v>1</v>
      </c>
      <c r="J255" s="5">
        <v>1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6"/>
      <c r="W255" s="7">
        <v>3.5460000000000003E-5</v>
      </c>
      <c r="X255" s="7">
        <v>2.6128227853501711E-2</v>
      </c>
      <c r="Y255" s="41" t="s">
        <v>134</v>
      </c>
    </row>
    <row r="256" spans="2:25" ht="17.100000000000001" customHeight="1">
      <c r="B256" s="5" t="s">
        <v>41</v>
      </c>
      <c r="C256" s="40" t="s">
        <v>181</v>
      </c>
      <c r="D256" s="5" t="str">
        <f>IFERROR(INDEX(회사별_교통수단매핑!$C$2:$C$1000,MATCH(1,INDEX(($C$14=회사별_교통수단매핑!$A$2:$A$1000)*($Y256=회사별_교통수단매핑!$B$2:$B$1000),0),0)),"")</f>
        <v>철도/KTX/SRT</v>
      </c>
      <c r="E256" s="5">
        <v>1</v>
      </c>
      <c r="F256" s="42" t="s">
        <v>49</v>
      </c>
      <c r="G256" s="8" t="s">
        <v>283</v>
      </c>
      <c r="H256" s="12"/>
      <c r="I256" s="5">
        <f t="shared" si="3"/>
        <v>1</v>
      </c>
      <c r="J256" s="5"/>
      <c r="K256" s="5"/>
      <c r="L256" s="5"/>
      <c r="M256" s="5">
        <v>1</v>
      </c>
      <c r="N256" s="5"/>
      <c r="O256" s="5"/>
      <c r="P256" s="5"/>
      <c r="Q256" s="5"/>
      <c r="R256" s="5"/>
      <c r="S256" s="5"/>
      <c r="T256" s="5"/>
      <c r="U256" s="5"/>
      <c r="V256" s="6"/>
      <c r="W256" s="7">
        <v>3.5460000000000003E-5</v>
      </c>
      <c r="X256" s="7">
        <v>2.6128227853501711E-2</v>
      </c>
      <c r="Y256" s="41" t="s">
        <v>134</v>
      </c>
    </row>
    <row r="257" spans="2:25" ht="17.100000000000001" customHeight="1">
      <c r="B257" s="5" t="s">
        <v>41</v>
      </c>
      <c r="C257" s="40" t="s">
        <v>181</v>
      </c>
      <c r="D257" s="5" t="str">
        <f>IFERROR(INDEX(회사별_교통수단매핑!$C$2:$C$1000,MATCH(1,INDEX(($C$14=회사별_교통수단매핑!$A$2:$A$1000)*($Y257=회사별_교통수단매핑!$B$2:$B$1000),0),0)),"")</f>
        <v>철도/KTX/SRT</v>
      </c>
      <c r="E257" s="5">
        <v>1</v>
      </c>
      <c r="F257" s="42" t="s">
        <v>49</v>
      </c>
      <c r="G257" s="8" t="s">
        <v>169</v>
      </c>
      <c r="H257" s="12"/>
      <c r="I257" s="5">
        <f t="shared" si="3"/>
        <v>1</v>
      </c>
      <c r="J257" s="5"/>
      <c r="K257" s="5"/>
      <c r="L257" s="5"/>
      <c r="M257" s="5"/>
      <c r="N257" s="5"/>
      <c r="O257" s="5"/>
      <c r="P257" s="5">
        <v>1</v>
      </c>
      <c r="Q257" s="5"/>
      <c r="R257" s="5"/>
      <c r="S257" s="5"/>
      <c r="T257" s="5"/>
      <c r="U257" s="5"/>
      <c r="V257" s="6"/>
      <c r="W257" s="7">
        <v>3.5460000000000003E-5</v>
      </c>
      <c r="X257" s="7">
        <v>2.6128227853501711E-2</v>
      </c>
      <c r="Y257" s="41" t="s">
        <v>134</v>
      </c>
    </row>
    <row r="258" spans="2:25" ht="17.100000000000001" customHeight="1">
      <c r="B258" s="5" t="s">
        <v>41</v>
      </c>
      <c r="C258" s="40" t="s">
        <v>181</v>
      </c>
      <c r="D258" s="5" t="str">
        <f>IFERROR(INDEX(회사별_교통수단매핑!$C$2:$C$1000,MATCH(1,INDEX(($C$14=회사별_교통수단매핑!$A$2:$A$1000)*($Y258=회사별_교통수단매핑!$B$2:$B$1000),0),0)),"")</f>
        <v>철도/KTX/SRT</v>
      </c>
      <c r="E258" s="5">
        <v>1</v>
      </c>
      <c r="F258" s="42" t="s">
        <v>49</v>
      </c>
      <c r="G258" s="8" t="s">
        <v>284</v>
      </c>
      <c r="H258" s="12"/>
      <c r="I258" s="5">
        <f t="shared" si="3"/>
        <v>1</v>
      </c>
      <c r="J258" s="5"/>
      <c r="K258" s="5"/>
      <c r="L258" s="5"/>
      <c r="M258" s="5"/>
      <c r="N258" s="5"/>
      <c r="O258" s="5">
        <v>1</v>
      </c>
      <c r="P258" s="5"/>
      <c r="Q258" s="5"/>
      <c r="R258" s="5"/>
      <c r="S258" s="5"/>
      <c r="T258" s="5"/>
      <c r="U258" s="5"/>
      <c r="V258" s="6"/>
      <c r="W258" s="7">
        <v>3.5460000000000003E-5</v>
      </c>
      <c r="X258" s="7">
        <v>2.4175055371726761E-2</v>
      </c>
      <c r="Y258" s="41" t="s">
        <v>134</v>
      </c>
    </row>
    <row r="259" spans="2:25" ht="17.100000000000001" customHeight="1">
      <c r="B259" s="5" t="s">
        <v>41</v>
      </c>
      <c r="C259" s="40" t="s">
        <v>181</v>
      </c>
      <c r="D259" s="5" t="str">
        <f>IFERROR(INDEX(회사별_교통수단매핑!$C$2:$C$1000,MATCH(1,INDEX(($C$14=회사별_교통수단매핑!$A$2:$A$1000)*($Y259=회사별_교통수단매핑!$B$2:$B$1000),0),0)),"")</f>
        <v>철도/KTX/SRT</v>
      </c>
      <c r="E259" s="5">
        <v>1</v>
      </c>
      <c r="F259" s="42" t="s">
        <v>49</v>
      </c>
      <c r="G259" s="8" t="s">
        <v>124</v>
      </c>
      <c r="H259" s="12"/>
      <c r="I259" s="5">
        <f t="shared" si="3"/>
        <v>4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>
        <v>2</v>
      </c>
      <c r="U259" s="5">
        <v>2</v>
      </c>
      <c r="V259" s="6"/>
      <c r="W259" s="7">
        <v>3.5460000000000003E-5</v>
      </c>
      <c r="X259" s="7">
        <v>9.9288000000000001E-2</v>
      </c>
      <c r="Y259" s="41" t="s">
        <v>134</v>
      </c>
    </row>
    <row r="260" spans="2:25" ht="17.100000000000001" customHeight="1">
      <c r="B260" s="5" t="s">
        <v>41</v>
      </c>
      <c r="C260" s="40" t="s">
        <v>181</v>
      </c>
      <c r="D260" s="5" t="str">
        <f>IFERROR(INDEX(회사별_교통수단매핑!$C$2:$C$1000,MATCH(1,INDEX(($C$14=회사별_교통수단매핑!$A$2:$A$1000)*($Y260=회사별_교통수단매핑!$B$2:$B$1000),0),0)),"")</f>
        <v>철도/KTX/SRT</v>
      </c>
      <c r="E260" s="5">
        <v>1</v>
      </c>
      <c r="F260" s="42" t="s">
        <v>49</v>
      </c>
      <c r="G260" s="8" t="s">
        <v>285</v>
      </c>
      <c r="H260" s="12"/>
      <c r="I260" s="5">
        <f t="shared" si="3"/>
        <v>1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>
        <v>1</v>
      </c>
      <c r="V260" s="6"/>
      <c r="W260" s="7">
        <v>3.5460000000000003E-5</v>
      </c>
      <c r="X260" s="7">
        <v>2.48407235378699E-2</v>
      </c>
      <c r="Y260" s="41" t="s">
        <v>134</v>
      </c>
    </row>
    <row r="261" spans="2:25" ht="17.100000000000001" customHeight="1">
      <c r="B261" s="5" t="s">
        <v>41</v>
      </c>
      <c r="C261" s="40" t="s">
        <v>181</v>
      </c>
      <c r="D261" s="5" t="str">
        <f>IFERROR(INDEX(회사별_교통수단매핑!$C$2:$C$1000,MATCH(1,INDEX(($C$14=회사별_교통수단매핑!$A$2:$A$1000)*($Y261=회사별_교통수단매핑!$B$2:$B$1000),0),0)),"")</f>
        <v>철도/KTX/SRT</v>
      </c>
      <c r="E261" s="5">
        <v>1</v>
      </c>
      <c r="F261" s="42" t="s">
        <v>49</v>
      </c>
      <c r="G261" s="8" t="s">
        <v>286</v>
      </c>
      <c r="H261" s="12"/>
      <c r="I261" s="5">
        <f t="shared" si="3"/>
        <v>2</v>
      </c>
      <c r="J261" s="5"/>
      <c r="K261" s="5"/>
      <c r="L261" s="5"/>
      <c r="M261" s="5"/>
      <c r="N261" s="5"/>
      <c r="O261" s="5">
        <v>2</v>
      </c>
      <c r="P261" s="5"/>
      <c r="Q261" s="5"/>
      <c r="R261" s="5"/>
      <c r="S261" s="5"/>
      <c r="T261" s="5"/>
      <c r="U261" s="5"/>
      <c r="V261" s="6"/>
      <c r="W261" s="7">
        <v>3.5460000000000003E-5</v>
      </c>
      <c r="X261" s="7">
        <v>4.8350110743453523E-2</v>
      </c>
      <c r="Y261" s="41" t="s">
        <v>134</v>
      </c>
    </row>
    <row r="262" spans="2:25" ht="17.100000000000001" customHeight="1">
      <c r="B262" s="5" t="s">
        <v>41</v>
      </c>
      <c r="C262" s="40" t="s">
        <v>181</v>
      </c>
      <c r="D262" s="5" t="str">
        <f>IFERROR(INDEX(회사별_교통수단매핑!$C$2:$C$1000,MATCH(1,INDEX(($C$14=회사별_교통수단매핑!$A$2:$A$1000)*($Y262=회사별_교통수단매핑!$B$2:$B$1000),0),0)),"")</f>
        <v>철도/KTX/SRT</v>
      </c>
      <c r="E262" s="5">
        <v>1</v>
      </c>
      <c r="F262" s="42" t="s">
        <v>49</v>
      </c>
      <c r="G262" s="8" t="s">
        <v>287</v>
      </c>
      <c r="H262" s="12"/>
      <c r="I262" s="5">
        <f t="shared" si="3"/>
        <v>1</v>
      </c>
      <c r="J262" s="5"/>
      <c r="K262" s="5"/>
      <c r="L262" s="5"/>
      <c r="M262" s="5"/>
      <c r="N262" s="5"/>
      <c r="O262" s="5"/>
      <c r="P262" s="5">
        <v>1</v>
      </c>
      <c r="Q262" s="5"/>
      <c r="R262" s="5"/>
      <c r="S262" s="5"/>
      <c r="T262" s="5"/>
      <c r="U262" s="5"/>
      <c r="V262" s="6"/>
      <c r="W262" s="7">
        <v>3.5460000000000003E-5</v>
      </c>
      <c r="X262" s="7">
        <v>2.48407235378699E-2</v>
      </c>
      <c r="Y262" s="41" t="s">
        <v>134</v>
      </c>
    </row>
    <row r="263" spans="2:25" ht="17.100000000000001" customHeight="1">
      <c r="B263" s="5" t="s">
        <v>41</v>
      </c>
      <c r="C263" s="40" t="s">
        <v>181</v>
      </c>
      <c r="D263" s="5" t="str">
        <f>IFERROR(INDEX(회사별_교통수단매핑!$C$2:$C$1000,MATCH(1,INDEX(($C$14=회사별_교통수단매핑!$A$2:$A$1000)*($Y263=회사별_교통수단매핑!$B$2:$B$1000),0),0)),"")</f>
        <v>철도/KTX/SRT</v>
      </c>
      <c r="E263" s="5">
        <v>1</v>
      </c>
      <c r="F263" s="42" t="s">
        <v>49</v>
      </c>
      <c r="G263" s="8" t="s">
        <v>145</v>
      </c>
      <c r="H263" s="12"/>
      <c r="I263" s="5">
        <f t="shared" si="3"/>
        <v>1</v>
      </c>
      <c r="J263" s="5"/>
      <c r="K263" s="5"/>
      <c r="L263" s="5"/>
      <c r="M263" s="5"/>
      <c r="N263" s="5"/>
      <c r="O263" s="5"/>
      <c r="P263" s="5"/>
      <c r="Q263" s="5"/>
      <c r="R263" s="5"/>
      <c r="S263" s="5">
        <v>1</v>
      </c>
      <c r="T263" s="5"/>
      <c r="U263" s="5"/>
      <c r="V263" s="6"/>
      <c r="W263" s="7">
        <v>3.5460000000000003E-5</v>
      </c>
      <c r="X263" s="7">
        <v>1.520935245036509E-2</v>
      </c>
      <c r="Y263" s="41" t="s">
        <v>134</v>
      </c>
    </row>
    <row r="264" spans="2:25" ht="17.100000000000001" customHeight="1">
      <c r="B264" s="5" t="s">
        <v>41</v>
      </c>
      <c r="C264" s="40" t="s">
        <v>181</v>
      </c>
      <c r="D264" s="5" t="str">
        <f>IFERROR(INDEX(회사별_교통수단매핑!$C$2:$C$1000,MATCH(1,INDEX(($C$14=회사별_교통수단매핑!$A$2:$A$1000)*($Y264=회사별_교통수단매핑!$B$2:$B$1000),0),0)),"")</f>
        <v>철도/KTX/SRT</v>
      </c>
      <c r="E264" s="5">
        <v>1</v>
      </c>
      <c r="F264" s="42" t="s">
        <v>49</v>
      </c>
      <c r="G264" s="8" t="s">
        <v>91</v>
      </c>
      <c r="H264" s="12"/>
      <c r="I264" s="5">
        <f t="shared" si="3"/>
        <v>1</v>
      </c>
      <c r="J264" s="5"/>
      <c r="K264" s="5"/>
      <c r="L264" s="5">
        <v>1</v>
      </c>
      <c r="M264" s="5"/>
      <c r="N264" s="5"/>
      <c r="O264" s="5"/>
      <c r="P264" s="5"/>
      <c r="Q264" s="5"/>
      <c r="R264" s="5"/>
      <c r="S264" s="5"/>
      <c r="T264" s="5"/>
      <c r="U264" s="5"/>
      <c r="V264" s="6"/>
      <c r="W264" s="7">
        <v>3.5460000000000003E-5</v>
      </c>
      <c r="X264" s="7">
        <v>1.6510462854010931E-2</v>
      </c>
      <c r="Y264" s="41" t="s">
        <v>134</v>
      </c>
    </row>
    <row r="265" spans="2:25" ht="17.100000000000001" customHeight="1">
      <c r="B265" s="5" t="s">
        <v>41</v>
      </c>
      <c r="C265" s="40" t="s">
        <v>181</v>
      </c>
      <c r="D265" s="5" t="str">
        <f>IFERROR(INDEX(회사별_교통수단매핑!$C$2:$C$1000,MATCH(1,INDEX(($C$14=회사별_교통수단매핑!$A$2:$A$1000)*($Y265=회사별_교통수단매핑!$B$2:$B$1000),0),0)),"")</f>
        <v>철도/KTX/SRT</v>
      </c>
      <c r="E265" s="5">
        <v>1</v>
      </c>
      <c r="F265" s="42" t="s">
        <v>49</v>
      </c>
      <c r="G265" s="8" t="s">
        <v>95</v>
      </c>
      <c r="H265" s="12"/>
      <c r="I265" s="5">
        <f t="shared" si="3"/>
        <v>1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>
        <v>1</v>
      </c>
      <c r="U265" s="5"/>
      <c r="V265" s="6"/>
      <c r="W265" s="7">
        <v>3.5460000000000003E-5</v>
      </c>
      <c r="X265" s="7">
        <v>1.6510462854010931E-2</v>
      </c>
      <c r="Y265" s="41" t="s">
        <v>134</v>
      </c>
    </row>
    <row r="266" spans="2:25" ht="17.100000000000001" customHeight="1">
      <c r="B266" s="5" t="s">
        <v>41</v>
      </c>
      <c r="C266" s="40" t="s">
        <v>181</v>
      </c>
      <c r="D266" s="5" t="str">
        <f>IFERROR(INDEX(회사별_교통수단매핑!$C$2:$C$1000,MATCH(1,INDEX(($C$14=회사별_교통수단매핑!$A$2:$A$1000)*($Y266=회사별_교통수단매핑!$B$2:$B$1000),0),0)),"")</f>
        <v>철도/KTX/SRT</v>
      </c>
      <c r="E266" s="5">
        <v>1</v>
      </c>
      <c r="F266" s="42" t="s">
        <v>49</v>
      </c>
      <c r="G266" s="8" t="s">
        <v>201</v>
      </c>
      <c r="H266" s="12"/>
      <c r="I266" s="5">
        <f t="shared" si="3"/>
        <v>1</v>
      </c>
      <c r="J266" s="5"/>
      <c r="K266" s="5"/>
      <c r="L266" s="5"/>
      <c r="M266" s="5"/>
      <c r="N266" s="5">
        <v>1</v>
      </c>
      <c r="O266" s="5"/>
      <c r="P266" s="5"/>
      <c r="Q266" s="5"/>
      <c r="R266" s="5"/>
      <c r="S266" s="5"/>
      <c r="T266" s="5"/>
      <c r="U266" s="5"/>
      <c r="V266" s="6"/>
      <c r="W266" s="7">
        <v>3.5460000000000003E-5</v>
      </c>
      <c r="X266" s="7">
        <v>1.6510462854010931E-2</v>
      </c>
      <c r="Y266" s="41" t="s">
        <v>134</v>
      </c>
    </row>
    <row r="267" spans="2:25" ht="17.100000000000001" customHeight="1">
      <c r="B267" s="5" t="s">
        <v>41</v>
      </c>
      <c r="C267" s="40" t="s">
        <v>181</v>
      </c>
      <c r="D267" s="5" t="str">
        <f>IFERROR(INDEX(회사별_교통수단매핑!$C$2:$C$1000,MATCH(1,INDEX(($C$14=회사별_교통수단매핑!$A$2:$A$1000)*($Y267=회사별_교통수단매핑!$B$2:$B$1000),0),0)),"")</f>
        <v>철도/KTX/SRT</v>
      </c>
      <c r="E267" s="5">
        <v>1</v>
      </c>
      <c r="F267" s="42" t="s">
        <v>49</v>
      </c>
      <c r="G267" s="8" t="s">
        <v>288</v>
      </c>
      <c r="H267" s="12"/>
      <c r="I267" s="5">
        <f t="shared" si="3"/>
        <v>2</v>
      </c>
      <c r="J267" s="5"/>
      <c r="K267" s="5"/>
      <c r="L267" s="5"/>
      <c r="M267" s="5"/>
      <c r="N267" s="5">
        <v>2</v>
      </c>
      <c r="O267" s="5"/>
      <c r="P267" s="5"/>
      <c r="Q267" s="5"/>
      <c r="R267" s="5"/>
      <c r="S267" s="5"/>
      <c r="T267" s="5"/>
      <c r="U267" s="5"/>
      <c r="V267" s="6"/>
      <c r="W267" s="7">
        <v>3.5460000000000003E-5</v>
      </c>
      <c r="X267" s="7">
        <v>3.302092570802187E-2</v>
      </c>
      <c r="Y267" s="41" t="s">
        <v>134</v>
      </c>
    </row>
    <row r="268" spans="2:25" ht="17.100000000000001" customHeight="1">
      <c r="B268" s="5" t="s">
        <v>41</v>
      </c>
      <c r="C268" s="40" t="s">
        <v>181</v>
      </c>
      <c r="D268" s="5" t="str">
        <f>IFERROR(INDEX(회사별_교통수단매핑!$C$2:$C$1000,MATCH(1,INDEX(($C$14=회사별_교통수단매핑!$A$2:$A$1000)*($Y268=회사별_교통수단매핑!$B$2:$B$1000),0),0)),"")</f>
        <v>철도/KTX/SRT</v>
      </c>
      <c r="E268" s="5">
        <v>1</v>
      </c>
      <c r="F268" s="42" t="s">
        <v>49</v>
      </c>
      <c r="G268" s="8" t="s">
        <v>120</v>
      </c>
      <c r="H268" s="12"/>
      <c r="I268" s="5">
        <f t="shared" si="3"/>
        <v>2</v>
      </c>
      <c r="J268" s="5"/>
      <c r="K268" s="5"/>
      <c r="L268" s="5"/>
      <c r="M268" s="5">
        <v>1</v>
      </c>
      <c r="N268" s="5">
        <v>1</v>
      </c>
      <c r="O268" s="5"/>
      <c r="P268" s="5"/>
      <c r="Q268" s="5"/>
      <c r="R268" s="5"/>
      <c r="S268" s="5"/>
      <c r="T268" s="5"/>
      <c r="U268" s="5"/>
      <c r="V268" s="6"/>
      <c r="W268" s="7">
        <v>3.5460000000000003E-5</v>
      </c>
      <c r="X268" s="7">
        <v>8.1718384108275852E-2</v>
      </c>
      <c r="Y268" s="41" t="s">
        <v>134</v>
      </c>
    </row>
    <row r="269" spans="2:25" ht="17.100000000000001" customHeight="1">
      <c r="B269" s="5" t="s">
        <v>41</v>
      </c>
      <c r="C269" s="40" t="s">
        <v>181</v>
      </c>
      <c r="D269" s="5" t="str">
        <f>IFERROR(INDEX(회사별_교통수단매핑!$C$2:$C$1000,MATCH(1,INDEX(($C$14=회사별_교통수단매핑!$A$2:$A$1000)*($Y269=회사별_교통수단매핑!$B$2:$B$1000),0),0)),"")</f>
        <v>철도/KTX/SRT</v>
      </c>
      <c r="E269" s="5">
        <v>1</v>
      </c>
      <c r="F269" s="42" t="s">
        <v>49</v>
      </c>
      <c r="G269" s="8" t="s">
        <v>203</v>
      </c>
      <c r="H269" s="12"/>
      <c r="I269" s="5">
        <f t="shared" si="3"/>
        <v>1</v>
      </c>
      <c r="J269" s="5"/>
      <c r="K269" s="5"/>
      <c r="L269" s="5">
        <v>1</v>
      </c>
      <c r="M269" s="5"/>
      <c r="N269" s="5"/>
      <c r="O269" s="5"/>
      <c r="P269" s="5"/>
      <c r="Q269" s="5"/>
      <c r="R269" s="5"/>
      <c r="S269" s="5"/>
      <c r="T269" s="5"/>
      <c r="U269" s="5"/>
      <c r="V269" s="6"/>
      <c r="W269" s="7">
        <v>3.5460000000000003E-5</v>
      </c>
      <c r="X269" s="7">
        <v>8.9218986924708109E-3</v>
      </c>
      <c r="Y269" s="41" t="s">
        <v>134</v>
      </c>
    </row>
    <row r="270" spans="2:25" ht="17.100000000000001" customHeight="1">
      <c r="B270" s="5" t="s">
        <v>41</v>
      </c>
      <c r="C270" s="40" t="s">
        <v>181</v>
      </c>
      <c r="D270" s="5" t="str">
        <f>IFERROR(INDEX(회사별_교통수단매핑!$C$2:$C$1000,MATCH(1,INDEX(($C$14=회사별_교통수단매핑!$A$2:$A$1000)*($Y270=회사별_교통수단매핑!$B$2:$B$1000),0),0)),"")</f>
        <v>철도/KTX/SRT</v>
      </c>
      <c r="E270" s="5">
        <v>1</v>
      </c>
      <c r="F270" s="42" t="s">
        <v>49</v>
      </c>
      <c r="G270" s="8" t="s">
        <v>289</v>
      </c>
      <c r="H270" s="12"/>
      <c r="I270" s="5">
        <f t="shared" si="3"/>
        <v>2</v>
      </c>
      <c r="J270" s="5"/>
      <c r="K270" s="5"/>
      <c r="L270" s="5"/>
      <c r="M270" s="5"/>
      <c r="N270" s="5"/>
      <c r="O270" s="5"/>
      <c r="P270" s="5">
        <v>2</v>
      </c>
      <c r="Q270" s="5"/>
      <c r="R270" s="5"/>
      <c r="S270" s="5"/>
      <c r="T270" s="5"/>
      <c r="U270" s="5"/>
      <c r="V270" s="6"/>
      <c r="W270" s="7">
        <v>3.5460000000000003E-5</v>
      </c>
      <c r="X270" s="7">
        <v>1.9098564929595309E-2</v>
      </c>
      <c r="Y270" s="41" t="s">
        <v>134</v>
      </c>
    </row>
    <row r="271" spans="2:25" ht="17.100000000000001" customHeight="1">
      <c r="B271" s="5" t="s">
        <v>41</v>
      </c>
      <c r="C271" s="40" t="s">
        <v>181</v>
      </c>
      <c r="D271" s="5" t="str">
        <f>IFERROR(INDEX(회사별_교통수단매핑!$C$2:$C$1000,MATCH(1,INDEX(($C$14=회사별_교통수단매핑!$A$2:$A$1000)*($Y271=회사별_교통수단매핑!$B$2:$B$1000),0),0)),"")</f>
        <v>철도/KTX/SRT</v>
      </c>
      <c r="E271" s="5">
        <v>1</v>
      </c>
      <c r="F271" s="42" t="s">
        <v>49</v>
      </c>
      <c r="G271" s="8" t="s">
        <v>290</v>
      </c>
      <c r="H271" s="12"/>
      <c r="I271" s="5">
        <f t="shared" si="3"/>
        <v>2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>
        <v>2</v>
      </c>
      <c r="U271" s="5"/>
      <c r="V271" s="6"/>
      <c r="W271" s="7">
        <v>3.5460000000000003E-5</v>
      </c>
      <c r="X271" s="7">
        <v>1.9098564929595309E-2</v>
      </c>
      <c r="Y271" s="41" t="s">
        <v>134</v>
      </c>
    </row>
    <row r="272" spans="2:25" ht="17.100000000000001" customHeight="1">
      <c r="B272" s="5" t="s">
        <v>41</v>
      </c>
      <c r="C272" s="40" t="s">
        <v>181</v>
      </c>
      <c r="D272" s="5" t="str">
        <f>IFERROR(INDEX(회사별_교통수단매핑!$C$2:$C$1000,MATCH(1,INDEX(($C$14=회사별_교통수단매핑!$A$2:$A$1000)*($Y272=회사별_교통수단매핑!$B$2:$B$1000),0),0)),"")</f>
        <v>철도/KTX/SRT</v>
      </c>
      <c r="E272" s="5">
        <v>1</v>
      </c>
      <c r="F272" s="42" t="s">
        <v>49</v>
      </c>
      <c r="G272" s="8" t="s">
        <v>204</v>
      </c>
      <c r="H272" s="12"/>
      <c r="I272" s="5">
        <f t="shared" si="3"/>
        <v>2</v>
      </c>
      <c r="J272" s="5"/>
      <c r="K272" s="5"/>
      <c r="L272" s="5"/>
      <c r="M272" s="5">
        <v>2</v>
      </c>
      <c r="N272" s="5"/>
      <c r="O272" s="5"/>
      <c r="P272" s="5"/>
      <c r="Q272" s="5"/>
      <c r="R272" s="5"/>
      <c r="S272" s="5"/>
      <c r="T272" s="5"/>
      <c r="U272" s="5"/>
      <c r="V272" s="6"/>
      <c r="W272" s="7">
        <v>3.5460000000000003E-5</v>
      </c>
      <c r="X272" s="7">
        <v>1.685335607433697E-2</v>
      </c>
      <c r="Y272" s="41" t="s">
        <v>134</v>
      </c>
    </row>
    <row r="273" spans="2:25" ht="17.100000000000001" customHeight="1">
      <c r="B273" s="5" t="s">
        <v>41</v>
      </c>
      <c r="C273" s="40" t="s">
        <v>181</v>
      </c>
      <c r="D273" s="5" t="str">
        <f>IFERROR(INDEX(회사별_교통수단매핑!$C$2:$C$1000,MATCH(1,INDEX(($C$14=회사별_교통수단매핑!$A$2:$A$1000)*($Y273=회사별_교통수단매핑!$B$2:$B$1000),0),0)),"")</f>
        <v>철도/KTX/SRT</v>
      </c>
      <c r="E273" s="5">
        <v>1</v>
      </c>
      <c r="F273" s="42" t="s">
        <v>49</v>
      </c>
      <c r="G273" s="8" t="s">
        <v>148</v>
      </c>
      <c r="H273" s="12"/>
      <c r="I273" s="5">
        <f t="shared" si="3"/>
        <v>2</v>
      </c>
      <c r="J273" s="5"/>
      <c r="K273" s="5"/>
      <c r="L273" s="5"/>
      <c r="M273" s="5"/>
      <c r="N273" s="5"/>
      <c r="O273" s="5">
        <v>2</v>
      </c>
      <c r="P273" s="5"/>
      <c r="Q273" s="5"/>
      <c r="R273" s="5"/>
      <c r="S273" s="5"/>
      <c r="T273" s="5"/>
      <c r="U273" s="5"/>
      <c r="V273" s="6"/>
      <c r="W273" s="7">
        <v>3.5460000000000003E-5</v>
      </c>
      <c r="X273" s="7">
        <v>1.434609415039074E-2</v>
      </c>
      <c r="Y273" s="41" t="s">
        <v>134</v>
      </c>
    </row>
    <row r="274" spans="2:25" ht="17.100000000000001" customHeight="1">
      <c r="B274" s="5" t="s">
        <v>41</v>
      </c>
      <c r="C274" s="40" t="s">
        <v>181</v>
      </c>
      <c r="D274" s="5" t="str">
        <f>IFERROR(INDEX(회사별_교통수단매핑!$C$2:$C$1000,MATCH(1,INDEX(($C$14=회사별_교통수단매핑!$A$2:$A$1000)*($Y274=회사별_교통수단매핑!$B$2:$B$1000),0),0)),"")</f>
        <v>철도/KTX/SRT</v>
      </c>
      <c r="E274" s="5">
        <v>1</v>
      </c>
      <c r="F274" s="42" t="s">
        <v>49</v>
      </c>
      <c r="G274" s="8" t="s">
        <v>206</v>
      </c>
      <c r="H274" s="12"/>
      <c r="I274" s="5">
        <f t="shared" si="3"/>
        <v>2</v>
      </c>
      <c r="J274" s="5"/>
      <c r="K274" s="5"/>
      <c r="L274" s="5"/>
      <c r="M274" s="5"/>
      <c r="N274" s="5"/>
      <c r="O274" s="5">
        <v>2</v>
      </c>
      <c r="P274" s="5"/>
      <c r="Q274" s="5"/>
      <c r="R274" s="5"/>
      <c r="S274" s="5"/>
      <c r="T274" s="5"/>
      <c r="U274" s="5"/>
      <c r="V274" s="6"/>
      <c r="W274" s="7">
        <v>3.5460000000000003E-5</v>
      </c>
      <c r="X274" s="7">
        <v>1.797246715160826E-2</v>
      </c>
      <c r="Y274" s="41" t="s">
        <v>134</v>
      </c>
    </row>
    <row r="275" spans="2:25" ht="17.100000000000001" customHeight="1">
      <c r="B275" s="5" t="s">
        <v>41</v>
      </c>
      <c r="C275" s="40" t="s">
        <v>291</v>
      </c>
      <c r="D275" s="5" t="str">
        <f>IFERROR(INDEX(회사별_교통수단매핑!$C$2:$C$1000,MATCH(1,INDEX(($C$14=회사별_교통수단매핑!$A$2:$A$1000)*($Y275=회사별_교통수단매핑!$B$2:$B$1000),0),0)),"")</f>
        <v>장거리버스/코치</v>
      </c>
      <c r="E275" s="5">
        <v>1</v>
      </c>
      <c r="F275" s="42" t="s">
        <v>199</v>
      </c>
      <c r="G275" s="8" t="s">
        <v>292</v>
      </c>
      <c r="H275" s="12"/>
      <c r="I275" s="5">
        <f t="shared" si="3"/>
        <v>1</v>
      </c>
      <c r="J275" s="5"/>
      <c r="K275" s="5"/>
      <c r="L275" s="5"/>
      <c r="M275" s="5"/>
      <c r="N275" s="5"/>
      <c r="O275" s="5"/>
      <c r="P275" s="5"/>
      <c r="Q275" s="5"/>
      <c r="R275" s="5">
        <v>1</v>
      </c>
      <c r="S275" s="5"/>
      <c r="T275" s="5"/>
      <c r="U275" s="5"/>
      <c r="V275" s="6"/>
      <c r="W275" s="7">
        <v>1.0385E-4</v>
      </c>
      <c r="X275" s="7">
        <v>3.340727441027487E-2</v>
      </c>
      <c r="Y275" s="41" t="s">
        <v>45</v>
      </c>
    </row>
    <row r="276" spans="2:25" ht="17.100000000000001" customHeight="1">
      <c r="B276" s="5" t="s">
        <v>41</v>
      </c>
      <c r="C276" s="40" t="s">
        <v>291</v>
      </c>
      <c r="D276" s="5" t="str">
        <f>IFERROR(INDEX(회사별_교통수단매핑!$C$2:$C$1000,MATCH(1,INDEX(($C$14=회사별_교통수단매핑!$A$2:$A$1000)*($Y276=회사별_교통수단매핑!$B$2:$B$1000),0),0)),"")</f>
        <v>장거리버스/코치</v>
      </c>
      <c r="E276" s="5">
        <v>1</v>
      </c>
      <c r="F276" s="42" t="s">
        <v>199</v>
      </c>
      <c r="G276" s="8" t="s">
        <v>49</v>
      </c>
      <c r="H276" s="12"/>
      <c r="I276" s="5">
        <f t="shared" si="3"/>
        <v>2</v>
      </c>
      <c r="J276" s="5"/>
      <c r="K276" s="5"/>
      <c r="L276" s="5"/>
      <c r="M276" s="5"/>
      <c r="N276" s="5">
        <v>1</v>
      </c>
      <c r="O276" s="5"/>
      <c r="P276" s="5"/>
      <c r="Q276" s="5"/>
      <c r="R276" s="5"/>
      <c r="S276" s="5"/>
      <c r="T276" s="5">
        <v>1</v>
      </c>
      <c r="U276" s="5"/>
      <c r="V276" s="6"/>
      <c r="W276" s="7">
        <v>1.0385E-4</v>
      </c>
      <c r="X276" s="7">
        <v>6.6814548820549741E-2</v>
      </c>
      <c r="Y276" s="41" t="s">
        <v>45</v>
      </c>
    </row>
    <row r="277" spans="2:25" ht="17.100000000000001" customHeight="1">
      <c r="B277" s="5" t="s">
        <v>41</v>
      </c>
      <c r="C277" s="40" t="s">
        <v>291</v>
      </c>
      <c r="D277" s="5" t="str">
        <f>IFERROR(INDEX(회사별_교통수단매핑!$C$2:$C$1000,MATCH(1,INDEX(($C$14=회사별_교통수단매핑!$A$2:$A$1000)*($Y277=회사별_교통수단매핑!$B$2:$B$1000),0),0)),"")</f>
        <v>국내선 항공</v>
      </c>
      <c r="E277" s="5">
        <v>1</v>
      </c>
      <c r="F277" s="42" t="s">
        <v>199</v>
      </c>
      <c r="G277" s="8" t="s">
        <v>120</v>
      </c>
      <c r="H277" s="12"/>
      <c r="I277" s="5">
        <f t="shared" ref="I277:I340" si="4">IF(SUM(J277:U277)=0,"",SUM(J277:U277))</f>
        <v>2</v>
      </c>
      <c r="J277" s="5"/>
      <c r="K277" s="5"/>
      <c r="L277" s="5">
        <v>2</v>
      </c>
      <c r="M277" s="5"/>
      <c r="N277" s="5"/>
      <c r="O277" s="5"/>
      <c r="P277" s="5"/>
      <c r="Q277" s="5"/>
      <c r="R277" s="5"/>
      <c r="S277" s="5"/>
      <c r="T277" s="5"/>
      <c r="U277" s="5"/>
      <c r="V277" s="6"/>
      <c r="W277" s="7">
        <v>1.4253000000000001E-4</v>
      </c>
      <c r="X277" s="7">
        <v>0.2245280849048279</v>
      </c>
      <c r="Y277" s="41" t="s">
        <v>116</v>
      </c>
    </row>
    <row r="278" spans="2:25" ht="17.100000000000001" customHeight="1">
      <c r="B278" s="5" t="s">
        <v>41</v>
      </c>
      <c r="C278" s="40" t="s">
        <v>291</v>
      </c>
      <c r="D278" s="5" t="str">
        <f>IFERROR(INDEX(회사별_교통수단매핑!$C$2:$C$1000,MATCH(1,INDEX(($C$14=회사별_교통수단매핑!$A$2:$A$1000)*($Y278=회사별_교통수단매핑!$B$2:$B$1000),0),0)),"")</f>
        <v>승용차(평균)</v>
      </c>
      <c r="E278" s="5">
        <v>1</v>
      </c>
      <c r="F278" s="42" t="s">
        <v>199</v>
      </c>
      <c r="G278" s="8" t="s">
        <v>293</v>
      </c>
      <c r="H278" s="12"/>
      <c r="I278" s="5">
        <f t="shared" si="4"/>
        <v>1</v>
      </c>
      <c r="J278" s="5"/>
      <c r="K278" s="5"/>
      <c r="L278" s="5"/>
      <c r="M278" s="5"/>
      <c r="N278" s="5"/>
      <c r="O278" s="5"/>
      <c r="P278" s="5"/>
      <c r="Q278" s="5">
        <v>1</v>
      </c>
      <c r="R278" s="5"/>
      <c r="S278" s="5"/>
      <c r="T278" s="5"/>
      <c r="U278" s="5"/>
      <c r="V278" s="6"/>
      <c r="W278" s="7">
        <v>1.7304000000000001E-4</v>
      </c>
      <c r="X278" s="7">
        <v>6.4853251639963852E-3</v>
      </c>
      <c r="Y278" s="41" t="s">
        <v>122</v>
      </c>
    </row>
    <row r="279" spans="2:25" ht="17.100000000000001" customHeight="1">
      <c r="B279" s="5" t="s">
        <v>41</v>
      </c>
      <c r="C279" s="40" t="s">
        <v>291</v>
      </c>
      <c r="D279" s="5" t="str">
        <f>IFERROR(INDEX(회사별_교통수단매핑!$C$2:$C$1000,MATCH(1,INDEX(($C$14=회사별_교통수단매핑!$A$2:$A$1000)*($Y279=회사별_교통수단매핑!$B$2:$B$1000),0),0)),"")</f>
        <v>승용차(평균)</v>
      </c>
      <c r="E279" s="5">
        <v>1</v>
      </c>
      <c r="F279" s="42" t="s">
        <v>199</v>
      </c>
      <c r="G279" s="8" t="s">
        <v>294</v>
      </c>
      <c r="H279" s="12"/>
      <c r="I279" s="5">
        <f t="shared" si="4"/>
        <v>2</v>
      </c>
      <c r="J279" s="5"/>
      <c r="K279" s="5"/>
      <c r="L279" s="5"/>
      <c r="M279" s="5"/>
      <c r="N279" s="5"/>
      <c r="O279" s="5"/>
      <c r="P279" s="5"/>
      <c r="Q279" s="5">
        <v>2</v>
      </c>
      <c r="R279" s="5"/>
      <c r="S279" s="5"/>
      <c r="T279" s="5"/>
      <c r="U279" s="5"/>
      <c r="V279" s="6"/>
      <c r="W279" s="7">
        <v>1.7304000000000001E-4</v>
      </c>
      <c r="X279" s="7">
        <v>4.100743638164242E-2</v>
      </c>
      <c r="Y279" s="41" t="s">
        <v>122</v>
      </c>
    </row>
    <row r="280" spans="2:25" ht="17.100000000000001" customHeight="1">
      <c r="B280" s="5" t="s">
        <v>41</v>
      </c>
      <c r="C280" s="40" t="s">
        <v>291</v>
      </c>
      <c r="D280" s="5" t="str">
        <f>IFERROR(INDEX(회사별_교통수단매핑!$C$2:$C$1000,MATCH(1,INDEX(($C$14=회사별_교통수단매핑!$A$2:$A$1000)*($Y280=회사별_교통수단매핑!$B$2:$B$1000),0),0)),"")</f>
        <v>승용차(평균)</v>
      </c>
      <c r="E280" s="5">
        <v>1</v>
      </c>
      <c r="F280" s="42" t="s">
        <v>199</v>
      </c>
      <c r="G280" s="8" t="s">
        <v>295</v>
      </c>
      <c r="H280" s="12"/>
      <c r="I280" s="5">
        <f t="shared" si="4"/>
        <v>1</v>
      </c>
      <c r="J280" s="5"/>
      <c r="K280" s="5"/>
      <c r="L280" s="5"/>
      <c r="M280" s="5"/>
      <c r="N280" s="5"/>
      <c r="O280" s="5"/>
      <c r="P280" s="5"/>
      <c r="Q280" s="5">
        <v>1</v>
      </c>
      <c r="R280" s="5"/>
      <c r="S280" s="5"/>
      <c r="T280" s="5"/>
      <c r="U280" s="5"/>
      <c r="V280" s="6"/>
      <c r="W280" s="7">
        <v>1.7304000000000001E-4</v>
      </c>
      <c r="X280" s="7">
        <v>7.9822424441681611E-3</v>
      </c>
      <c r="Y280" s="41" t="s">
        <v>122</v>
      </c>
    </row>
    <row r="281" spans="2:25" ht="17.100000000000001" customHeight="1">
      <c r="B281" s="5" t="s">
        <v>41</v>
      </c>
      <c r="C281" s="40" t="s">
        <v>291</v>
      </c>
      <c r="D281" s="5" t="str">
        <f>IFERROR(INDEX(회사별_교통수단매핑!$C$2:$C$1000,MATCH(1,INDEX(($C$14=회사별_교통수단매핑!$A$2:$A$1000)*($Y281=회사별_교통수단매핑!$B$2:$B$1000),0),0)),"")</f>
        <v>승용차(평균)</v>
      </c>
      <c r="E281" s="5">
        <v>1</v>
      </c>
      <c r="F281" s="42" t="s">
        <v>199</v>
      </c>
      <c r="G281" s="8" t="s">
        <v>296</v>
      </c>
      <c r="H281" s="12"/>
      <c r="I281" s="5">
        <f t="shared" si="4"/>
        <v>2</v>
      </c>
      <c r="J281" s="5"/>
      <c r="K281" s="5"/>
      <c r="L281" s="5"/>
      <c r="M281" s="5"/>
      <c r="N281" s="5"/>
      <c r="O281" s="5"/>
      <c r="P281" s="5"/>
      <c r="Q281" s="5">
        <v>2</v>
      </c>
      <c r="R281" s="5"/>
      <c r="S281" s="5"/>
      <c r="T281" s="5"/>
      <c r="U281" s="5"/>
      <c r="V281" s="6"/>
      <c r="W281" s="7">
        <v>1.7304000000000001E-4</v>
      </c>
      <c r="X281" s="7">
        <v>7.4026969626837844E-2</v>
      </c>
      <c r="Y281" s="41" t="s">
        <v>122</v>
      </c>
    </row>
    <row r="282" spans="2:25" ht="17.100000000000001" customHeight="1">
      <c r="B282" s="5" t="s">
        <v>41</v>
      </c>
      <c r="C282" s="40" t="s">
        <v>291</v>
      </c>
      <c r="D282" s="5" t="str">
        <f>IFERROR(INDEX(회사별_교통수단매핑!$C$2:$C$1000,MATCH(1,INDEX(($C$14=회사별_교통수단매핑!$A$2:$A$1000)*($Y282=회사별_교통수단매핑!$B$2:$B$1000),0),0)),"")</f>
        <v>승용차(평균)</v>
      </c>
      <c r="E282" s="5">
        <v>1</v>
      </c>
      <c r="F282" s="42" t="s">
        <v>199</v>
      </c>
      <c r="G282" s="8" t="s">
        <v>297</v>
      </c>
      <c r="H282" s="12"/>
      <c r="I282" s="5">
        <f t="shared" si="4"/>
        <v>2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>
        <v>2</v>
      </c>
      <c r="U282" s="5"/>
      <c r="V282" s="6"/>
      <c r="W282" s="7">
        <v>1.7304000000000001E-4</v>
      </c>
      <c r="X282" s="7">
        <v>4.9489440000000003E-2</v>
      </c>
      <c r="Y282" s="41" t="s">
        <v>122</v>
      </c>
    </row>
    <row r="283" spans="2:25" ht="17.100000000000001" customHeight="1">
      <c r="B283" s="5" t="s">
        <v>41</v>
      </c>
      <c r="C283" s="40" t="s">
        <v>291</v>
      </c>
      <c r="D283" s="5" t="str">
        <f>IFERROR(INDEX(회사별_교통수단매핑!$C$2:$C$1000,MATCH(1,INDEX(($C$14=회사별_교통수단매핑!$A$2:$A$1000)*($Y283=회사별_교통수단매핑!$B$2:$B$1000),0),0)),"")</f>
        <v>승용차(평균)</v>
      </c>
      <c r="E283" s="5">
        <v>1</v>
      </c>
      <c r="F283" s="42" t="s">
        <v>199</v>
      </c>
      <c r="G283" s="8" t="s">
        <v>298</v>
      </c>
      <c r="H283" s="12"/>
      <c r="I283" s="5">
        <f t="shared" si="4"/>
        <v>1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>
        <v>1</v>
      </c>
      <c r="U283" s="5"/>
      <c r="V283" s="6"/>
      <c r="W283" s="7">
        <v>1.7304000000000001E-4</v>
      </c>
      <c r="X283" s="7">
        <v>1.8146992162892991E-2</v>
      </c>
      <c r="Y283" s="41" t="s">
        <v>122</v>
      </c>
    </row>
    <row r="284" spans="2:25" ht="17.100000000000001" customHeight="1">
      <c r="B284" s="5" t="s">
        <v>41</v>
      </c>
      <c r="C284" s="40" t="s">
        <v>291</v>
      </c>
      <c r="D284" s="5" t="str">
        <f>IFERROR(INDEX(회사별_교통수단매핑!$C$2:$C$1000,MATCH(1,INDEX(($C$14=회사별_교통수단매핑!$A$2:$A$1000)*($Y284=회사별_교통수단매핑!$B$2:$B$1000),0),0)),"")</f>
        <v>승용차(평균)</v>
      </c>
      <c r="E284" s="5">
        <v>1</v>
      </c>
      <c r="F284" s="42" t="s">
        <v>199</v>
      </c>
      <c r="G284" s="8" t="s">
        <v>299</v>
      </c>
      <c r="H284" s="12"/>
      <c r="I284" s="5">
        <f t="shared" si="4"/>
        <v>1</v>
      </c>
      <c r="J284" s="5"/>
      <c r="K284" s="5"/>
      <c r="L284" s="5"/>
      <c r="M284" s="5">
        <v>1</v>
      </c>
      <c r="N284" s="5"/>
      <c r="O284" s="5"/>
      <c r="P284" s="5"/>
      <c r="Q284" s="5"/>
      <c r="R284" s="5"/>
      <c r="S284" s="5"/>
      <c r="T284" s="5"/>
      <c r="U284" s="5"/>
      <c r="V284" s="6"/>
      <c r="W284" s="7">
        <v>1.7304000000000001E-4</v>
      </c>
      <c r="X284" s="7">
        <v>1.8146992162892991E-2</v>
      </c>
      <c r="Y284" s="41" t="s">
        <v>122</v>
      </c>
    </row>
    <row r="285" spans="2:25" ht="17.100000000000001" customHeight="1">
      <c r="B285" s="5" t="s">
        <v>41</v>
      </c>
      <c r="C285" s="40" t="s">
        <v>291</v>
      </c>
      <c r="D285" s="5" t="str">
        <f>IFERROR(INDEX(회사별_교통수단매핑!$C$2:$C$1000,MATCH(1,INDEX(($C$14=회사별_교통수단매핑!$A$2:$A$1000)*($Y285=회사별_교통수단매핑!$B$2:$B$1000),0),0)),"")</f>
        <v>승용차(평균)</v>
      </c>
      <c r="E285" s="5">
        <v>1</v>
      </c>
      <c r="F285" s="42" t="s">
        <v>199</v>
      </c>
      <c r="G285" s="8" t="s">
        <v>300</v>
      </c>
      <c r="H285" s="12"/>
      <c r="I285" s="5">
        <f t="shared" si="4"/>
        <v>1</v>
      </c>
      <c r="J285" s="5"/>
      <c r="K285" s="5"/>
      <c r="L285" s="5"/>
      <c r="M285" s="5"/>
      <c r="N285" s="5"/>
      <c r="O285" s="5">
        <v>1</v>
      </c>
      <c r="P285" s="5"/>
      <c r="Q285" s="5"/>
      <c r="R285" s="5"/>
      <c r="S285" s="5"/>
      <c r="T285" s="5"/>
      <c r="U285" s="5"/>
      <c r="V285" s="6"/>
      <c r="W285" s="7">
        <v>1.7304000000000001E-4</v>
      </c>
      <c r="X285" s="7">
        <v>2.6005062040636941E-2</v>
      </c>
      <c r="Y285" s="41" t="s">
        <v>122</v>
      </c>
    </row>
    <row r="286" spans="2:25" ht="17.100000000000001" customHeight="1">
      <c r="B286" s="5" t="s">
        <v>41</v>
      </c>
      <c r="C286" s="40" t="s">
        <v>291</v>
      </c>
      <c r="D286" s="5" t="str">
        <f>IFERROR(INDEX(회사별_교통수단매핑!$C$2:$C$1000,MATCH(1,INDEX(($C$14=회사별_교통수단매핑!$A$2:$A$1000)*($Y286=회사별_교통수단매핑!$B$2:$B$1000),0),0)),"")</f>
        <v>승용차(평균)</v>
      </c>
      <c r="E286" s="5">
        <v>1</v>
      </c>
      <c r="F286" s="42" t="s">
        <v>199</v>
      </c>
      <c r="G286" s="8" t="s">
        <v>301</v>
      </c>
      <c r="H286" s="12"/>
      <c r="I286" s="5">
        <f t="shared" si="4"/>
        <v>1</v>
      </c>
      <c r="J286" s="5"/>
      <c r="K286" s="5"/>
      <c r="L286" s="5"/>
      <c r="M286" s="5"/>
      <c r="N286" s="5">
        <v>1</v>
      </c>
      <c r="O286" s="5"/>
      <c r="P286" s="5"/>
      <c r="Q286" s="5"/>
      <c r="R286" s="5"/>
      <c r="S286" s="5"/>
      <c r="T286" s="5"/>
      <c r="U286" s="5"/>
      <c r="V286" s="6"/>
      <c r="W286" s="7">
        <v>1.7304000000000001E-4</v>
      </c>
      <c r="X286" s="7">
        <v>1.142399641665319E-2</v>
      </c>
      <c r="Y286" s="41" t="s">
        <v>122</v>
      </c>
    </row>
    <row r="287" spans="2:25" ht="17.100000000000001" customHeight="1">
      <c r="B287" s="5" t="s">
        <v>41</v>
      </c>
      <c r="C287" s="40" t="s">
        <v>291</v>
      </c>
      <c r="D287" s="5" t="str">
        <f>IFERROR(INDEX(회사별_교통수단매핑!$C$2:$C$1000,MATCH(1,INDEX(($C$14=회사별_교통수단매핑!$A$2:$A$1000)*($Y287=회사별_교통수단매핑!$B$2:$B$1000),0),0)),"")</f>
        <v>승용차(평균)</v>
      </c>
      <c r="E287" s="5">
        <v>1</v>
      </c>
      <c r="F287" s="42" t="s">
        <v>199</v>
      </c>
      <c r="G287" s="8" t="s">
        <v>302</v>
      </c>
      <c r="H287" s="12"/>
      <c r="I287" s="5">
        <f t="shared" si="4"/>
        <v>2</v>
      </c>
      <c r="J287" s="5"/>
      <c r="K287" s="5">
        <v>2</v>
      </c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6"/>
      <c r="W287" s="7">
        <v>1.7304000000000001E-4</v>
      </c>
      <c r="X287" s="7">
        <v>2.284799283330638E-2</v>
      </c>
      <c r="Y287" s="41" t="s">
        <v>122</v>
      </c>
    </row>
    <row r="288" spans="2:25" ht="17.100000000000001" customHeight="1">
      <c r="B288" s="5" t="s">
        <v>41</v>
      </c>
      <c r="C288" s="40" t="s">
        <v>291</v>
      </c>
      <c r="D288" s="5" t="str">
        <f>IFERROR(INDEX(회사별_교통수단매핑!$C$2:$C$1000,MATCH(1,INDEX(($C$14=회사별_교통수단매핑!$A$2:$A$1000)*($Y288=회사별_교통수단매핑!$B$2:$B$1000),0),0)),"")</f>
        <v>승용차(평균)</v>
      </c>
      <c r="E288" s="5">
        <v>1</v>
      </c>
      <c r="F288" s="42" t="s">
        <v>199</v>
      </c>
      <c r="G288" s="8" t="s">
        <v>303</v>
      </c>
      <c r="H288" s="12"/>
      <c r="I288" s="5">
        <f t="shared" si="4"/>
        <v>1</v>
      </c>
      <c r="J288" s="5"/>
      <c r="K288" s="5"/>
      <c r="L288" s="5"/>
      <c r="M288" s="5"/>
      <c r="N288" s="5"/>
      <c r="O288" s="5"/>
      <c r="P288" s="5">
        <v>1</v>
      </c>
      <c r="Q288" s="5"/>
      <c r="R288" s="5"/>
      <c r="S288" s="5"/>
      <c r="T288" s="5"/>
      <c r="U288" s="5"/>
      <c r="V288" s="6"/>
      <c r="W288" s="7">
        <v>1.7304000000000001E-4</v>
      </c>
      <c r="X288" s="7">
        <v>1.142399641665319E-2</v>
      </c>
      <c r="Y288" s="41" t="s">
        <v>122</v>
      </c>
    </row>
    <row r="289" spans="2:25" ht="17.100000000000001" customHeight="1">
      <c r="B289" s="5" t="s">
        <v>41</v>
      </c>
      <c r="C289" s="40" t="s">
        <v>291</v>
      </c>
      <c r="D289" s="5" t="str">
        <f>IFERROR(INDEX(회사별_교통수단매핑!$C$2:$C$1000,MATCH(1,INDEX(($C$14=회사별_교통수단매핑!$A$2:$A$1000)*($Y289=회사별_교통수단매핑!$B$2:$B$1000),0),0)),"")</f>
        <v>승용차(평균)</v>
      </c>
      <c r="E289" s="5">
        <v>1</v>
      </c>
      <c r="F289" s="42" t="s">
        <v>199</v>
      </c>
      <c r="G289" s="8" t="s">
        <v>148</v>
      </c>
      <c r="H289" s="12"/>
      <c r="I289" s="5">
        <f t="shared" si="4"/>
        <v>6</v>
      </c>
      <c r="J289" s="5"/>
      <c r="K289" s="5"/>
      <c r="L289" s="5"/>
      <c r="M289" s="5">
        <v>2</v>
      </c>
      <c r="N289" s="5"/>
      <c r="O289" s="5">
        <v>1</v>
      </c>
      <c r="P289" s="5">
        <v>2</v>
      </c>
      <c r="Q289" s="5"/>
      <c r="R289" s="5">
        <v>1</v>
      </c>
      <c r="S289" s="5"/>
      <c r="T289" s="5"/>
      <c r="U289" s="5"/>
      <c r="V289" s="6"/>
      <c r="W289" s="7">
        <v>1.7304000000000001E-4</v>
      </c>
      <c r="X289" s="7">
        <v>0.10888195297735789</v>
      </c>
      <c r="Y289" s="41" t="s">
        <v>122</v>
      </c>
    </row>
    <row r="290" spans="2:25" ht="17.100000000000001" customHeight="1">
      <c r="B290" s="5" t="s">
        <v>41</v>
      </c>
      <c r="C290" s="40" t="s">
        <v>291</v>
      </c>
      <c r="D290" s="5" t="str">
        <f>IFERROR(INDEX(회사별_교통수단매핑!$C$2:$C$1000,MATCH(1,INDEX(($C$14=회사별_교통수단매핑!$A$2:$A$1000)*($Y290=회사별_교통수단매핑!$B$2:$B$1000),0),0)),"")</f>
        <v>승용차(평균)</v>
      </c>
      <c r="E290" s="5">
        <v>1</v>
      </c>
      <c r="F290" s="42" t="s">
        <v>199</v>
      </c>
      <c r="G290" s="8" t="s">
        <v>304</v>
      </c>
      <c r="H290" s="12"/>
      <c r="I290" s="5">
        <f t="shared" si="4"/>
        <v>2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>
        <v>2</v>
      </c>
      <c r="U290" s="5"/>
      <c r="V290" s="6"/>
      <c r="W290" s="7">
        <v>1.7304000000000001E-4</v>
      </c>
      <c r="X290" s="7">
        <v>2.284799283330638E-2</v>
      </c>
      <c r="Y290" s="41" t="s">
        <v>122</v>
      </c>
    </row>
    <row r="291" spans="2:25" ht="17.100000000000001" customHeight="1">
      <c r="B291" s="5" t="s">
        <v>41</v>
      </c>
      <c r="C291" s="40" t="s">
        <v>291</v>
      </c>
      <c r="D291" s="5" t="str">
        <f>IFERROR(INDEX(회사별_교통수단매핑!$C$2:$C$1000,MATCH(1,INDEX(($C$14=회사별_교통수단매핑!$A$2:$A$1000)*($Y291=회사별_교통수단매핑!$B$2:$B$1000),0),0)),"")</f>
        <v>승용차(평균)</v>
      </c>
      <c r="E291" s="5">
        <v>1</v>
      </c>
      <c r="F291" s="42" t="s">
        <v>199</v>
      </c>
      <c r="G291" s="8" t="s">
        <v>243</v>
      </c>
      <c r="H291" s="12"/>
      <c r="I291" s="5">
        <f t="shared" si="4"/>
        <v>1</v>
      </c>
      <c r="J291" s="5"/>
      <c r="K291" s="5"/>
      <c r="L291" s="5"/>
      <c r="M291" s="5"/>
      <c r="N291" s="5"/>
      <c r="O291" s="5"/>
      <c r="P291" s="5"/>
      <c r="Q291" s="5"/>
      <c r="R291" s="5">
        <v>1</v>
      </c>
      <c r="S291" s="5"/>
      <c r="T291" s="5"/>
      <c r="U291" s="5"/>
      <c r="V291" s="6"/>
      <c r="W291" s="7">
        <v>1.7304000000000001E-4</v>
      </c>
      <c r="X291" s="7">
        <v>1.142399641665319E-2</v>
      </c>
      <c r="Y291" s="41" t="s">
        <v>122</v>
      </c>
    </row>
    <row r="292" spans="2:25" ht="17.100000000000001" customHeight="1">
      <c r="B292" s="5" t="s">
        <v>41</v>
      </c>
      <c r="C292" s="40" t="s">
        <v>291</v>
      </c>
      <c r="D292" s="5" t="str">
        <f>IFERROR(INDEX(회사별_교통수단매핑!$C$2:$C$1000,MATCH(1,INDEX(($C$14=회사별_교통수단매핑!$A$2:$A$1000)*($Y292=회사별_교통수단매핑!$B$2:$B$1000),0),0)),"")</f>
        <v>승용차(평균)</v>
      </c>
      <c r="E292" s="5">
        <v>1</v>
      </c>
      <c r="F292" s="42" t="s">
        <v>199</v>
      </c>
      <c r="G292" s="8" t="s">
        <v>206</v>
      </c>
      <c r="H292" s="12"/>
      <c r="I292" s="5">
        <f t="shared" si="4"/>
        <v>8</v>
      </c>
      <c r="J292" s="5"/>
      <c r="K292" s="5">
        <v>1</v>
      </c>
      <c r="L292" s="5">
        <v>1</v>
      </c>
      <c r="M292" s="5"/>
      <c r="N292" s="5">
        <v>1</v>
      </c>
      <c r="O292" s="5">
        <v>1</v>
      </c>
      <c r="P292" s="5"/>
      <c r="Q292" s="5"/>
      <c r="R292" s="5">
        <v>1</v>
      </c>
      <c r="S292" s="5">
        <v>2</v>
      </c>
      <c r="T292" s="5">
        <v>1</v>
      </c>
      <c r="U292" s="5"/>
      <c r="V292" s="6"/>
      <c r="W292" s="7">
        <v>1.7304000000000001E-4</v>
      </c>
      <c r="X292" s="7">
        <v>0.28904651403710852</v>
      </c>
      <c r="Y292" s="41" t="s">
        <v>122</v>
      </c>
    </row>
    <row r="293" spans="2:25" ht="17.100000000000001" customHeight="1">
      <c r="B293" s="5" t="s">
        <v>41</v>
      </c>
      <c r="C293" s="40" t="s">
        <v>291</v>
      </c>
      <c r="D293" s="5" t="str">
        <f>IFERROR(INDEX(회사별_교통수단매핑!$C$2:$C$1000,MATCH(1,INDEX(($C$14=회사별_교통수단매핑!$A$2:$A$1000)*($Y293=회사별_교통수단매핑!$B$2:$B$1000),0),0)),"")</f>
        <v>철도/KTX/SRT</v>
      </c>
      <c r="E293" s="5">
        <v>1</v>
      </c>
      <c r="F293" s="42" t="s">
        <v>199</v>
      </c>
      <c r="G293" s="8" t="s">
        <v>133</v>
      </c>
      <c r="H293" s="12"/>
      <c r="I293" s="5">
        <f t="shared" si="4"/>
        <v>1</v>
      </c>
      <c r="J293" s="5"/>
      <c r="K293" s="5"/>
      <c r="L293" s="5">
        <v>1</v>
      </c>
      <c r="M293" s="5"/>
      <c r="N293" s="5"/>
      <c r="O293" s="5"/>
      <c r="P293" s="5"/>
      <c r="Q293" s="5"/>
      <c r="R293" s="5"/>
      <c r="S293" s="5"/>
      <c r="T293" s="5"/>
      <c r="U293" s="5"/>
      <c r="V293" s="6"/>
      <c r="W293" s="7">
        <v>3.5460000000000003E-5</v>
      </c>
      <c r="X293" s="7">
        <v>1.16528922178573E-2</v>
      </c>
      <c r="Y293" s="41" t="s">
        <v>134</v>
      </c>
    </row>
    <row r="294" spans="2:25" ht="17.100000000000001" customHeight="1">
      <c r="B294" s="5" t="s">
        <v>41</v>
      </c>
      <c r="C294" s="40" t="s">
        <v>291</v>
      </c>
      <c r="D294" s="5" t="str">
        <f>IFERROR(INDEX(회사별_교통수단매핑!$C$2:$C$1000,MATCH(1,INDEX(($C$14=회사별_교통수단매핑!$A$2:$A$1000)*($Y294=회사별_교통수단매핑!$B$2:$B$1000),0),0)),"")</f>
        <v>철도/KTX/SRT</v>
      </c>
      <c r="E294" s="5">
        <v>1</v>
      </c>
      <c r="F294" s="42" t="s">
        <v>199</v>
      </c>
      <c r="G294" s="8" t="s">
        <v>305</v>
      </c>
      <c r="H294" s="12"/>
      <c r="I294" s="5">
        <f t="shared" si="4"/>
        <v>1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>
        <v>1</v>
      </c>
      <c r="V294" s="6"/>
      <c r="W294" s="7">
        <v>3.5460000000000003E-5</v>
      </c>
      <c r="X294" s="7">
        <v>1.052958290956643E-2</v>
      </c>
      <c r="Y294" s="41" t="s">
        <v>134</v>
      </c>
    </row>
    <row r="295" spans="2:25" ht="17.100000000000001" customHeight="1">
      <c r="B295" s="5" t="s">
        <v>41</v>
      </c>
      <c r="C295" s="40" t="s">
        <v>291</v>
      </c>
      <c r="D295" s="5" t="str">
        <f>IFERROR(INDEX(회사별_교통수단매핑!$C$2:$C$1000,MATCH(1,INDEX(($C$14=회사별_교통수단매핑!$A$2:$A$1000)*($Y295=회사별_교통수단매핑!$B$2:$B$1000),0),0)),"")</f>
        <v>철도/KTX/SRT</v>
      </c>
      <c r="E295" s="5">
        <v>1</v>
      </c>
      <c r="F295" s="42" t="s">
        <v>199</v>
      </c>
      <c r="G295" s="8" t="s">
        <v>138</v>
      </c>
      <c r="H295" s="12"/>
      <c r="I295" s="5">
        <f t="shared" si="4"/>
        <v>1</v>
      </c>
      <c r="J295" s="5"/>
      <c r="K295" s="5"/>
      <c r="L295" s="5"/>
      <c r="M295" s="5"/>
      <c r="N295" s="5"/>
      <c r="O295" s="5">
        <v>1</v>
      </c>
      <c r="P295" s="5"/>
      <c r="Q295" s="5"/>
      <c r="R295" s="5"/>
      <c r="S295" s="5"/>
      <c r="T295" s="5"/>
      <c r="U295" s="5"/>
      <c r="V295" s="6"/>
      <c r="W295" s="7">
        <v>3.5460000000000003E-5</v>
      </c>
      <c r="X295" s="7">
        <v>1.052958290956643E-2</v>
      </c>
      <c r="Y295" s="41" t="s">
        <v>134</v>
      </c>
    </row>
    <row r="296" spans="2:25" ht="17.100000000000001" customHeight="1">
      <c r="B296" s="5" t="s">
        <v>41</v>
      </c>
      <c r="C296" s="40" t="s">
        <v>291</v>
      </c>
      <c r="D296" s="5" t="str">
        <f>IFERROR(INDEX(회사별_교통수단매핑!$C$2:$C$1000,MATCH(1,INDEX(($C$14=회사별_교통수단매핑!$A$2:$A$1000)*($Y296=회사별_교통수단매핑!$B$2:$B$1000),0),0)),"")</f>
        <v>철도/KTX/SRT</v>
      </c>
      <c r="E296" s="5">
        <v>1</v>
      </c>
      <c r="F296" s="42" t="s">
        <v>199</v>
      </c>
      <c r="G296" s="8" t="s">
        <v>49</v>
      </c>
      <c r="H296" s="12"/>
      <c r="I296" s="5">
        <f t="shared" si="4"/>
        <v>14</v>
      </c>
      <c r="J296" s="5">
        <v>1</v>
      </c>
      <c r="K296" s="5"/>
      <c r="L296" s="5">
        <v>1</v>
      </c>
      <c r="M296" s="5">
        <v>1</v>
      </c>
      <c r="N296" s="5">
        <v>5</v>
      </c>
      <c r="O296" s="5"/>
      <c r="P296" s="5"/>
      <c r="Q296" s="5"/>
      <c r="R296" s="5"/>
      <c r="S296" s="5"/>
      <c r="T296" s="5">
        <v>4</v>
      </c>
      <c r="U296" s="5">
        <v>2</v>
      </c>
      <c r="V296" s="6"/>
      <c r="W296" s="7">
        <v>3.5460000000000003E-5</v>
      </c>
      <c r="X296" s="7">
        <v>0.14741416073392999</v>
      </c>
      <c r="Y296" s="41" t="s">
        <v>134</v>
      </c>
    </row>
    <row r="297" spans="2:25" ht="17.100000000000001" customHeight="1">
      <c r="B297" s="5" t="s">
        <v>41</v>
      </c>
      <c r="C297" s="40" t="s">
        <v>291</v>
      </c>
      <c r="D297" s="5" t="str">
        <f>IFERROR(INDEX(회사별_교통수단매핑!$C$2:$C$1000,MATCH(1,INDEX(($C$14=회사별_교통수단매핑!$A$2:$A$1000)*($Y297=회사별_교통수단매핑!$B$2:$B$1000),0),0)),"")</f>
        <v>철도/KTX/SRT</v>
      </c>
      <c r="E297" s="5">
        <v>1</v>
      </c>
      <c r="F297" s="42" t="s">
        <v>199</v>
      </c>
      <c r="G297" s="8" t="s">
        <v>306</v>
      </c>
      <c r="H297" s="12"/>
      <c r="I297" s="5">
        <f t="shared" si="4"/>
        <v>1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>
        <v>1</v>
      </c>
      <c r="V297" s="6"/>
      <c r="W297" s="7">
        <v>3.5460000000000003E-5</v>
      </c>
      <c r="X297" s="7">
        <v>1.052958290956643E-2</v>
      </c>
      <c r="Y297" s="41" t="s">
        <v>134</v>
      </c>
    </row>
    <row r="298" spans="2:25" ht="17.100000000000001" customHeight="1">
      <c r="B298" s="5" t="s">
        <v>41</v>
      </c>
      <c r="C298" s="40" t="s">
        <v>291</v>
      </c>
      <c r="D298" s="5" t="str">
        <f>IFERROR(INDEX(회사별_교통수단매핑!$C$2:$C$1000,MATCH(1,INDEX(($C$14=회사별_교통수단매핑!$A$2:$A$1000)*($Y298=회사별_교통수단매핑!$B$2:$B$1000),0),0)),"")</f>
        <v>철도/KTX/SRT</v>
      </c>
      <c r="E298" s="5">
        <v>1</v>
      </c>
      <c r="F298" s="42" t="s">
        <v>199</v>
      </c>
      <c r="G298" s="8" t="s">
        <v>126</v>
      </c>
      <c r="H298" s="12"/>
      <c r="I298" s="5">
        <f t="shared" si="4"/>
        <v>1</v>
      </c>
      <c r="J298" s="5">
        <v>1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6"/>
      <c r="W298" s="7">
        <v>3.5460000000000003E-5</v>
      </c>
      <c r="X298" s="7">
        <v>1.550883337683024E-2</v>
      </c>
      <c r="Y298" s="41" t="s">
        <v>134</v>
      </c>
    </row>
    <row r="299" spans="2:25" ht="17.100000000000001" customHeight="1">
      <c r="B299" s="5" t="s">
        <v>41</v>
      </c>
      <c r="C299" s="40" t="s">
        <v>307</v>
      </c>
      <c r="D299" s="5" t="str">
        <f>IFERROR(INDEX(회사별_교통수단매핑!$C$2:$C$1000,MATCH(1,INDEX(($C$14=회사별_교통수단매핑!$A$2:$A$1000)*($Y299=회사별_교통수단매핑!$B$2:$B$1000),0),0)),"")</f>
        <v>장거리버스/코치</v>
      </c>
      <c r="E299" s="5">
        <v>1</v>
      </c>
      <c r="F299" s="42" t="s">
        <v>120</v>
      </c>
      <c r="G299" s="8" t="s">
        <v>308</v>
      </c>
      <c r="H299" s="12"/>
      <c r="I299" s="5">
        <f t="shared" si="4"/>
        <v>1</v>
      </c>
      <c r="J299" s="5"/>
      <c r="K299" s="5"/>
      <c r="L299" s="5"/>
      <c r="M299" s="5">
        <v>1</v>
      </c>
      <c r="N299" s="5"/>
      <c r="O299" s="5"/>
      <c r="P299" s="5"/>
      <c r="Q299" s="5"/>
      <c r="R299" s="5"/>
      <c r="S299" s="5"/>
      <c r="T299" s="5"/>
      <c r="U299" s="5"/>
      <c r="V299" s="6"/>
      <c r="W299" s="7">
        <v>1.0385E-4</v>
      </c>
      <c r="X299" s="7">
        <v>8.8860865297959779E-2</v>
      </c>
      <c r="Y299" s="41" t="s">
        <v>45</v>
      </c>
    </row>
    <row r="300" spans="2:25" ht="17.100000000000001" customHeight="1">
      <c r="B300" s="5" t="s">
        <v>41</v>
      </c>
      <c r="C300" s="40" t="s">
        <v>307</v>
      </c>
      <c r="D300" s="5" t="str">
        <f>IFERROR(INDEX(회사별_교통수단매핑!$C$2:$C$1000,MATCH(1,INDEX(($C$14=회사별_교통수단매핑!$A$2:$A$1000)*($Y300=회사별_교통수단매핑!$B$2:$B$1000),0),0)),"")</f>
        <v>장거리버스/코치</v>
      </c>
      <c r="E300" s="5">
        <v>1</v>
      </c>
      <c r="F300" s="42" t="s">
        <v>120</v>
      </c>
      <c r="G300" s="8" t="s">
        <v>198</v>
      </c>
      <c r="H300" s="12"/>
      <c r="I300" s="5">
        <f t="shared" si="4"/>
        <v>1</v>
      </c>
      <c r="J300" s="5"/>
      <c r="K300" s="5"/>
      <c r="L300" s="5"/>
      <c r="M300" s="5"/>
      <c r="N300" s="5"/>
      <c r="O300" s="5">
        <v>1</v>
      </c>
      <c r="P300" s="5"/>
      <c r="Q300" s="5"/>
      <c r="R300" s="5"/>
      <c r="S300" s="5"/>
      <c r="T300" s="5"/>
      <c r="U300" s="5"/>
      <c r="V300" s="6"/>
      <c r="W300" s="7">
        <v>1.0385E-4</v>
      </c>
      <c r="X300" s="7">
        <v>9.8323090797484108E-2</v>
      </c>
      <c r="Y300" s="41" t="s">
        <v>45</v>
      </c>
    </row>
    <row r="301" spans="2:25" ht="17.100000000000001" customHeight="1">
      <c r="B301" s="5" t="s">
        <v>41</v>
      </c>
      <c r="C301" s="40" t="s">
        <v>307</v>
      </c>
      <c r="D301" s="5" t="str">
        <f>IFERROR(INDEX(회사별_교통수단매핑!$C$2:$C$1000,MATCH(1,INDEX(($C$14=회사별_교통수단매핑!$A$2:$A$1000)*($Y301=회사별_교통수단매핑!$B$2:$B$1000),0),0)),"")</f>
        <v>국내선 항공</v>
      </c>
      <c r="E301" s="5">
        <v>1</v>
      </c>
      <c r="F301" s="42" t="s">
        <v>120</v>
      </c>
      <c r="G301" s="8" t="s">
        <v>309</v>
      </c>
      <c r="H301" s="12"/>
      <c r="I301" s="5">
        <f t="shared" si="4"/>
        <v>1</v>
      </c>
      <c r="J301" s="5"/>
      <c r="K301" s="5"/>
      <c r="L301" s="5"/>
      <c r="M301" s="5"/>
      <c r="N301" s="5"/>
      <c r="O301" s="5"/>
      <c r="P301" s="5"/>
      <c r="Q301" s="5"/>
      <c r="R301" s="5">
        <v>1</v>
      </c>
      <c r="S301" s="5"/>
      <c r="T301" s="5"/>
      <c r="U301" s="5"/>
      <c r="V301" s="6"/>
      <c r="W301" s="7">
        <v>1.4253000000000001E-4</v>
      </c>
      <c r="X301" s="7">
        <v>0.1689490004764489</v>
      </c>
      <c r="Y301" s="41" t="s">
        <v>116</v>
      </c>
    </row>
    <row r="302" spans="2:25" ht="17.100000000000001" customHeight="1">
      <c r="B302" s="5" t="s">
        <v>41</v>
      </c>
      <c r="C302" s="40" t="s">
        <v>307</v>
      </c>
      <c r="D302" s="5" t="str">
        <f>IFERROR(INDEX(회사별_교통수단매핑!$C$2:$C$1000,MATCH(1,INDEX(($C$14=회사별_교통수단매핑!$A$2:$A$1000)*($Y302=회사별_교통수단매핑!$B$2:$B$1000),0),0)),"")</f>
        <v>국내선 항공</v>
      </c>
      <c r="E302" s="5">
        <v>1</v>
      </c>
      <c r="F302" s="42" t="s">
        <v>120</v>
      </c>
      <c r="G302" s="8" t="s">
        <v>310</v>
      </c>
      <c r="H302" s="12"/>
      <c r="I302" s="5">
        <f t="shared" si="4"/>
        <v>2</v>
      </c>
      <c r="J302" s="5"/>
      <c r="K302" s="5"/>
      <c r="L302" s="5"/>
      <c r="M302" s="5"/>
      <c r="N302" s="5"/>
      <c r="O302" s="5"/>
      <c r="P302" s="5"/>
      <c r="Q302" s="5"/>
      <c r="R302" s="5">
        <v>1</v>
      </c>
      <c r="S302" s="5"/>
      <c r="T302" s="5">
        <v>1</v>
      </c>
      <c r="U302" s="5"/>
      <c r="V302" s="6"/>
      <c r="W302" s="7">
        <v>1.4253000000000001E-4</v>
      </c>
      <c r="X302" s="7">
        <v>0.33789800095289779</v>
      </c>
      <c r="Y302" s="41" t="s">
        <v>116</v>
      </c>
    </row>
    <row r="303" spans="2:25" ht="17.100000000000001" customHeight="1">
      <c r="B303" s="5" t="s">
        <v>41</v>
      </c>
      <c r="C303" s="40" t="s">
        <v>307</v>
      </c>
      <c r="D303" s="5" t="str">
        <f>IFERROR(INDEX(회사별_교통수단매핑!$C$2:$C$1000,MATCH(1,INDEX(($C$14=회사별_교통수단매핑!$A$2:$A$1000)*($Y303=회사별_교통수단매핑!$B$2:$B$1000),0),0)),"")</f>
        <v>국내선 항공</v>
      </c>
      <c r="E303" s="5">
        <v>1</v>
      </c>
      <c r="F303" s="42" t="s">
        <v>120</v>
      </c>
      <c r="G303" s="8" t="s">
        <v>311</v>
      </c>
      <c r="H303" s="12"/>
      <c r="I303" s="5">
        <f t="shared" si="4"/>
        <v>1</v>
      </c>
      <c r="J303" s="5"/>
      <c r="K303" s="5"/>
      <c r="L303" s="5"/>
      <c r="M303" s="5"/>
      <c r="N303" s="5"/>
      <c r="O303" s="5"/>
      <c r="P303" s="5">
        <v>1</v>
      </c>
      <c r="Q303" s="5"/>
      <c r="R303" s="5"/>
      <c r="S303" s="5"/>
      <c r="T303" s="5"/>
      <c r="U303" s="5"/>
      <c r="V303" s="6"/>
      <c r="W303" s="7">
        <v>1.4253000000000001E-4</v>
      </c>
      <c r="X303" s="7">
        <v>0.13875292709734971</v>
      </c>
      <c r="Y303" s="41" t="s">
        <v>116</v>
      </c>
    </row>
    <row r="304" spans="2:25" ht="17.100000000000001" customHeight="1">
      <c r="B304" s="5" t="s">
        <v>41</v>
      </c>
      <c r="C304" s="40" t="s">
        <v>307</v>
      </c>
      <c r="D304" s="5" t="str">
        <f>IFERROR(INDEX(회사별_교통수단매핑!$C$2:$C$1000,MATCH(1,INDEX(($C$14=회사별_교통수단매핑!$A$2:$A$1000)*($Y304=회사별_교통수단매핑!$B$2:$B$1000),0),0)),"")</f>
        <v>국내선 항공</v>
      </c>
      <c r="E304" s="5">
        <v>1</v>
      </c>
      <c r="F304" s="42" t="s">
        <v>120</v>
      </c>
      <c r="G304" s="8" t="s">
        <v>312</v>
      </c>
      <c r="H304" s="12"/>
      <c r="I304" s="5">
        <f t="shared" si="4"/>
        <v>1</v>
      </c>
      <c r="J304" s="5"/>
      <c r="K304" s="5"/>
      <c r="L304" s="5"/>
      <c r="M304" s="5"/>
      <c r="N304" s="5">
        <v>1</v>
      </c>
      <c r="O304" s="5"/>
      <c r="P304" s="5"/>
      <c r="Q304" s="5"/>
      <c r="R304" s="5"/>
      <c r="S304" s="5"/>
      <c r="T304" s="5"/>
      <c r="U304" s="5"/>
      <c r="V304" s="6"/>
      <c r="W304" s="7">
        <v>1.4253000000000001E-4</v>
      </c>
      <c r="X304" s="7">
        <v>0.13875292709734971</v>
      </c>
      <c r="Y304" s="41" t="s">
        <v>116</v>
      </c>
    </row>
    <row r="305" spans="2:25" ht="17.100000000000001" customHeight="1">
      <c r="B305" s="5" t="s">
        <v>41</v>
      </c>
      <c r="C305" s="40" t="s">
        <v>307</v>
      </c>
      <c r="D305" s="5" t="str">
        <f>IFERROR(INDEX(회사별_교통수단매핑!$C$2:$C$1000,MATCH(1,INDEX(($C$14=회사별_교통수단매핑!$A$2:$A$1000)*($Y305=회사별_교통수단매핑!$B$2:$B$1000),0),0)),"")</f>
        <v>국내선 항공</v>
      </c>
      <c r="E305" s="5">
        <v>1</v>
      </c>
      <c r="F305" s="42" t="s">
        <v>120</v>
      </c>
      <c r="G305" s="8" t="s">
        <v>313</v>
      </c>
      <c r="H305" s="12"/>
      <c r="I305" s="5">
        <f t="shared" si="4"/>
        <v>3</v>
      </c>
      <c r="J305" s="5"/>
      <c r="K305" s="5"/>
      <c r="L305" s="5">
        <v>2</v>
      </c>
      <c r="M305" s="5"/>
      <c r="N305" s="5"/>
      <c r="O305" s="5"/>
      <c r="P305" s="5">
        <v>1</v>
      </c>
      <c r="Q305" s="5"/>
      <c r="R305" s="5"/>
      <c r="S305" s="5"/>
      <c r="T305" s="5"/>
      <c r="U305" s="5"/>
      <c r="V305" s="6"/>
      <c r="W305" s="7">
        <v>1.4253000000000001E-4</v>
      </c>
      <c r="X305" s="7">
        <v>0.41625878129204907</v>
      </c>
      <c r="Y305" s="41" t="s">
        <v>116</v>
      </c>
    </row>
    <row r="306" spans="2:25" ht="17.100000000000001" customHeight="1">
      <c r="B306" s="5" t="s">
        <v>41</v>
      </c>
      <c r="C306" s="40" t="s">
        <v>307</v>
      </c>
      <c r="D306" s="5" t="str">
        <f>IFERROR(INDEX(회사별_교통수단매핑!$C$2:$C$1000,MATCH(1,INDEX(($C$14=회사별_교통수단매핑!$A$2:$A$1000)*($Y306=회사별_교통수단매핑!$B$2:$B$1000),0),0)),"")</f>
        <v>국내선 항공</v>
      </c>
      <c r="E306" s="5">
        <v>1</v>
      </c>
      <c r="F306" s="42" t="s">
        <v>120</v>
      </c>
      <c r="G306" s="8" t="s">
        <v>314</v>
      </c>
      <c r="H306" s="12"/>
      <c r="I306" s="5">
        <f t="shared" si="4"/>
        <v>4</v>
      </c>
      <c r="J306" s="5"/>
      <c r="K306" s="5"/>
      <c r="L306" s="5">
        <v>4</v>
      </c>
      <c r="M306" s="5"/>
      <c r="N306" s="5"/>
      <c r="O306" s="5"/>
      <c r="P306" s="5"/>
      <c r="Q306" s="5"/>
      <c r="R306" s="5"/>
      <c r="S306" s="5"/>
      <c r="T306" s="5"/>
      <c r="U306" s="5"/>
      <c r="V306" s="6"/>
      <c r="W306" s="7">
        <v>1.4253000000000001E-4</v>
      </c>
      <c r="X306" s="7">
        <v>0.55501170838939884</v>
      </c>
      <c r="Y306" s="41" t="s">
        <v>116</v>
      </c>
    </row>
    <row r="307" spans="2:25" ht="17.100000000000001" customHeight="1">
      <c r="B307" s="5" t="s">
        <v>41</v>
      </c>
      <c r="C307" s="40" t="s">
        <v>307</v>
      </c>
      <c r="D307" s="5" t="str">
        <f>IFERROR(INDEX(회사별_교통수단매핑!$C$2:$C$1000,MATCH(1,INDEX(($C$14=회사별_교통수단매핑!$A$2:$A$1000)*($Y307=회사별_교통수단매핑!$B$2:$B$1000),0),0)),"")</f>
        <v>국내선 항공</v>
      </c>
      <c r="E307" s="5">
        <v>1</v>
      </c>
      <c r="F307" s="42" t="s">
        <v>120</v>
      </c>
      <c r="G307" s="8" t="s">
        <v>187</v>
      </c>
      <c r="H307" s="12"/>
      <c r="I307" s="5">
        <f t="shared" si="4"/>
        <v>1</v>
      </c>
      <c r="J307" s="5"/>
      <c r="K307" s="5"/>
      <c r="L307" s="5"/>
      <c r="M307" s="5">
        <v>1</v>
      </c>
      <c r="N307" s="5"/>
      <c r="O307" s="5"/>
      <c r="P307" s="5"/>
      <c r="Q307" s="5"/>
      <c r="R307" s="5"/>
      <c r="S307" s="5"/>
      <c r="T307" s="5"/>
      <c r="U307" s="5"/>
      <c r="V307" s="6"/>
      <c r="W307" s="7">
        <v>1.4253000000000001E-4</v>
      </c>
      <c r="X307" s="7">
        <v>0.1689490004764489</v>
      </c>
      <c r="Y307" s="41" t="s">
        <v>116</v>
      </c>
    </row>
    <row r="308" spans="2:25" ht="17.100000000000001" customHeight="1">
      <c r="B308" s="5" t="s">
        <v>41</v>
      </c>
      <c r="C308" s="40" t="s">
        <v>307</v>
      </c>
      <c r="D308" s="5" t="str">
        <f>IFERROR(INDEX(회사별_교통수단매핑!$C$2:$C$1000,MATCH(1,INDEX(($C$14=회사별_교통수단매핑!$A$2:$A$1000)*($Y308=회사별_교통수단매핑!$B$2:$B$1000),0),0)),"")</f>
        <v>국내선 항공</v>
      </c>
      <c r="E308" s="5">
        <v>1</v>
      </c>
      <c r="F308" s="42" t="s">
        <v>120</v>
      </c>
      <c r="G308" s="8" t="s">
        <v>315</v>
      </c>
      <c r="H308" s="12"/>
      <c r="I308" s="5">
        <f t="shared" si="4"/>
        <v>2</v>
      </c>
      <c r="J308" s="5"/>
      <c r="K308" s="5"/>
      <c r="L308" s="5"/>
      <c r="M308" s="5">
        <v>2</v>
      </c>
      <c r="N308" s="5"/>
      <c r="O308" s="5"/>
      <c r="P308" s="5"/>
      <c r="Q308" s="5"/>
      <c r="R308" s="5"/>
      <c r="S308" s="5"/>
      <c r="T308" s="5"/>
      <c r="U308" s="5"/>
      <c r="V308" s="6"/>
      <c r="W308" s="7">
        <v>1.4253000000000001E-4</v>
      </c>
      <c r="X308" s="7">
        <v>0.33789800095289779</v>
      </c>
      <c r="Y308" s="41" t="s">
        <v>116</v>
      </c>
    </row>
    <row r="309" spans="2:25" ht="17.100000000000001" customHeight="1">
      <c r="B309" s="5" t="s">
        <v>41</v>
      </c>
      <c r="C309" s="40" t="s">
        <v>307</v>
      </c>
      <c r="D309" s="5" t="str">
        <f>IFERROR(INDEX(회사별_교통수단매핑!$C$2:$C$1000,MATCH(1,INDEX(($C$14=회사별_교통수단매핑!$A$2:$A$1000)*($Y309=회사별_교통수단매핑!$B$2:$B$1000),0),0)),"")</f>
        <v>국내선 항공</v>
      </c>
      <c r="E309" s="5">
        <v>1</v>
      </c>
      <c r="F309" s="42" t="s">
        <v>120</v>
      </c>
      <c r="G309" s="8" t="s">
        <v>316</v>
      </c>
      <c r="H309" s="12"/>
      <c r="I309" s="5">
        <f t="shared" si="4"/>
        <v>1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>
        <v>1</v>
      </c>
      <c r="V309" s="6"/>
      <c r="W309" s="7">
        <v>1.4253000000000001E-4</v>
      </c>
      <c r="X309" s="7">
        <v>0.13875292709734971</v>
      </c>
      <c r="Y309" s="41" t="s">
        <v>116</v>
      </c>
    </row>
    <row r="310" spans="2:25" ht="17.100000000000001" customHeight="1">
      <c r="B310" s="5" t="s">
        <v>41</v>
      </c>
      <c r="C310" s="40" t="s">
        <v>307</v>
      </c>
      <c r="D310" s="5" t="str">
        <f>IFERROR(INDEX(회사별_교통수단매핑!$C$2:$C$1000,MATCH(1,INDEX(($C$14=회사별_교통수단매핑!$A$2:$A$1000)*($Y310=회사별_교통수단매핑!$B$2:$B$1000),0),0)),"")</f>
        <v>국내선 항공</v>
      </c>
      <c r="E310" s="5">
        <v>1</v>
      </c>
      <c r="F310" s="42" t="s">
        <v>120</v>
      </c>
      <c r="G310" s="8" t="s">
        <v>317</v>
      </c>
      <c r="H310" s="12"/>
      <c r="I310" s="5">
        <f t="shared" si="4"/>
        <v>2</v>
      </c>
      <c r="J310" s="5"/>
      <c r="K310" s="5"/>
      <c r="L310" s="5"/>
      <c r="M310" s="5"/>
      <c r="N310" s="5">
        <v>2</v>
      </c>
      <c r="O310" s="5"/>
      <c r="P310" s="5"/>
      <c r="Q310" s="5"/>
      <c r="R310" s="5"/>
      <c r="S310" s="5"/>
      <c r="T310" s="5"/>
      <c r="U310" s="5"/>
      <c r="V310" s="6"/>
      <c r="W310" s="7">
        <v>1.4253000000000001E-4</v>
      </c>
      <c r="X310" s="7">
        <v>0.27750585419469942</v>
      </c>
      <c r="Y310" s="41" t="s">
        <v>116</v>
      </c>
    </row>
    <row r="311" spans="2:25" ht="17.100000000000001" customHeight="1">
      <c r="B311" s="5" t="s">
        <v>41</v>
      </c>
      <c r="C311" s="40" t="s">
        <v>307</v>
      </c>
      <c r="D311" s="5" t="str">
        <f>IFERROR(INDEX(회사별_교통수단매핑!$C$2:$C$1000,MATCH(1,INDEX(($C$14=회사별_교통수단매핑!$A$2:$A$1000)*($Y311=회사별_교통수단매핑!$B$2:$B$1000),0),0)),"")</f>
        <v>국내선 항공</v>
      </c>
      <c r="E311" s="5">
        <v>1</v>
      </c>
      <c r="F311" s="42" t="s">
        <v>120</v>
      </c>
      <c r="G311" s="8" t="s">
        <v>318</v>
      </c>
      <c r="H311" s="12"/>
      <c r="I311" s="5">
        <f t="shared" si="4"/>
        <v>2</v>
      </c>
      <c r="J311" s="5">
        <v>2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6"/>
      <c r="W311" s="7">
        <v>1.4253000000000001E-4</v>
      </c>
      <c r="X311" s="7">
        <v>0.27750585419469942</v>
      </c>
      <c r="Y311" s="41" t="s">
        <v>116</v>
      </c>
    </row>
    <row r="312" spans="2:25" ht="17.100000000000001" customHeight="1">
      <c r="B312" s="5" t="s">
        <v>41</v>
      </c>
      <c r="C312" s="40" t="s">
        <v>307</v>
      </c>
      <c r="D312" s="5" t="str">
        <f>IFERROR(INDEX(회사별_교통수단매핑!$C$2:$C$1000,MATCH(1,INDEX(($C$14=회사별_교통수단매핑!$A$2:$A$1000)*($Y312=회사별_교통수단매핑!$B$2:$B$1000),0),0)),"")</f>
        <v>국내선 항공</v>
      </c>
      <c r="E312" s="5">
        <v>1</v>
      </c>
      <c r="F312" s="42" t="s">
        <v>120</v>
      </c>
      <c r="G312" s="8" t="s">
        <v>319</v>
      </c>
      <c r="H312" s="12"/>
      <c r="I312" s="5">
        <f t="shared" si="4"/>
        <v>1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>
        <v>1</v>
      </c>
      <c r="U312" s="5"/>
      <c r="V312" s="6"/>
      <c r="W312" s="7">
        <v>1.4253000000000001E-4</v>
      </c>
      <c r="X312" s="7">
        <v>0.142398960687839</v>
      </c>
      <c r="Y312" s="41" t="s">
        <v>116</v>
      </c>
    </row>
    <row r="313" spans="2:25" ht="17.100000000000001" customHeight="1">
      <c r="B313" s="5" t="s">
        <v>41</v>
      </c>
      <c r="C313" s="40" t="s">
        <v>307</v>
      </c>
      <c r="D313" s="5" t="str">
        <f>IFERROR(INDEX(회사별_교통수단매핑!$C$2:$C$1000,MATCH(1,INDEX(($C$14=회사별_교통수단매핑!$A$2:$A$1000)*($Y313=회사별_교통수단매핑!$B$2:$B$1000),0),0)),"")</f>
        <v>국내선 항공</v>
      </c>
      <c r="E313" s="5">
        <v>1</v>
      </c>
      <c r="F313" s="42" t="s">
        <v>120</v>
      </c>
      <c r="G313" s="8" t="s">
        <v>320</v>
      </c>
      <c r="H313" s="12"/>
      <c r="I313" s="5">
        <f t="shared" si="4"/>
        <v>3</v>
      </c>
      <c r="J313" s="5"/>
      <c r="K313" s="5">
        <v>2</v>
      </c>
      <c r="L313" s="5"/>
      <c r="M313" s="5"/>
      <c r="N313" s="5"/>
      <c r="O313" s="5">
        <v>1</v>
      </c>
      <c r="P313" s="5"/>
      <c r="Q313" s="5"/>
      <c r="R313" s="5"/>
      <c r="S313" s="5"/>
      <c r="T313" s="5"/>
      <c r="U313" s="5"/>
      <c r="V313" s="6"/>
      <c r="W313" s="7">
        <v>1.4253000000000001E-4</v>
      </c>
      <c r="X313" s="7">
        <v>0.42719688206351702</v>
      </c>
      <c r="Y313" s="41" t="s">
        <v>116</v>
      </c>
    </row>
    <row r="314" spans="2:25" ht="17.100000000000001" customHeight="1">
      <c r="B314" s="5" t="s">
        <v>41</v>
      </c>
      <c r="C314" s="40" t="s">
        <v>307</v>
      </c>
      <c r="D314" s="5" t="str">
        <f>IFERROR(INDEX(회사별_교통수단매핑!$C$2:$C$1000,MATCH(1,INDEX(($C$14=회사별_교통수단매핑!$A$2:$A$1000)*($Y314=회사별_교통수단매핑!$B$2:$B$1000),0),0)),"")</f>
        <v>국내선 항공</v>
      </c>
      <c r="E314" s="5">
        <v>1</v>
      </c>
      <c r="F314" s="42" t="s">
        <v>120</v>
      </c>
      <c r="G314" s="8" t="s">
        <v>321</v>
      </c>
      <c r="H314" s="12"/>
      <c r="I314" s="5">
        <f t="shared" si="4"/>
        <v>6</v>
      </c>
      <c r="J314" s="5">
        <v>2</v>
      </c>
      <c r="K314" s="5"/>
      <c r="L314" s="5"/>
      <c r="M314" s="5">
        <v>3</v>
      </c>
      <c r="N314" s="5">
        <v>1</v>
      </c>
      <c r="O314" s="5"/>
      <c r="P314" s="5"/>
      <c r="Q314" s="5"/>
      <c r="R314" s="5"/>
      <c r="S314" s="5"/>
      <c r="T314" s="5"/>
      <c r="U314" s="5"/>
      <c r="V314" s="6"/>
      <c r="W314" s="7">
        <v>1.4253000000000001E-4</v>
      </c>
      <c r="X314" s="7">
        <v>0.85439376412703405</v>
      </c>
      <c r="Y314" s="41" t="s">
        <v>116</v>
      </c>
    </row>
    <row r="315" spans="2:25" ht="17.100000000000001" customHeight="1">
      <c r="B315" s="5" t="s">
        <v>41</v>
      </c>
      <c r="C315" s="40" t="s">
        <v>307</v>
      </c>
      <c r="D315" s="5" t="str">
        <f>IFERROR(INDEX(회사별_교통수단매핑!$C$2:$C$1000,MATCH(1,INDEX(($C$14=회사별_교통수단매핑!$A$2:$A$1000)*($Y315=회사별_교통수단매핑!$B$2:$B$1000),0),0)),"")</f>
        <v>국내선 항공</v>
      </c>
      <c r="E315" s="5">
        <v>1</v>
      </c>
      <c r="F315" s="42" t="s">
        <v>120</v>
      </c>
      <c r="G315" s="8" t="s">
        <v>322</v>
      </c>
      <c r="H315" s="12"/>
      <c r="I315" s="5">
        <f t="shared" si="4"/>
        <v>1</v>
      </c>
      <c r="J315" s="5"/>
      <c r="K315" s="5"/>
      <c r="L315" s="5"/>
      <c r="M315" s="5"/>
      <c r="N315" s="5"/>
      <c r="O315" s="5">
        <v>1</v>
      </c>
      <c r="P315" s="5"/>
      <c r="Q315" s="5"/>
      <c r="R315" s="5"/>
      <c r="S315" s="5"/>
      <c r="T315" s="5"/>
      <c r="U315" s="5"/>
      <c r="V315" s="6"/>
      <c r="W315" s="7">
        <v>1.4253000000000001E-4</v>
      </c>
      <c r="X315" s="7">
        <v>0.1412292177697945</v>
      </c>
      <c r="Y315" s="41" t="s">
        <v>116</v>
      </c>
    </row>
    <row r="316" spans="2:25" ht="17.100000000000001" customHeight="1">
      <c r="B316" s="5" t="s">
        <v>41</v>
      </c>
      <c r="C316" s="40" t="s">
        <v>307</v>
      </c>
      <c r="D316" s="5" t="str">
        <f>IFERROR(INDEX(회사별_교통수단매핑!$C$2:$C$1000,MATCH(1,INDEX(($C$14=회사별_교통수단매핑!$A$2:$A$1000)*($Y316=회사별_교통수단매핑!$B$2:$B$1000),0),0)),"")</f>
        <v>국내선 항공</v>
      </c>
      <c r="E316" s="5">
        <v>1</v>
      </c>
      <c r="F316" s="42" t="s">
        <v>120</v>
      </c>
      <c r="G316" s="8" t="s">
        <v>323</v>
      </c>
      <c r="H316" s="12"/>
      <c r="I316" s="5">
        <f t="shared" si="4"/>
        <v>1</v>
      </c>
      <c r="J316" s="5"/>
      <c r="K316" s="5"/>
      <c r="L316" s="5"/>
      <c r="M316" s="5"/>
      <c r="N316" s="5"/>
      <c r="O316" s="5"/>
      <c r="P316" s="5"/>
      <c r="Q316" s="5"/>
      <c r="R316" s="5">
        <v>1</v>
      </c>
      <c r="S316" s="5"/>
      <c r="T316" s="5"/>
      <c r="U316" s="5"/>
      <c r="V316" s="6"/>
      <c r="W316" s="7">
        <v>1.4253000000000001E-4</v>
      </c>
      <c r="X316" s="7">
        <v>0.142398960687839</v>
      </c>
      <c r="Y316" s="41" t="s">
        <v>116</v>
      </c>
    </row>
    <row r="317" spans="2:25" ht="17.100000000000001" customHeight="1">
      <c r="B317" s="5" t="s">
        <v>41</v>
      </c>
      <c r="C317" s="40" t="s">
        <v>307</v>
      </c>
      <c r="D317" s="5" t="str">
        <f>IFERROR(INDEX(회사별_교통수단매핑!$C$2:$C$1000,MATCH(1,INDEX(($C$14=회사별_교통수단매핑!$A$2:$A$1000)*($Y317=회사별_교통수단매핑!$B$2:$B$1000),0),0)),"")</f>
        <v>국내선 항공</v>
      </c>
      <c r="E317" s="5">
        <v>1</v>
      </c>
      <c r="F317" s="42" t="s">
        <v>120</v>
      </c>
      <c r="G317" s="8" t="s">
        <v>324</v>
      </c>
      <c r="H317" s="12"/>
      <c r="I317" s="5">
        <f t="shared" si="4"/>
        <v>1</v>
      </c>
      <c r="J317" s="5"/>
      <c r="K317" s="5"/>
      <c r="L317" s="5"/>
      <c r="M317" s="5">
        <v>1</v>
      </c>
      <c r="N317" s="5"/>
      <c r="O317" s="5"/>
      <c r="P317" s="5"/>
      <c r="Q317" s="5"/>
      <c r="R317" s="5"/>
      <c r="S317" s="5"/>
      <c r="T317" s="5"/>
      <c r="U317" s="5"/>
      <c r="V317" s="6"/>
      <c r="W317" s="7">
        <v>1.4253000000000001E-4</v>
      </c>
      <c r="X317" s="7">
        <v>0.142398960687839</v>
      </c>
      <c r="Y317" s="41" t="s">
        <v>116</v>
      </c>
    </row>
    <row r="318" spans="2:25" ht="17.100000000000001" customHeight="1">
      <c r="B318" s="5" t="s">
        <v>41</v>
      </c>
      <c r="C318" s="40" t="s">
        <v>307</v>
      </c>
      <c r="D318" s="5" t="str">
        <f>IFERROR(INDEX(회사별_교통수단매핑!$C$2:$C$1000,MATCH(1,INDEX(($C$14=회사별_교통수단매핑!$A$2:$A$1000)*($Y318=회사별_교통수단매핑!$B$2:$B$1000),0),0)),"")</f>
        <v>국내선 항공</v>
      </c>
      <c r="E318" s="5">
        <v>1</v>
      </c>
      <c r="F318" s="42" t="s">
        <v>120</v>
      </c>
      <c r="G318" s="8" t="s">
        <v>325</v>
      </c>
      <c r="H318" s="12"/>
      <c r="I318" s="5">
        <f t="shared" si="4"/>
        <v>1</v>
      </c>
      <c r="J318" s="5"/>
      <c r="K318" s="5"/>
      <c r="L318" s="5"/>
      <c r="M318" s="5"/>
      <c r="N318" s="5"/>
      <c r="O318" s="5"/>
      <c r="P318" s="5"/>
      <c r="Q318" s="5">
        <v>1</v>
      </c>
      <c r="R318" s="5"/>
      <c r="S318" s="5"/>
      <c r="T318" s="5"/>
      <c r="U318" s="5"/>
      <c r="V318" s="6"/>
      <c r="W318" s="7">
        <v>1.4253000000000001E-4</v>
      </c>
      <c r="X318" s="7">
        <v>0.1412292177697945</v>
      </c>
      <c r="Y318" s="41" t="s">
        <v>116</v>
      </c>
    </row>
    <row r="319" spans="2:25" ht="17.100000000000001" customHeight="1">
      <c r="B319" s="5" t="s">
        <v>41</v>
      </c>
      <c r="C319" s="40" t="s">
        <v>307</v>
      </c>
      <c r="D319" s="5" t="str">
        <f>IFERROR(INDEX(회사별_교통수단매핑!$C$2:$C$1000,MATCH(1,INDEX(($C$14=회사별_교통수단매핑!$A$2:$A$1000)*($Y319=회사별_교통수단매핑!$B$2:$B$1000),0),0)),"")</f>
        <v>국내선 항공</v>
      </c>
      <c r="E319" s="5">
        <v>1</v>
      </c>
      <c r="F319" s="42" t="s">
        <v>120</v>
      </c>
      <c r="G319" s="8" t="s">
        <v>326</v>
      </c>
      <c r="H319" s="12"/>
      <c r="I319" s="5">
        <f t="shared" si="4"/>
        <v>1</v>
      </c>
      <c r="J319" s="5"/>
      <c r="K319" s="5"/>
      <c r="L319" s="5"/>
      <c r="M319" s="5"/>
      <c r="N319" s="5"/>
      <c r="O319" s="5"/>
      <c r="P319" s="5"/>
      <c r="Q319" s="5">
        <v>1</v>
      </c>
      <c r="R319" s="5"/>
      <c r="S319" s="5"/>
      <c r="T319" s="5"/>
      <c r="U319" s="5"/>
      <c r="V319" s="6"/>
      <c r="W319" s="7">
        <v>1.4253000000000001E-4</v>
      </c>
      <c r="X319" s="7">
        <v>0.1412292177697945</v>
      </c>
      <c r="Y319" s="41" t="s">
        <v>116</v>
      </c>
    </row>
    <row r="320" spans="2:25" ht="17.100000000000001" customHeight="1">
      <c r="B320" s="5" t="s">
        <v>41</v>
      </c>
      <c r="C320" s="40" t="s">
        <v>307</v>
      </c>
      <c r="D320" s="5" t="str">
        <f>IFERROR(INDEX(회사별_교통수단매핑!$C$2:$C$1000,MATCH(1,INDEX(($C$14=회사별_교통수단매핑!$A$2:$A$1000)*($Y320=회사별_교통수단매핑!$B$2:$B$1000),0),0)),"")</f>
        <v>국내선 항공</v>
      </c>
      <c r="E320" s="5">
        <v>1</v>
      </c>
      <c r="F320" s="42" t="s">
        <v>120</v>
      </c>
      <c r="G320" s="8" t="s">
        <v>327</v>
      </c>
      <c r="H320" s="12"/>
      <c r="I320" s="5">
        <f t="shared" si="4"/>
        <v>1</v>
      </c>
      <c r="J320" s="5"/>
      <c r="K320" s="5"/>
      <c r="L320" s="5"/>
      <c r="M320" s="5"/>
      <c r="N320" s="5"/>
      <c r="O320" s="5"/>
      <c r="P320" s="5"/>
      <c r="Q320" s="5">
        <v>1</v>
      </c>
      <c r="R320" s="5"/>
      <c r="S320" s="5"/>
      <c r="T320" s="5"/>
      <c r="U320" s="5"/>
      <c r="V320" s="6"/>
      <c r="W320" s="7">
        <v>1.4253000000000001E-4</v>
      </c>
      <c r="X320" s="7">
        <v>0.142398960687839</v>
      </c>
      <c r="Y320" s="41" t="s">
        <v>116</v>
      </c>
    </row>
    <row r="321" spans="2:25" ht="17.100000000000001" customHeight="1">
      <c r="B321" s="5" t="s">
        <v>41</v>
      </c>
      <c r="C321" s="40" t="s">
        <v>307</v>
      </c>
      <c r="D321" s="5" t="str">
        <f>IFERROR(INDEX(회사별_교통수단매핑!$C$2:$C$1000,MATCH(1,INDEX(($C$14=회사별_교통수단매핑!$A$2:$A$1000)*($Y321=회사별_교통수단매핑!$B$2:$B$1000),0),0)),"")</f>
        <v>국내선 항공</v>
      </c>
      <c r="E321" s="5">
        <v>1</v>
      </c>
      <c r="F321" s="42" t="s">
        <v>120</v>
      </c>
      <c r="G321" s="8" t="s">
        <v>328</v>
      </c>
      <c r="H321" s="12"/>
      <c r="I321" s="5">
        <f t="shared" si="4"/>
        <v>3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>
        <v>3</v>
      </c>
      <c r="U321" s="5"/>
      <c r="V321" s="6"/>
      <c r="W321" s="7">
        <v>1.4253000000000001E-4</v>
      </c>
      <c r="X321" s="7">
        <v>0.42368765330938363</v>
      </c>
      <c r="Y321" s="41" t="s">
        <v>116</v>
      </c>
    </row>
    <row r="322" spans="2:25" ht="17.100000000000001" customHeight="1">
      <c r="B322" s="5" t="s">
        <v>41</v>
      </c>
      <c r="C322" s="40" t="s">
        <v>307</v>
      </c>
      <c r="D322" s="5" t="str">
        <f>IFERROR(INDEX(회사별_교통수단매핑!$C$2:$C$1000,MATCH(1,INDEX(($C$14=회사별_교통수단매핑!$A$2:$A$1000)*($Y322=회사별_교통수단매핑!$B$2:$B$1000),0),0)),"")</f>
        <v>국내선 항공</v>
      </c>
      <c r="E322" s="5">
        <v>1</v>
      </c>
      <c r="F322" s="42" t="s">
        <v>120</v>
      </c>
      <c r="G322" s="8" t="s">
        <v>247</v>
      </c>
      <c r="H322" s="12"/>
      <c r="I322" s="5">
        <f t="shared" si="4"/>
        <v>1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>
        <v>1</v>
      </c>
      <c r="V322" s="6"/>
      <c r="W322" s="7">
        <v>1.4253000000000001E-4</v>
      </c>
      <c r="X322" s="7">
        <v>0.1412292177697945</v>
      </c>
      <c r="Y322" s="41" t="s">
        <v>116</v>
      </c>
    </row>
    <row r="323" spans="2:25" ht="17.100000000000001" customHeight="1">
      <c r="B323" s="5" t="s">
        <v>41</v>
      </c>
      <c r="C323" s="40" t="s">
        <v>307</v>
      </c>
      <c r="D323" s="5" t="str">
        <f>IFERROR(INDEX(회사별_교통수단매핑!$C$2:$C$1000,MATCH(1,INDEX(($C$14=회사별_교통수단매핑!$A$2:$A$1000)*($Y323=회사별_교통수단매핑!$B$2:$B$1000),0),0)),"")</f>
        <v>국내선 항공</v>
      </c>
      <c r="E323" s="5">
        <v>1</v>
      </c>
      <c r="F323" s="42" t="s">
        <v>120</v>
      </c>
      <c r="G323" s="8" t="s">
        <v>329</v>
      </c>
      <c r="H323" s="12"/>
      <c r="I323" s="5">
        <f t="shared" si="4"/>
        <v>2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>
        <v>2</v>
      </c>
      <c r="U323" s="5"/>
      <c r="V323" s="6"/>
      <c r="W323" s="7">
        <v>1.4253000000000001E-4</v>
      </c>
      <c r="X323" s="7">
        <v>0.284797921375678</v>
      </c>
      <c r="Y323" s="41" t="s">
        <v>116</v>
      </c>
    </row>
    <row r="324" spans="2:25" ht="17.100000000000001" customHeight="1">
      <c r="B324" s="5" t="s">
        <v>41</v>
      </c>
      <c r="C324" s="40" t="s">
        <v>307</v>
      </c>
      <c r="D324" s="5" t="str">
        <f>IFERROR(INDEX(회사별_교통수단매핑!$C$2:$C$1000,MATCH(1,INDEX(($C$14=회사별_교통수단매핑!$A$2:$A$1000)*($Y324=회사별_교통수단매핑!$B$2:$B$1000),0),0)),"")</f>
        <v>국내선 항공</v>
      </c>
      <c r="E324" s="5">
        <v>1</v>
      </c>
      <c r="F324" s="42" t="s">
        <v>120</v>
      </c>
      <c r="G324" s="8" t="s">
        <v>330</v>
      </c>
      <c r="H324" s="12"/>
      <c r="I324" s="5">
        <f t="shared" si="4"/>
        <v>1</v>
      </c>
      <c r="J324" s="5"/>
      <c r="K324" s="5"/>
      <c r="L324" s="5"/>
      <c r="M324" s="5"/>
      <c r="N324" s="5"/>
      <c r="O324" s="5">
        <v>1</v>
      </c>
      <c r="P324" s="5"/>
      <c r="Q324" s="5"/>
      <c r="R324" s="5"/>
      <c r="S324" s="5"/>
      <c r="T324" s="5"/>
      <c r="U324" s="5"/>
      <c r="V324" s="6"/>
      <c r="W324" s="7">
        <v>1.4253000000000001E-4</v>
      </c>
      <c r="X324" s="7">
        <v>0.13688870741808801</v>
      </c>
      <c r="Y324" s="41" t="s">
        <v>116</v>
      </c>
    </row>
    <row r="325" spans="2:25" ht="17.100000000000001" customHeight="1">
      <c r="B325" s="5" t="s">
        <v>41</v>
      </c>
      <c r="C325" s="40" t="s">
        <v>307</v>
      </c>
      <c r="D325" s="5" t="str">
        <f>IFERROR(INDEX(회사별_교통수단매핑!$C$2:$C$1000,MATCH(1,INDEX(($C$14=회사별_교통수단매핑!$A$2:$A$1000)*($Y325=회사별_교통수단매핑!$B$2:$B$1000),0),0)),"")</f>
        <v>국내선 항공</v>
      </c>
      <c r="E325" s="5">
        <v>1</v>
      </c>
      <c r="F325" s="42" t="s">
        <v>120</v>
      </c>
      <c r="G325" s="8" t="s">
        <v>228</v>
      </c>
      <c r="H325" s="12"/>
      <c r="I325" s="5">
        <f t="shared" si="4"/>
        <v>1</v>
      </c>
      <c r="J325" s="5"/>
      <c r="K325" s="5"/>
      <c r="L325" s="5"/>
      <c r="M325" s="5"/>
      <c r="N325" s="5"/>
      <c r="O325" s="5"/>
      <c r="P325" s="5"/>
      <c r="Q325" s="5"/>
      <c r="R325" s="5"/>
      <c r="S325" s="5">
        <v>1</v>
      </c>
      <c r="T325" s="5"/>
      <c r="U325" s="5"/>
      <c r="V325" s="6"/>
      <c r="W325" s="7">
        <v>1.4253000000000001E-4</v>
      </c>
      <c r="X325" s="7">
        <v>0.13688870741808801</v>
      </c>
      <c r="Y325" s="41" t="s">
        <v>116</v>
      </c>
    </row>
    <row r="326" spans="2:25" ht="17.100000000000001" customHeight="1">
      <c r="B326" s="5" t="s">
        <v>41</v>
      </c>
      <c r="C326" s="40" t="s">
        <v>307</v>
      </c>
      <c r="D326" s="5" t="str">
        <f>IFERROR(INDEX(회사별_교통수단매핑!$C$2:$C$1000,MATCH(1,INDEX(($C$14=회사별_교통수단매핑!$A$2:$A$1000)*($Y326=회사별_교통수단매핑!$B$2:$B$1000),0),0)),"")</f>
        <v>국내선 항공</v>
      </c>
      <c r="E326" s="5">
        <v>1</v>
      </c>
      <c r="F326" s="42" t="s">
        <v>120</v>
      </c>
      <c r="G326" s="8" t="s">
        <v>331</v>
      </c>
      <c r="H326" s="12"/>
      <c r="I326" s="5">
        <f t="shared" si="4"/>
        <v>2</v>
      </c>
      <c r="J326" s="5"/>
      <c r="K326" s="5"/>
      <c r="L326" s="5"/>
      <c r="M326" s="5"/>
      <c r="N326" s="5"/>
      <c r="O326" s="5">
        <v>2</v>
      </c>
      <c r="P326" s="5"/>
      <c r="Q326" s="5"/>
      <c r="R326" s="5"/>
      <c r="S326" s="5"/>
      <c r="T326" s="5"/>
      <c r="U326" s="5"/>
      <c r="V326" s="6"/>
      <c r="W326" s="7">
        <v>1.4253000000000001E-4</v>
      </c>
      <c r="X326" s="7">
        <v>0.27377741483617601</v>
      </c>
      <c r="Y326" s="41" t="s">
        <v>116</v>
      </c>
    </row>
    <row r="327" spans="2:25" ht="17.100000000000001" customHeight="1">
      <c r="B327" s="5" t="s">
        <v>41</v>
      </c>
      <c r="C327" s="40" t="s">
        <v>307</v>
      </c>
      <c r="D327" s="5" t="str">
        <f>IFERROR(INDEX(회사별_교통수단매핑!$C$2:$C$1000,MATCH(1,INDEX(($C$14=회사별_교통수단매핑!$A$2:$A$1000)*($Y327=회사별_교통수단매핑!$B$2:$B$1000),0),0)),"")</f>
        <v>국내선 항공</v>
      </c>
      <c r="E327" s="5">
        <v>1</v>
      </c>
      <c r="F327" s="42" t="s">
        <v>120</v>
      </c>
      <c r="G327" s="8" t="s">
        <v>332</v>
      </c>
      <c r="H327" s="12"/>
      <c r="I327" s="5">
        <f t="shared" si="4"/>
        <v>2</v>
      </c>
      <c r="J327" s="5"/>
      <c r="K327" s="5"/>
      <c r="L327" s="5"/>
      <c r="M327" s="5"/>
      <c r="N327" s="5"/>
      <c r="O327" s="5">
        <v>2</v>
      </c>
      <c r="P327" s="5"/>
      <c r="Q327" s="5"/>
      <c r="R327" s="5"/>
      <c r="S327" s="5"/>
      <c r="T327" s="5"/>
      <c r="U327" s="5"/>
      <c r="V327" s="6"/>
      <c r="W327" s="7">
        <v>1.4253000000000001E-4</v>
      </c>
      <c r="X327" s="7">
        <v>0.27377741483617601</v>
      </c>
      <c r="Y327" s="41" t="s">
        <v>116</v>
      </c>
    </row>
    <row r="328" spans="2:25" ht="17.100000000000001" customHeight="1">
      <c r="B328" s="5" t="s">
        <v>41</v>
      </c>
      <c r="C328" s="40" t="s">
        <v>307</v>
      </c>
      <c r="D328" s="5" t="str">
        <f>IFERROR(INDEX(회사별_교통수단매핑!$C$2:$C$1000,MATCH(1,INDEX(($C$14=회사별_교통수단매핑!$A$2:$A$1000)*($Y328=회사별_교통수단매핑!$B$2:$B$1000),0),0)),"")</f>
        <v>국내선 항공</v>
      </c>
      <c r="E328" s="5">
        <v>1</v>
      </c>
      <c r="F328" s="42" t="s">
        <v>120</v>
      </c>
      <c r="G328" s="8" t="s">
        <v>333</v>
      </c>
      <c r="H328" s="12"/>
      <c r="I328" s="5">
        <f t="shared" si="4"/>
        <v>3</v>
      </c>
      <c r="J328" s="5">
        <v>1</v>
      </c>
      <c r="K328" s="5"/>
      <c r="L328" s="5"/>
      <c r="M328" s="5"/>
      <c r="N328" s="5"/>
      <c r="O328" s="5"/>
      <c r="P328" s="5"/>
      <c r="Q328" s="5"/>
      <c r="R328" s="5"/>
      <c r="S328" s="5"/>
      <c r="T328" s="5">
        <v>2</v>
      </c>
      <c r="U328" s="5"/>
      <c r="V328" s="6"/>
      <c r="W328" s="7">
        <v>1.4253000000000001E-4</v>
      </c>
      <c r="X328" s="7">
        <v>0.42368765330938363</v>
      </c>
      <c r="Y328" s="41" t="s">
        <v>116</v>
      </c>
    </row>
    <row r="329" spans="2:25" ht="17.100000000000001" customHeight="1">
      <c r="B329" s="5" t="s">
        <v>41</v>
      </c>
      <c r="C329" s="40" t="s">
        <v>307</v>
      </c>
      <c r="D329" s="5" t="str">
        <f>IFERROR(INDEX(회사별_교통수단매핑!$C$2:$C$1000,MATCH(1,INDEX(($C$14=회사별_교통수단매핑!$A$2:$A$1000)*($Y329=회사별_교통수단매핑!$B$2:$B$1000),0),0)),"")</f>
        <v>국내선 항공</v>
      </c>
      <c r="E329" s="5">
        <v>1</v>
      </c>
      <c r="F329" s="42" t="s">
        <v>120</v>
      </c>
      <c r="G329" s="8" t="s">
        <v>334</v>
      </c>
      <c r="H329" s="12"/>
      <c r="I329" s="5">
        <f t="shared" si="4"/>
        <v>1</v>
      </c>
      <c r="J329" s="5"/>
      <c r="K329" s="5"/>
      <c r="L329" s="5"/>
      <c r="M329" s="5"/>
      <c r="N329" s="5"/>
      <c r="O329" s="5">
        <v>1</v>
      </c>
      <c r="P329" s="5"/>
      <c r="Q329" s="5"/>
      <c r="R329" s="5"/>
      <c r="S329" s="5"/>
      <c r="T329" s="5"/>
      <c r="U329" s="5"/>
      <c r="V329" s="6"/>
      <c r="W329" s="7">
        <v>1.4253000000000001E-4</v>
      </c>
      <c r="X329" s="7">
        <v>0.1412292177697945</v>
      </c>
      <c r="Y329" s="41" t="s">
        <v>116</v>
      </c>
    </row>
    <row r="330" spans="2:25" ht="17.100000000000001" customHeight="1">
      <c r="B330" s="5" t="s">
        <v>41</v>
      </c>
      <c r="C330" s="40" t="s">
        <v>307</v>
      </c>
      <c r="D330" s="5" t="str">
        <f>IFERROR(INDEX(회사별_교통수단매핑!$C$2:$C$1000,MATCH(1,INDEX(($C$14=회사별_교통수단매핑!$A$2:$A$1000)*($Y330=회사별_교통수단매핑!$B$2:$B$1000),0),0)),"")</f>
        <v>국내선 항공</v>
      </c>
      <c r="E330" s="5">
        <v>1</v>
      </c>
      <c r="F330" s="42" t="s">
        <v>120</v>
      </c>
      <c r="G330" s="8" t="s">
        <v>335</v>
      </c>
      <c r="H330" s="12"/>
      <c r="I330" s="5">
        <f t="shared" si="4"/>
        <v>2</v>
      </c>
      <c r="J330" s="5"/>
      <c r="K330" s="5"/>
      <c r="L330" s="5"/>
      <c r="M330" s="5"/>
      <c r="N330" s="5"/>
      <c r="O330" s="5"/>
      <c r="P330" s="5"/>
      <c r="Q330" s="5">
        <v>2</v>
      </c>
      <c r="R330" s="5"/>
      <c r="S330" s="5"/>
      <c r="T330" s="5"/>
      <c r="U330" s="5"/>
      <c r="V330" s="6"/>
      <c r="W330" s="7">
        <v>1.4253000000000001E-4</v>
      </c>
      <c r="X330" s="7">
        <v>0.2245280849048279</v>
      </c>
      <c r="Y330" s="41" t="s">
        <v>116</v>
      </c>
    </row>
    <row r="331" spans="2:25" ht="17.100000000000001" customHeight="1">
      <c r="B331" s="5" t="s">
        <v>41</v>
      </c>
      <c r="C331" s="40" t="s">
        <v>307</v>
      </c>
      <c r="D331" s="5" t="str">
        <f>IFERROR(INDEX(회사별_교통수단매핑!$C$2:$C$1000,MATCH(1,INDEX(($C$14=회사별_교통수단매핑!$A$2:$A$1000)*($Y331=회사별_교통수단매핑!$B$2:$B$1000),0),0)),"")</f>
        <v>국내선 항공</v>
      </c>
      <c r="E331" s="5">
        <v>1</v>
      </c>
      <c r="F331" s="42" t="s">
        <v>120</v>
      </c>
      <c r="G331" s="8" t="s">
        <v>336</v>
      </c>
      <c r="H331" s="12"/>
      <c r="I331" s="5">
        <f t="shared" si="4"/>
        <v>7</v>
      </c>
      <c r="J331" s="5"/>
      <c r="K331" s="5">
        <v>3</v>
      </c>
      <c r="L331" s="5"/>
      <c r="M331" s="5"/>
      <c r="N331" s="5"/>
      <c r="O331" s="5"/>
      <c r="P331" s="5"/>
      <c r="Q331" s="5"/>
      <c r="R331" s="5"/>
      <c r="S331" s="5"/>
      <c r="T331" s="5"/>
      <c r="U331" s="5">
        <v>4</v>
      </c>
      <c r="V331" s="6"/>
      <c r="W331" s="7">
        <v>1.4253000000000001E-4</v>
      </c>
      <c r="X331" s="7">
        <v>0.95822095192661594</v>
      </c>
      <c r="Y331" s="41" t="s">
        <v>116</v>
      </c>
    </row>
    <row r="332" spans="2:25" ht="17.100000000000001" customHeight="1">
      <c r="B332" s="5" t="s">
        <v>41</v>
      </c>
      <c r="C332" s="40" t="s">
        <v>307</v>
      </c>
      <c r="D332" s="5" t="str">
        <f>IFERROR(INDEX(회사별_교통수단매핑!$C$2:$C$1000,MATCH(1,INDEX(($C$14=회사별_교통수단매핑!$A$2:$A$1000)*($Y332=회사별_교통수단매핑!$B$2:$B$1000),0),0)),"")</f>
        <v>국내선 항공</v>
      </c>
      <c r="E332" s="5">
        <v>1</v>
      </c>
      <c r="F332" s="42" t="s">
        <v>120</v>
      </c>
      <c r="G332" s="8" t="s">
        <v>337</v>
      </c>
      <c r="H332" s="12"/>
      <c r="I332" s="5">
        <f t="shared" si="4"/>
        <v>7</v>
      </c>
      <c r="J332" s="5"/>
      <c r="K332" s="5"/>
      <c r="L332" s="5"/>
      <c r="M332" s="5"/>
      <c r="N332" s="5">
        <v>1</v>
      </c>
      <c r="O332" s="5">
        <v>4</v>
      </c>
      <c r="P332" s="5">
        <v>2</v>
      </c>
      <c r="Q332" s="5"/>
      <c r="R332" s="5"/>
      <c r="S332" s="5"/>
      <c r="T332" s="5"/>
      <c r="U332" s="5"/>
      <c r="V332" s="6"/>
      <c r="W332" s="7">
        <v>1.4253000000000001E-4</v>
      </c>
      <c r="X332" s="7">
        <v>0.95822095192661594</v>
      </c>
      <c r="Y332" s="41" t="s">
        <v>116</v>
      </c>
    </row>
    <row r="333" spans="2:25" ht="17.100000000000001" customHeight="1">
      <c r="B333" s="5" t="s">
        <v>41</v>
      </c>
      <c r="C333" s="40" t="s">
        <v>307</v>
      </c>
      <c r="D333" s="5" t="str">
        <f>IFERROR(INDEX(회사별_교통수단매핑!$C$2:$C$1000,MATCH(1,INDEX(($C$14=회사별_교통수단매핑!$A$2:$A$1000)*($Y333=회사별_교통수단매핑!$B$2:$B$1000),0),0)),"")</f>
        <v>국내선 항공</v>
      </c>
      <c r="E333" s="5">
        <v>1</v>
      </c>
      <c r="F333" s="42" t="s">
        <v>120</v>
      </c>
      <c r="G333" s="8" t="s">
        <v>133</v>
      </c>
      <c r="H333" s="12"/>
      <c r="I333" s="5">
        <f t="shared" si="4"/>
        <v>11</v>
      </c>
      <c r="J333" s="5"/>
      <c r="K333" s="5"/>
      <c r="L333" s="5">
        <v>5</v>
      </c>
      <c r="M333" s="5"/>
      <c r="N333" s="5">
        <v>2</v>
      </c>
      <c r="O333" s="5"/>
      <c r="P333" s="5">
        <v>3</v>
      </c>
      <c r="Q333" s="5"/>
      <c r="R333" s="5">
        <v>1</v>
      </c>
      <c r="S333" s="5"/>
      <c r="T333" s="5"/>
      <c r="U333" s="5"/>
      <c r="V333" s="6"/>
      <c r="W333" s="7">
        <v>1.4253000000000001E-4</v>
      </c>
      <c r="X333" s="7">
        <v>1.566388567566229</v>
      </c>
      <c r="Y333" s="41" t="s">
        <v>116</v>
      </c>
    </row>
    <row r="334" spans="2:25" ht="17.100000000000001" customHeight="1">
      <c r="B334" s="5" t="s">
        <v>41</v>
      </c>
      <c r="C334" s="40" t="s">
        <v>307</v>
      </c>
      <c r="D334" s="5" t="str">
        <f>IFERROR(INDEX(회사별_교통수단매핑!$C$2:$C$1000,MATCH(1,INDEX(($C$14=회사별_교통수단매핑!$A$2:$A$1000)*($Y334=회사별_교통수단매핑!$B$2:$B$1000),0),0)),"")</f>
        <v>국내선 항공</v>
      </c>
      <c r="E334" s="5">
        <v>1</v>
      </c>
      <c r="F334" s="42" t="s">
        <v>120</v>
      </c>
      <c r="G334" s="8" t="s">
        <v>338</v>
      </c>
      <c r="H334" s="12"/>
      <c r="I334" s="5">
        <f t="shared" si="4"/>
        <v>4</v>
      </c>
      <c r="J334" s="5"/>
      <c r="K334" s="5">
        <v>2</v>
      </c>
      <c r="L334" s="5"/>
      <c r="M334" s="5"/>
      <c r="N334" s="5">
        <v>2</v>
      </c>
      <c r="O334" s="5"/>
      <c r="P334" s="5"/>
      <c r="Q334" s="5"/>
      <c r="R334" s="5"/>
      <c r="S334" s="5"/>
      <c r="T334" s="5"/>
      <c r="U334" s="5"/>
      <c r="V334" s="6"/>
      <c r="W334" s="7">
        <v>1.4253000000000001E-4</v>
      </c>
      <c r="X334" s="7">
        <v>0.569595842751356</v>
      </c>
      <c r="Y334" s="41" t="s">
        <v>116</v>
      </c>
    </row>
    <row r="335" spans="2:25" ht="17.100000000000001" customHeight="1">
      <c r="B335" s="5" t="s">
        <v>41</v>
      </c>
      <c r="C335" s="40" t="s">
        <v>307</v>
      </c>
      <c r="D335" s="5" t="str">
        <f>IFERROR(INDEX(회사별_교통수단매핑!$C$2:$C$1000,MATCH(1,INDEX(($C$14=회사별_교통수단매핑!$A$2:$A$1000)*($Y335=회사별_교통수단매핑!$B$2:$B$1000),0),0)),"")</f>
        <v>국내선 항공</v>
      </c>
      <c r="E335" s="5">
        <v>1</v>
      </c>
      <c r="F335" s="42" t="s">
        <v>120</v>
      </c>
      <c r="G335" s="8" t="s">
        <v>339</v>
      </c>
      <c r="H335" s="12"/>
      <c r="I335" s="5">
        <f t="shared" si="4"/>
        <v>2</v>
      </c>
      <c r="J335" s="5"/>
      <c r="K335" s="5"/>
      <c r="L335" s="5"/>
      <c r="M335" s="5"/>
      <c r="N335" s="5"/>
      <c r="O335" s="5">
        <v>2</v>
      </c>
      <c r="P335" s="5"/>
      <c r="Q335" s="5"/>
      <c r="R335" s="5"/>
      <c r="S335" s="5"/>
      <c r="T335" s="5"/>
      <c r="U335" s="5"/>
      <c r="V335" s="6"/>
      <c r="W335" s="7">
        <v>1.4253000000000001E-4</v>
      </c>
      <c r="X335" s="7">
        <v>0.27377741483617601</v>
      </c>
      <c r="Y335" s="41" t="s">
        <v>116</v>
      </c>
    </row>
    <row r="336" spans="2:25" ht="17.100000000000001" customHeight="1">
      <c r="B336" s="5" t="s">
        <v>41</v>
      </c>
      <c r="C336" s="40" t="s">
        <v>307</v>
      </c>
      <c r="D336" s="5" t="str">
        <f>IFERROR(INDEX(회사별_교통수단매핑!$C$2:$C$1000,MATCH(1,INDEX(($C$14=회사별_교통수단매핑!$A$2:$A$1000)*($Y336=회사별_교통수단매핑!$B$2:$B$1000),0),0)),"")</f>
        <v>국내선 항공</v>
      </c>
      <c r="E336" s="5">
        <v>1</v>
      </c>
      <c r="F336" s="42" t="s">
        <v>120</v>
      </c>
      <c r="G336" s="8" t="s">
        <v>340</v>
      </c>
      <c r="H336" s="12"/>
      <c r="I336" s="5">
        <f t="shared" si="4"/>
        <v>2</v>
      </c>
      <c r="J336" s="5"/>
      <c r="K336" s="5"/>
      <c r="L336" s="5"/>
      <c r="M336" s="5"/>
      <c r="N336" s="5"/>
      <c r="O336" s="5"/>
      <c r="P336" s="5"/>
      <c r="Q336" s="5">
        <v>2</v>
      </c>
      <c r="R336" s="5"/>
      <c r="S336" s="5"/>
      <c r="T336" s="5"/>
      <c r="U336" s="5"/>
      <c r="V336" s="6"/>
      <c r="W336" s="7">
        <v>1.4253000000000001E-4</v>
      </c>
      <c r="X336" s="7">
        <v>0.28245843553958899</v>
      </c>
      <c r="Y336" s="41" t="s">
        <v>116</v>
      </c>
    </row>
    <row r="337" spans="2:25" ht="17.100000000000001" customHeight="1">
      <c r="B337" s="5" t="s">
        <v>41</v>
      </c>
      <c r="C337" s="40" t="s">
        <v>307</v>
      </c>
      <c r="D337" s="5" t="str">
        <f>IFERROR(INDEX(회사별_교통수단매핑!$C$2:$C$1000,MATCH(1,INDEX(($C$14=회사별_교통수단매핑!$A$2:$A$1000)*($Y337=회사별_교통수단매핑!$B$2:$B$1000),0),0)),"")</f>
        <v>국내선 항공</v>
      </c>
      <c r="E337" s="5">
        <v>1</v>
      </c>
      <c r="F337" s="42" t="s">
        <v>120</v>
      </c>
      <c r="G337" s="8" t="s">
        <v>172</v>
      </c>
      <c r="H337" s="12"/>
      <c r="I337" s="5">
        <f t="shared" si="4"/>
        <v>9</v>
      </c>
      <c r="J337" s="5">
        <v>1</v>
      </c>
      <c r="K337" s="5">
        <v>1</v>
      </c>
      <c r="L337" s="5"/>
      <c r="M337" s="5"/>
      <c r="N337" s="5">
        <v>1</v>
      </c>
      <c r="O337" s="5"/>
      <c r="P337" s="5">
        <v>2</v>
      </c>
      <c r="Q337" s="5">
        <v>3</v>
      </c>
      <c r="R337" s="5"/>
      <c r="S337" s="5"/>
      <c r="T337" s="5"/>
      <c r="U337" s="5">
        <v>1</v>
      </c>
      <c r="V337" s="6"/>
      <c r="W337" s="7">
        <v>1.4253000000000001E-4</v>
      </c>
      <c r="X337" s="7">
        <v>0.81808499560133108</v>
      </c>
      <c r="Y337" s="41" t="s">
        <v>116</v>
      </c>
    </row>
    <row r="338" spans="2:25" ht="17.100000000000001" customHeight="1">
      <c r="B338" s="5" t="s">
        <v>41</v>
      </c>
      <c r="C338" s="40" t="s">
        <v>307</v>
      </c>
      <c r="D338" s="5" t="str">
        <f>IFERROR(INDEX(회사별_교통수단매핑!$C$2:$C$1000,MATCH(1,INDEX(($C$14=회사별_교통수단매핑!$A$2:$A$1000)*($Y338=회사별_교통수단매핑!$B$2:$B$1000),0),0)),"")</f>
        <v>국내선 항공</v>
      </c>
      <c r="E338" s="5">
        <v>1</v>
      </c>
      <c r="F338" s="42" t="s">
        <v>120</v>
      </c>
      <c r="G338" s="8" t="s">
        <v>341</v>
      </c>
      <c r="H338" s="12"/>
      <c r="I338" s="5">
        <f t="shared" si="4"/>
        <v>1</v>
      </c>
      <c r="J338" s="5"/>
      <c r="K338" s="5"/>
      <c r="L338" s="5"/>
      <c r="M338" s="5"/>
      <c r="N338" s="5"/>
      <c r="O338" s="5"/>
      <c r="P338" s="5"/>
      <c r="Q338" s="5"/>
      <c r="R338" s="5"/>
      <c r="S338" s="5">
        <v>1</v>
      </c>
      <c r="T338" s="5"/>
      <c r="U338" s="5"/>
      <c r="V338" s="6"/>
      <c r="W338" s="7">
        <v>1.4253000000000001E-4</v>
      </c>
      <c r="X338" s="7">
        <v>6.8803230184915215E-2</v>
      </c>
      <c r="Y338" s="41" t="s">
        <v>116</v>
      </c>
    </row>
    <row r="339" spans="2:25" ht="17.100000000000001" customHeight="1">
      <c r="B339" s="5" t="s">
        <v>41</v>
      </c>
      <c r="C339" s="40" t="s">
        <v>307</v>
      </c>
      <c r="D339" s="5" t="str">
        <f>IFERROR(INDEX(회사별_교통수단매핑!$C$2:$C$1000,MATCH(1,INDEX(($C$14=회사별_교통수단매핑!$A$2:$A$1000)*($Y339=회사별_교통수단매핑!$B$2:$B$1000),0),0)),"")</f>
        <v>국내선 항공</v>
      </c>
      <c r="E339" s="5">
        <v>1</v>
      </c>
      <c r="F339" s="42" t="s">
        <v>120</v>
      </c>
      <c r="G339" s="8" t="s">
        <v>342</v>
      </c>
      <c r="H339" s="12"/>
      <c r="I339" s="5">
        <f t="shared" si="4"/>
        <v>2</v>
      </c>
      <c r="J339" s="5">
        <v>2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6"/>
      <c r="W339" s="7">
        <v>1.4253000000000001E-4</v>
      </c>
      <c r="X339" s="7">
        <v>0.18179666568918471</v>
      </c>
      <c r="Y339" s="41" t="s">
        <v>116</v>
      </c>
    </row>
    <row r="340" spans="2:25" ht="17.100000000000001" customHeight="1">
      <c r="B340" s="5" t="s">
        <v>41</v>
      </c>
      <c r="C340" s="40" t="s">
        <v>307</v>
      </c>
      <c r="D340" s="5" t="str">
        <f>IFERROR(INDEX(회사별_교통수단매핑!$C$2:$C$1000,MATCH(1,INDEX(($C$14=회사별_교통수단매핑!$A$2:$A$1000)*($Y340=회사별_교통수단매핑!$B$2:$B$1000),0),0)),"")</f>
        <v>국내선 항공</v>
      </c>
      <c r="E340" s="5">
        <v>1</v>
      </c>
      <c r="F340" s="42" t="s">
        <v>120</v>
      </c>
      <c r="G340" s="8" t="s">
        <v>152</v>
      </c>
      <c r="H340" s="12"/>
      <c r="I340" s="5">
        <f t="shared" si="4"/>
        <v>4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>
        <v>4</v>
      </c>
      <c r="V340" s="6"/>
      <c r="W340" s="7">
        <v>1.4253000000000001E-4</v>
      </c>
      <c r="X340" s="7">
        <v>0.36359333137836941</v>
      </c>
      <c r="Y340" s="41" t="s">
        <v>116</v>
      </c>
    </row>
    <row r="341" spans="2:25" ht="17.100000000000001" customHeight="1">
      <c r="B341" s="5" t="s">
        <v>41</v>
      </c>
      <c r="C341" s="40" t="s">
        <v>307</v>
      </c>
      <c r="D341" s="5" t="str">
        <f>IFERROR(INDEX(회사별_교통수단매핑!$C$2:$C$1000,MATCH(1,INDEX(($C$14=회사별_교통수단매핑!$A$2:$A$1000)*($Y341=회사별_교통수단매핑!$B$2:$B$1000),0),0)),"")</f>
        <v>국내선 항공</v>
      </c>
      <c r="E341" s="5">
        <v>1</v>
      </c>
      <c r="F341" s="42" t="s">
        <v>120</v>
      </c>
      <c r="G341" s="8" t="s">
        <v>343</v>
      </c>
      <c r="H341" s="12"/>
      <c r="I341" s="5">
        <f t="shared" ref="I341:I404" si="5">IF(SUM(J341:U341)=0,"",SUM(J341:U341))</f>
        <v>3</v>
      </c>
      <c r="J341" s="5"/>
      <c r="K341" s="5"/>
      <c r="L341" s="5"/>
      <c r="M341" s="5"/>
      <c r="N341" s="5"/>
      <c r="O341" s="5"/>
      <c r="P341" s="5">
        <v>3</v>
      </c>
      <c r="Q341" s="5"/>
      <c r="R341" s="5"/>
      <c r="S341" s="5"/>
      <c r="T341" s="5"/>
      <c r="U341" s="5"/>
      <c r="V341" s="6"/>
      <c r="W341" s="7">
        <v>1.4253000000000001E-4</v>
      </c>
      <c r="X341" s="7">
        <v>0.27269499853377699</v>
      </c>
      <c r="Y341" s="41" t="s">
        <v>116</v>
      </c>
    </row>
    <row r="342" spans="2:25" ht="17.100000000000001" customHeight="1">
      <c r="B342" s="5" t="s">
        <v>41</v>
      </c>
      <c r="C342" s="40" t="s">
        <v>307</v>
      </c>
      <c r="D342" s="5" t="str">
        <f>IFERROR(INDEX(회사별_교통수단매핑!$C$2:$C$1000,MATCH(1,INDEX(($C$14=회사별_교통수단매핑!$A$2:$A$1000)*($Y342=회사별_교통수단매핑!$B$2:$B$1000),0),0)),"")</f>
        <v>국내선 항공</v>
      </c>
      <c r="E342" s="5">
        <v>1</v>
      </c>
      <c r="F342" s="42" t="s">
        <v>120</v>
      </c>
      <c r="G342" s="8" t="s">
        <v>344</v>
      </c>
      <c r="H342" s="12"/>
      <c r="I342" s="5">
        <f t="shared" si="5"/>
        <v>3</v>
      </c>
      <c r="J342" s="5"/>
      <c r="K342" s="5"/>
      <c r="L342" s="5">
        <v>3</v>
      </c>
      <c r="M342" s="5"/>
      <c r="N342" s="5"/>
      <c r="O342" s="5"/>
      <c r="P342" s="5"/>
      <c r="Q342" s="5"/>
      <c r="R342" s="5"/>
      <c r="S342" s="5"/>
      <c r="T342" s="5"/>
      <c r="U342" s="5"/>
      <c r="V342" s="6"/>
      <c r="W342" s="7">
        <v>1.4253000000000001E-4</v>
      </c>
      <c r="X342" s="7">
        <v>0.30489627761375337</v>
      </c>
      <c r="Y342" s="41" t="s">
        <v>116</v>
      </c>
    </row>
    <row r="343" spans="2:25" ht="17.100000000000001" customHeight="1">
      <c r="B343" s="5" t="s">
        <v>41</v>
      </c>
      <c r="C343" s="40" t="s">
        <v>307</v>
      </c>
      <c r="D343" s="5" t="str">
        <f>IFERROR(INDEX(회사별_교통수단매핑!$C$2:$C$1000,MATCH(1,INDEX(($C$14=회사별_교통수단매핑!$A$2:$A$1000)*($Y343=회사별_교통수단매핑!$B$2:$B$1000),0),0)),"")</f>
        <v>국내선 항공</v>
      </c>
      <c r="E343" s="5">
        <v>1</v>
      </c>
      <c r="F343" s="42" t="s">
        <v>120</v>
      </c>
      <c r="G343" s="8" t="s">
        <v>157</v>
      </c>
      <c r="H343" s="12"/>
      <c r="I343" s="5">
        <f t="shared" si="5"/>
        <v>1</v>
      </c>
      <c r="J343" s="5"/>
      <c r="K343" s="5"/>
      <c r="L343" s="5"/>
      <c r="M343" s="5"/>
      <c r="N343" s="5">
        <v>1</v>
      </c>
      <c r="O343" s="5"/>
      <c r="P343" s="5"/>
      <c r="Q343" s="5"/>
      <c r="R343" s="5"/>
      <c r="S343" s="5"/>
      <c r="T343" s="5"/>
      <c r="U343" s="5"/>
      <c r="V343" s="6"/>
      <c r="W343" s="7">
        <v>1.4253000000000001E-4</v>
      </c>
      <c r="X343" s="7">
        <v>0.1189563358128905</v>
      </c>
      <c r="Y343" s="41" t="s">
        <v>116</v>
      </c>
    </row>
    <row r="344" spans="2:25" ht="17.100000000000001" customHeight="1">
      <c r="B344" s="5" t="s">
        <v>41</v>
      </c>
      <c r="C344" s="40" t="s">
        <v>307</v>
      </c>
      <c r="D344" s="5" t="str">
        <f>IFERROR(INDEX(회사별_교통수단매핑!$C$2:$C$1000,MATCH(1,INDEX(($C$14=회사별_교통수단매핑!$A$2:$A$1000)*($Y344=회사별_교통수단매핑!$B$2:$B$1000),0),0)),"")</f>
        <v>국내선 항공</v>
      </c>
      <c r="E344" s="5">
        <v>1</v>
      </c>
      <c r="F344" s="42" t="s">
        <v>120</v>
      </c>
      <c r="G344" s="8" t="s">
        <v>345</v>
      </c>
      <c r="H344" s="12"/>
      <c r="I344" s="5">
        <f t="shared" si="5"/>
        <v>1</v>
      </c>
      <c r="J344" s="5">
        <v>1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6"/>
      <c r="W344" s="7">
        <v>1.4253000000000001E-4</v>
      </c>
      <c r="X344" s="7">
        <v>5.8236715222679293E-2</v>
      </c>
      <c r="Y344" s="41" t="s">
        <v>116</v>
      </c>
    </row>
    <row r="345" spans="2:25" ht="17.100000000000001" customHeight="1">
      <c r="B345" s="5" t="s">
        <v>41</v>
      </c>
      <c r="C345" s="40" t="s">
        <v>307</v>
      </c>
      <c r="D345" s="5" t="str">
        <f>IFERROR(INDEX(회사별_교통수단매핑!$C$2:$C$1000,MATCH(1,INDEX(($C$14=회사별_교통수단매핑!$A$2:$A$1000)*($Y345=회사별_교통수단매핑!$B$2:$B$1000),0),0)),"")</f>
        <v>국내선 항공</v>
      </c>
      <c r="E345" s="5">
        <v>1</v>
      </c>
      <c r="F345" s="42" t="s">
        <v>120</v>
      </c>
      <c r="G345" s="8" t="s">
        <v>252</v>
      </c>
      <c r="H345" s="12"/>
      <c r="I345" s="5">
        <f t="shared" si="5"/>
        <v>1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>
        <v>1</v>
      </c>
      <c r="U345" s="5"/>
      <c r="V345" s="6"/>
      <c r="W345" s="7">
        <v>1.4253000000000001E-4</v>
      </c>
      <c r="X345" s="7">
        <v>5.8236715222679293E-2</v>
      </c>
      <c r="Y345" s="41" t="s">
        <v>116</v>
      </c>
    </row>
    <row r="346" spans="2:25" ht="17.100000000000001" customHeight="1">
      <c r="B346" s="5" t="s">
        <v>41</v>
      </c>
      <c r="C346" s="40" t="s">
        <v>307</v>
      </c>
      <c r="D346" s="5" t="str">
        <f>IFERROR(INDEX(회사별_교통수단매핑!$C$2:$C$1000,MATCH(1,INDEX(($C$14=회사별_교통수단매핑!$A$2:$A$1000)*($Y346=회사별_교통수단매핑!$B$2:$B$1000),0),0)),"")</f>
        <v>국내선 항공</v>
      </c>
      <c r="E346" s="5">
        <v>1</v>
      </c>
      <c r="F346" s="42" t="s">
        <v>120</v>
      </c>
      <c r="G346" s="8" t="s">
        <v>346</v>
      </c>
      <c r="H346" s="12"/>
      <c r="I346" s="5">
        <f t="shared" si="5"/>
        <v>1</v>
      </c>
      <c r="J346" s="5"/>
      <c r="K346" s="5"/>
      <c r="L346" s="5"/>
      <c r="M346" s="5"/>
      <c r="N346" s="5"/>
      <c r="O346" s="5"/>
      <c r="P346" s="5"/>
      <c r="Q346" s="5"/>
      <c r="R346" s="5">
        <v>1</v>
      </c>
      <c r="S346" s="5"/>
      <c r="T346" s="5"/>
      <c r="U346" s="5"/>
      <c r="V346" s="6"/>
      <c r="W346" s="7">
        <v>1.4253000000000001E-4</v>
      </c>
      <c r="X346" s="7">
        <v>5.8236715222679293E-2</v>
      </c>
      <c r="Y346" s="41" t="s">
        <v>116</v>
      </c>
    </row>
    <row r="347" spans="2:25" ht="17.100000000000001" customHeight="1">
      <c r="B347" s="5" t="s">
        <v>41</v>
      </c>
      <c r="C347" s="40" t="s">
        <v>307</v>
      </c>
      <c r="D347" s="5" t="str">
        <f>IFERROR(INDEX(회사별_교통수단매핑!$C$2:$C$1000,MATCH(1,INDEX(($C$14=회사별_교통수단매핑!$A$2:$A$1000)*($Y347=회사별_교통수단매핑!$B$2:$B$1000),0),0)),"")</f>
        <v>국내선 항공</v>
      </c>
      <c r="E347" s="5">
        <v>1</v>
      </c>
      <c r="F347" s="42" t="s">
        <v>120</v>
      </c>
      <c r="G347" s="8" t="s">
        <v>347</v>
      </c>
      <c r="H347" s="12"/>
      <c r="I347" s="5">
        <f t="shared" si="5"/>
        <v>4</v>
      </c>
      <c r="J347" s="5"/>
      <c r="K347" s="5"/>
      <c r="L347" s="5"/>
      <c r="M347" s="5"/>
      <c r="N347" s="5"/>
      <c r="O347" s="5"/>
      <c r="P347" s="5"/>
      <c r="Q347" s="5"/>
      <c r="R347" s="5">
        <v>2</v>
      </c>
      <c r="S347" s="5"/>
      <c r="T347" s="5"/>
      <c r="U347" s="5">
        <v>2</v>
      </c>
      <c r="V347" s="6"/>
      <c r="W347" s="7">
        <v>1.4253000000000001E-4</v>
      </c>
      <c r="X347" s="7">
        <v>0.2329468608907172</v>
      </c>
      <c r="Y347" s="41" t="s">
        <v>116</v>
      </c>
    </row>
    <row r="348" spans="2:25" ht="17.100000000000001" customHeight="1">
      <c r="B348" s="5" t="s">
        <v>41</v>
      </c>
      <c r="C348" s="40" t="s">
        <v>307</v>
      </c>
      <c r="D348" s="5" t="str">
        <f>IFERROR(INDEX(회사별_교통수단매핑!$C$2:$C$1000,MATCH(1,INDEX(($C$14=회사별_교통수단매핑!$A$2:$A$1000)*($Y348=회사별_교통수단매핑!$B$2:$B$1000),0),0)),"")</f>
        <v>국내선 항공</v>
      </c>
      <c r="E348" s="5">
        <v>1</v>
      </c>
      <c r="F348" s="42" t="s">
        <v>120</v>
      </c>
      <c r="G348" s="8" t="s">
        <v>43</v>
      </c>
      <c r="H348" s="12"/>
      <c r="I348" s="5">
        <f t="shared" si="5"/>
        <v>12</v>
      </c>
      <c r="J348" s="5">
        <v>4</v>
      </c>
      <c r="K348" s="5"/>
      <c r="L348" s="5"/>
      <c r="M348" s="5">
        <v>2</v>
      </c>
      <c r="N348" s="5"/>
      <c r="O348" s="5"/>
      <c r="P348" s="5">
        <v>2</v>
      </c>
      <c r="Q348" s="5"/>
      <c r="R348" s="5"/>
      <c r="S348" s="5">
        <v>4</v>
      </c>
      <c r="T348" s="5"/>
      <c r="U348" s="5"/>
      <c r="V348" s="6"/>
      <c r="W348" s="7">
        <v>1.4253000000000001E-4</v>
      </c>
      <c r="X348" s="7">
        <v>0.69884058267215154</v>
      </c>
      <c r="Y348" s="41" t="s">
        <v>116</v>
      </c>
    </row>
    <row r="349" spans="2:25" ht="17.100000000000001" customHeight="1">
      <c r="B349" s="5" t="s">
        <v>41</v>
      </c>
      <c r="C349" s="40" t="s">
        <v>307</v>
      </c>
      <c r="D349" s="5" t="str">
        <f>IFERROR(INDEX(회사별_교통수단매핑!$C$2:$C$1000,MATCH(1,INDEX(($C$14=회사별_교통수단매핑!$A$2:$A$1000)*($Y349=회사별_교통수단매핑!$B$2:$B$1000),0),0)),"")</f>
        <v>국내선 항공</v>
      </c>
      <c r="E349" s="5">
        <v>1</v>
      </c>
      <c r="F349" s="42" t="s">
        <v>120</v>
      </c>
      <c r="G349" s="8" t="s">
        <v>348</v>
      </c>
      <c r="H349" s="12"/>
      <c r="I349" s="5">
        <f t="shared" si="5"/>
        <v>2</v>
      </c>
      <c r="J349" s="5"/>
      <c r="K349" s="5">
        <v>1</v>
      </c>
      <c r="L349" s="5"/>
      <c r="M349" s="5"/>
      <c r="N349" s="5"/>
      <c r="O349" s="5">
        <v>1</v>
      </c>
      <c r="P349" s="5"/>
      <c r="Q349" s="5"/>
      <c r="R349" s="5"/>
      <c r="S349" s="5"/>
      <c r="T349" s="5"/>
      <c r="U349" s="5"/>
      <c r="V349" s="6"/>
      <c r="W349" s="7">
        <v>1.4253000000000001E-4</v>
      </c>
      <c r="X349" s="7">
        <v>0.2032641850758356</v>
      </c>
      <c r="Y349" s="41" t="s">
        <v>116</v>
      </c>
    </row>
    <row r="350" spans="2:25" ht="17.100000000000001" customHeight="1">
      <c r="B350" s="5" t="s">
        <v>41</v>
      </c>
      <c r="C350" s="40" t="s">
        <v>307</v>
      </c>
      <c r="D350" s="5" t="str">
        <f>IFERROR(INDEX(회사별_교통수단매핑!$C$2:$C$1000,MATCH(1,INDEX(($C$14=회사별_교통수단매핑!$A$2:$A$1000)*($Y350=회사별_교통수단매핑!$B$2:$B$1000),0),0)),"")</f>
        <v>국내선 항공</v>
      </c>
      <c r="E350" s="5">
        <v>1</v>
      </c>
      <c r="F350" s="42" t="s">
        <v>120</v>
      </c>
      <c r="G350" s="8" t="s">
        <v>349</v>
      </c>
      <c r="H350" s="12"/>
      <c r="I350" s="5">
        <f t="shared" si="5"/>
        <v>1</v>
      </c>
      <c r="J350" s="5"/>
      <c r="K350" s="5"/>
      <c r="L350" s="5"/>
      <c r="M350" s="5"/>
      <c r="N350" s="5">
        <v>1</v>
      </c>
      <c r="O350" s="5"/>
      <c r="P350" s="5"/>
      <c r="Q350" s="5"/>
      <c r="R350" s="5"/>
      <c r="S350" s="5"/>
      <c r="T350" s="5"/>
      <c r="U350" s="5"/>
      <c r="V350" s="6"/>
      <c r="W350" s="7">
        <v>1.4253000000000001E-4</v>
      </c>
      <c r="X350" s="7">
        <v>0.1016320925379178</v>
      </c>
      <c r="Y350" s="41" t="s">
        <v>116</v>
      </c>
    </row>
    <row r="351" spans="2:25" ht="17.100000000000001" customHeight="1">
      <c r="B351" s="5" t="s">
        <v>41</v>
      </c>
      <c r="C351" s="40" t="s">
        <v>307</v>
      </c>
      <c r="D351" s="5" t="str">
        <f>IFERROR(INDEX(회사별_교통수단매핑!$C$2:$C$1000,MATCH(1,INDEX(($C$14=회사별_교통수단매핑!$A$2:$A$1000)*($Y351=회사별_교통수단매핑!$B$2:$B$1000),0),0)),"")</f>
        <v>국내선 항공</v>
      </c>
      <c r="E351" s="5">
        <v>1</v>
      </c>
      <c r="F351" s="42" t="s">
        <v>120</v>
      </c>
      <c r="G351" s="8" t="s">
        <v>350</v>
      </c>
      <c r="H351" s="12"/>
      <c r="I351" s="5">
        <f t="shared" si="5"/>
        <v>2</v>
      </c>
      <c r="J351" s="5"/>
      <c r="K351" s="5"/>
      <c r="L351" s="5"/>
      <c r="M351" s="5"/>
      <c r="N351" s="5">
        <v>1</v>
      </c>
      <c r="O351" s="5">
        <v>1</v>
      </c>
      <c r="P351" s="5"/>
      <c r="Q351" s="5"/>
      <c r="R351" s="5"/>
      <c r="S351" s="5"/>
      <c r="T351" s="5"/>
      <c r="U351" s="5"/>
      <c r="V351" s="6"/>
      <c r="W351" s="7">
        <v>1.4253000000000001E-4</v>
      </c>
      <c r="X351" s="7">
        <v>0.2032641850758356</v>
      </c>
      <c r="Y351" s="41" t="s">
        <v>116</v>
      </c>
    </row>
    <row r="352" spans="2:25" ht="17.100000000000001" customHeight="1">
      <c r="B352" s="5" t="s">
        <v>41</v>
      </c>
      <c r="C352" s="40" t="s">
        <v>307</v>
      </c>
      <c r="D352" s="5" t="str">
        <f>IFERROR(INDEX(회사별_교통수단매핑!$C$2:$C$1000,MATCH(1,INDEX(($C$14=회사별_교통수단매핑!$A$2:$A$1000)*($Y352=회사별_교통수단매핑!$B$2:$B$1000),0),0)),"")</f>
        <v>국내선 항공</v>
      </c>
      <c r="E352" s="5">
        <v>1</v>
      </c>
      <c r="F352" s="42" t="s">
        <v>120</v>
      </c>
      <c r="G352" s="8" t="s">
        <v>258</v>
      </c>
      <c r="H352" s="12"/>
      <c r="I352" s="5">
        <f t="shared" si="5"/>
        <v>1</v>
      </c>
      <c r="J352" s="5"/>
      <c r="K352" s="5"/>
      <c r="L352" s="5">
        <v>1</v>
      </c>
      <c r="M352" s="5"/>
      <c r="N352" s="5"/>
      <c r="O352" s="5"/>
      <c r="P352" s="5"/>
      <c r="Q352" s="5"/>
      <c r="R352" s="5"/>
      <c r="S352" s="5"/>
      <c r="T352" s="5"/>
      <c r="U352" s="5"/>
      <c r="V352" s="6"/>
      <c r="W352" s="7">
        <v>1.4253000000000001E-4</v>
      </c>
      <c r="X352" s="7">
        <v>0.1016320925379178</v>
      </c>
      <c r="Y352" s="41" t="s">
        <v>116</v>
      </c>
    </row>
    <row r="353" spans="2:25" ht="17.100000000000001" customHeight="1">
      <c r="B353" s="5" t="s">
        <v>41</v>
      </c>
      <c r="C353" s="40" t="s">
        <v>307</v>
      </c>
      <c r="D353" s="5" t="str">
        <f>IFERROR(INDEX(회사별_교통수단매핑!$C$2:$C$1000,MATCH(1,INDEX(($C$14=회사별_교통수단매핑!$A$2:$A$1000)*($Y353=회사별_교통수단매핑!$B$2:$B$1000),0),0)),"")</f>
        <v>국내선 항공</v>
      </c>
      <c r="E353" s="5">
        <v>1</v>
      </c>
      <c r="F353" s="42" t="s">
        <v>120</v>
      </c>
      <c r="G353" s="8" t="s">
        <v>351</v>
      </c>
      <c r="H353" s="12"/>
      <c r="I353" s="5">
        <f t="shared" si="5"/>
        <v>4</v>
      </c>
      <c r="J353" s="5"/>
      <c r="K353" s="5"/>
      <c r="L353" s="5"/>
      <c r="M353" s="5">
        <v>3</v>
      </c>
      <c r="N353" s="5"/>
      <c r="O353" s="5"/>
      <c r="P353" s="5"/>
      <c r="Q353" s="5"/>
      <c r="R353" s="5"/>
      <c r="S353" s="5"/>
      <c r="T353" s="5"/>
      <c r="U353" s="5">
        <v>1</v>
      </c>
      <c r="V353" s="6"/>
      <c r="W353" s="7">
        <v>1.4253000000000001E-4</v>
      </c>
      <c r="X353" s="7">
        <v>0.44905616980965579</v>
      </c>
      <c r="Y353" s="41" t="s">
        <v>116</v>
      </c>
    </row>
    <row r="354" spans="2:25" ht="17.100000000000001" customHeight="1">
      <c r="B354" s="5" t="s">
        <v>41</v>
      </c>
      <c r="C354" s="40" t="s">
        <v>307</v>
      </c>
      <c r="D354" s="5" t="str">
        <f>IFERROR(INDEX(회사별_교통수단매핑!$C$2:$C$1000,MATCH(1,INDEX(($C$14=회사별_교통수단매핑!$A$2:$A$1000)*($Y354=회사별_교통수단매핑!$B$2:$B$1000),0),0)),"")</f>
        <v>국내선 항공</v>
      </c>
      <c r="E354" s="5">
        <v>1</v>
      </c>
      <c r="F354" s="42" t="s">
        <v>120</v>
      </c>
      <c r="G354" s="8" t="s">
        <v>352</v>
      </c>
      <c r="H354" s="12"/>
      <c r="I354" s="5">
        <f t="shared" si="5"/>
        <v>1</v>
      </c>
      <c r="J354" s="5"/>
      <c r="K354" s="5"/>
      <c r="L354" s="5"/>
      <c r="M354" s="5"/>
      <c r="N354" s="5"/>
      <c r="O354" s="5"/>
      <c r="P354" s="5"/>
      <c r="Q354" s="5"/>
      <c r="R354" s="5"/>
      <c r="S354" s="5">
        <v>1</v>
      </c>
      <c r="T354" s="5"/>
      <c r="U354" s="5"/>
      <c r="V354" s="6"/>
      <c r="W354" s="7">
        <v>1.4253000000000001E-4</v>
      </c>
      <c r="X354" s="7">
        <v>0.11226404245241391</v>
      </c>
      <c r="Y354" s="41" t="s">
        <v>116</v>
      </c>
    </row>
    <row r="355" spans="2:25" ht="17.100000000000001" customHeight="1">
      <c r="B355" s="5" t="s">
        <v>41</v>
      </c>
      <c r="C355" s="40" t="s">
        <v>307</v>
      </c>
      <c r="D355" s="5" t="str">
        <f>IFERROR(INDEX(회사별_교통수단매핑!$C$2:$C$1000,MATCH(1,INDEX(($C$14=회사별_교통수단매핑!$A$2:$A$1000)*($Y355=회사별_교통수단매핑!$B$2:$B$1000),0),0)),"")</f>
        <v>국내선 항공</v>
      </c>
      <c r="E355" s="5">
        <v>1</v>
      </c>
      <c r="F355" s="42" t="s">
        <v>120</v>
      </c>
      <c r="G355" s="8" t="s">
        <v>233</v>
      </c>
      <c r="H355" s="12"/>
      <c r="I355" s="5">
        <f t="shared" si="5"/>
        <v>1</v>
      </c>
      <c r="J355" s="5"/>
      <c r="K355" s="5"/>
      <c r="L355" s="5"/>
      <c r="M355" s="5"/>
      <c r="N355" s="5"/>
      <c r="O355" s="5"/>
      <c r="P355" s="5"/>
      <c r="Q355" s="5"/>
      <c r="R355" s="5">
        <v>1</v>
      </c>
      <c r="S355" s="5"/>
      <c r="T355" s="5"/>
      <c r="U355" s="5"/>
      <c r="V355" s="6"/>
      <c r="W355" s="7">
        <v>1.4253000000000001E-4</v>
      </c>
      <c r="X355" s="7">
        <v>0.11226404245241391</v>
      </c>
      <c r="Y355" s="41" t="s">
        <v>116</v>
      </c>
    </row>
    <row r="356" spans="2:25" ht="17.100000000000001" customHeight="1">
      <c r="B356" s="5" t="s">
        <v>41</v>
      </c>
      <c r="C356" s="40" t="s">
        <v>307</v>
      </c>
      <c r="D356" s="5" t="str">
        <f>IFERROR(INDEX(회사별_교통수단매핑!$C$2:$C$1000,MATCH(1,INDEX(($C$14=회사별_교통수단매핑!$A$2:$A$1000)*($Y356=회사별_교통수단매핑!$B$2:$B$1000),0),0)),"")</f>
        <v>국내선 항공</v>
      </c>
      <c r="E356" s="5">
        <v>1</v>
      </c>
      <c r="F356" s="42" t="s">
        <v>120</v>
      </c>
      <c r="G356" s="8" t="s">
        <v>260</v>
      </c>
      <c r="H356" s="12"/>
      <c r="I356" s="5">
        <f t="shared" si="5"/>
        <v>3</v>
      </c>
      <c r="J356" s="5">
        <v>2</v>
      </c>
      <c r="K356" s="5"/>
      <c r="L356" s="5">
        <v>1</v>
      </c>
      <c r="M356" s="5"/>
      <c r="N356" s="5"/>
      <c r="O356" s="5"/>
      <c r="P356" s="5"/>
      <c r="Q356" s="5"/>
      <c r="R356" s="5"/>
      <c r="S356" s="5"/>
      <c r="T356" s="5"/>
      <c r="U356" s="5"/>
      <c r="V356" s="6"/>
      <c r="W356" s="7">
        <v>1.4253000000000001E-4</v>
      </c>
      <c r="X356" s="7">
        <v>0.33679212735724179</v>
      </c>
      <c r="Y356" s="41" t="s">
        <v>116</v>
      </c>
    </row>
    <row r="357" spans="2:25" ht="17.100000000000001" customHeight="1">
      <c r="B357" s="5" t="s">
        <v>41</v>
      </c>
      <c r="C357" s="40" t="s">
        <v>307</v>
      </c>
      <c r="D357" s="5" t="str">
        <f>IFERROR(INDEX(회사별_교통수단매핑!$C$2:$C$1000,MATCH(1,INDEX(($C$14=회사별_교통수단매핑!$A$2:$A$1000)*($Y357=회사별_교통수단매핑!$B$2:$B$1000),0),0)),"")</f>
        <v>국내선 항공</v>
      </c>
      <c r="E357" s="5">
        <v>1</v>
      </c>
      <c r="F357" s="42" t="s">
        <v>120</v>
      </c>
      <c r="G357" s="8" t="s">
        <v>353</v>
      </c>
      <c r="H357" s="12"/>
      <c r="I357" s="5">
        <f t="shared" si="5"/>
        <v>1</v>
      </c>
      <c r="J357" s="5"/>
      <c r="K357" s="5"/>
      <c r="L357" s="5"/>
      <c r="M357" s="5"/>
      <c r="N357" s="5"/>
      <c r="O357" s="5"/>
      <c r="P357" s="5"/>
      <c r="Q357" s="5">
        <v>1</v>
      </c>
      <c r="R357" s="5"/>
      <c r="S357" s="5"/>
      <c r="T357" s="5"/>
      <c r="U357" s="5"/>
      <c r="V357" s="6"/>
      <c r="W357" s="7">
        <v>1.4253000000000001E-4</v>
      </c>
      <c r="X357" s="7">
        <v>0.11226404245241391</v>
      </c>
      <c r="Y357" s="41" t="s">
        <v>116</v>
      </c>
    </row>
    <row r="358" spans="2:25" ht="17.100000000000001" customHeight="1">
      <c r="B358" s="5" t="s">
        <v>41</v>
      </c>
      <c r="C358" s="40" t="s">
        <v>307</v>
      </c>
      <c r="D358" s="5" t="str">
        <f>IFERROR(INDEX(회사별_교통수단매핑!$C$2:$C$1000,MATCH(1,INDEX(($C$14=회사별_교통수단매핑!$A$2:$A$1000)*($Y358=회사별_교통수단매핑!$B$2:$B$1000),0),0)),"")</f>
        <v>국내선 항공</v>
      </c>
      <c r="E358" s="5">
        <v>1</v>
      </c>
      <c r="F358" s="42" t="s">
        <v>120</v>
      </c>
      <c r="G358" s="8" t="s">
        <v>354</v>
      </c>
      <c r="H358" s="12"/>
      <c r="I358" s="5">
        <f t="shared" si="5"/>
        <v>2</v>
      </c>
      <c r="J358" s="5"/>
      <c r="K358" s="5"/>
      <c r="L358" s="5"/>
      <c r="M358" s="5">
        <v>2</v>
      </c>
      <c r="N358" s="5"/>
      <c r="O358" s="5"/>
      <c r="P358" s="5"/>
      <c r="Q358" s="5"/>
      <c r="R358" s="5"/>
      <c r="S358" s="5"/>
      <c r="T358" s="5"/>
      <c r="U358" s="5"/>
      <c r="V358" s="6"/>
      <c r="W358" s="7">
        <v>1.4253000000000001E-4</v>
      </c>
      <c r="X358" s="7">
        <v>0.2245280849048279</v>
      </c>
      <c r="Y358" s="41" t="s">
        <v>116</v>
      </c>
    </row>
    <row r="359" spans="2:25" ht="17.100000000000001" customHeight="1">
      <c r="B359" s="5" t="s">
        <v>41</v>
      </c>
      <c r="C359" s="40" t="s">
        <v>307</v>
      </c>
      <c r="D359" s="5" t="str">
        <f>IFERROR(INDEX(회사별_교통수단매핑!$C$2:$C$1000,MATCH(1,INDEX(($C$14=회사별_교통수단매핑!$A$2:$A$1000)*($Y359=회사별_교통수단매핑!$B$2:$B$1000),0),0)),"")</f>
        <v>국내선 항공</v>
      </c>
      <c r="E359" s="5">
        <v>1</v>
      </c>
      <c r="F359" s="42" t="s">
        <v>120</v>
      </c>
      <c r="G359" s="8" t="s">
        <v>355</v>
      </c>
      <c r="H359" s="12"/>
      <c r="I359" s="5">
        <f t="shared" si="5"/>
        <v>1</v>
      </c>
      <c r="J359" s="5"/>
      <c r="K359" s="5"/>
      <c r="L359" s="5"/>
      <c r="M359" s="5"/>
      <c r="N359" s="5"/>
      <c r="O359" s="5">
        <v>1</v>
      </c>
      <c r="P359" s="5"/>
      <c r="Q359" s="5"/>
      <c r="R359" s="5"/>
      <c r="S359" s="5"/>
      <c r="T359" s="5"/>
      <c r="U359" s="5"/>
      <c r="V359" s="6"/>
      <c r="W359" s="7">
        <v>1.4253000000000001E-4</v>
      </c>
      <c r="X359" s="7">
        <v>0.11226404245241391</v>
      </c>
      <c r="Y359" s="41" t="s">
        <v>116</v>
      </c>
    </row>
    <row r="360" spans="2:25" ht="17.100000000000001" customHeight="1">
      <c r="B360" s="5" t="s">
        <v>41</v>
      </c>
      <c r="C360" s="40" t="s">
        <v>307</v>
      </c>
      <c r="D360" s="5" t="str">
        <f>IFERROR(INDEX(회사별_교통수단매핑!$C$2:$C$1000,MATCH(1,INDEX(($C$14=회사별_교통수단매핑!$A$2:$A$1000)*($Y360=회사별_교통수단매핑!$B$2:$B$1000),0),0)),"")</f>
        <v>국내선 항공</v>
      </c>
      <c r="E360" s="5">
        <v>1</v>
      </c>
      <c r="F360" s="42" t="s">
        <v>120</v>
      </c>
      <c r="G360" s="8" t="s">
        <v>356</v>
      </c>
      <c r="H360" s="12"/>
      <c r="I360" s="5">
        <f t="shared" si="5"/>
        <v>1</v>
      </c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>
        <v>1</v>
      </c>
      <c r="V360" s="6"/>
      <c r="W360" s="7">
        <v>1.4253000000000001E-4</v>
      </c>
      <c r="X360" s="7">
        <v>0.11226404245241391</v>
      </c>
      <c r="Y360" s="41" t="s">
        <v>116</v>
      </c>
    </row>
    <row r="361" spans="2:25" ht="17.100000000000001" customHeight="1">
      <c r="B361" s="5" t="s">
        <v>41</v>
      </c>
      <c r="C361" s="40" t="s">
        <v>307</v>
      </c>
      <c r="D361" s="5" t="str">
        <f>IFERROR(INDEX(회사별_교통수단매핑!$C$2:$C$1000,MATCH(1,INDEX(($C$14=회사별_교통수단매핑!$A$2:$A$1000)*($Y361=회사별_교통수단매핑!$B$2:$B$1000),0),0)),"")</f>
        <v>국내선 항공</v>
      </c>
      <c r="E361" s="5">
        <v>1</v>
      </c>
      <c r="F361" s="42" t="s">
        <v>120</v>
      </c>
      <c r="G361" s="8" t="s">
        <v>261</v>
      </c>
      <c r="H361" s="12"/>
      <c r="I361" s="5">
        <f t="shared" si="5"/>
        <v>1</v>
      </c>
      <c r="J361" s="5"/>
      <c r="K361" s="5"/>
      <c r="L361" s="5">
        <v>1</v>
      </c>
      <c r="M361" s="5"/>
      <c r="N361" s="5"/>
      <c r="O361" s="5"/>
      <c r="P361" s="5"/>
      <c r="Q361" s="5"/>
      <c r="R361" s="5"/>
      <c r="S361" s="5"/>
      <c r="T361" s="5"/>
      <c r="U361" s="5"/>
      <c r="V361" s="6"/>
      <c r="W361" s="7">
        <v>1.4253000000000001E-4</v>
      </c>
      <c r="X361" s="7">
        <v>0.11226404245241391</v>
      </c>
      <c r="Y361" s="41" t="s">
        <v>116</v>
      </c>
    </row>
    <row r="362" spans="2:25" ht="17.100000000000001" customHeight="1">
      <c r="B362" s="5" t="s">
        <v>41</v>
      </c>
      <c r="C362" s="40" t="s">
        <v>307</v>
      </c>
      <c r="D362" s="5" t="str">
        <f>IFERROR(INDEX(회사별_교통수단매핑!$C$2:$C$1000,MATCH(1,INDEX(($C$14=회사별_교통수단매핑!$A$2:$A$1000)*($Y362=회사별_교통수단매핑!$B$2:$B$1000),0),0)),"")</f>
        <v>국내선 항공</v>
      </c>
      <c r="E362" s="5">
        <v>1</v>
      </c>
      <c r="F362" s="42" t="s">
        <v>120</v>
      </c>
      <c r="G362" s="8" t="s">
        <v>357</v>
      </c>
      <c r="H362" s="12"/>
      <c r="I362" s="5">
        <f t="shared" si="5"/>
        <v>1</v>
      </c>
      <c r="J362" s="5"/>
      <c r="K362" s="5"/>
      <c r="L362" s="5"/>
      <c r="M362" s="5"/>
      <c r="N362" s="5"/>
      <c r="O362" s="5"/>
      <c r="P362" s="5"/>
      <c r="Q362" s="5"/>
      <c r="R362" s="5"/>
      <c r="S362" s="5">
        <v>1</v>
      </c>
      <c r="T362" s="5"/>
      <c r="U362" s="5"/>
      <c r="V362" s="6"/>
      <c r="W362" s="7">
        <v>1.4253000000000001E-4</v>
      </c>
      <c r="X362" s="7">
        <v>0.11226404245241391</v>
      </c>
      <c r="Y362" s="41" t="s">
        <v>116</v>
      </c>
    </row>
    <row r="363" spans="2:25" ht="17.100000000000001" customHeight="1">
      <c r="B363" s="5" t="s">
        <v>41</v>
      </c>
      <c r="C363" s="40" t="s">
        <v>307</v>
      </c>
      <c r="D363" s="5" t="str">
        <f>IFERROR(INDEX(회사별_교통수단매핑!$C$2:$C$1000,MATCH(1,INDEX(($C$14=회사별_교통수단매핑!$A$2:$A$1000)*($Y363=회사별_교통수단매핑!$B$2:$B$1000),0),0)),"")</f>
        <v>국내선 항공</v>
      </c>
      <c r="E363" s="5">
        <v>1</v>
      </c>
      <c r="F363" s="42" t="s">
        <v>120</v>
      </c>
      <c r="G363" s="8" t="s">
        <v>358</v>
      </c>
      <c r="H363" s="12"/>
      <c r="I363" s="5">
        <f t="shared" si="5"/>
        <v>2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>
        <v>2</v>
      </c>
      <c r="V363" s="6"/>
      <c r="W363" s="7">
        <v>1.4253000000000001E-4</v>
      </c>
      <c r="X363" s="7">
        <v>0.2245280849048279</v>
      </c>
      <c r="Y363" s="41" t="s">
        <v>116</v>
      </c>
    </row>
    <row r="364" spans="2:25" ht="17.100000000000001" customHeight="1">
      <c r="B364" s="5" t="s">
        <v>41</v>
      </c>
      <c r="C364" s="40" t="s">
        <v>307</v>
      </c>
      <c r="D364" s="5" t="str">
        <f>IFERROR(INDEX(회사별_교통수단매핑!$C$2:$C$1000,MATCH(1,INDEX(($C$14=회사별_교통수단매핑!$A$2:$A$1000)*($Y364=회사별_교통수단매핑!$B$2:$B$1000),0),0)),"")</f>
        <v>국내선 항공</v>
      </c>
      <c r="E364" s="5">
        <v>1</v>
      </c>
      <c r="F364" s="42" t="s">
        <v>120</v>
      </c>
      <c r="G364" s="8" t="s">
        <v>359</v>
      </c>
      <c r="H364" s="12"/>
      <c r="I364" s="5">
        <f t="shared" si="5"/>
        <v>2</v>
      </c>
      <c r="J364" s="5"/>
      <c r="K364" s="5"/>
      <c r="L364" s="5"/>
      <c r="M364" s="5"/>
      <c r="N364" s="5">
        <v>2</v>
      </c>
      <c r="O364" s="5"/>
      <c r="P364" s="5"/>
      <c r="Q364" s="5"/>
      <c r="R364" s="5"/>
      <c r="S364" s="5"/>
      <c r="T364" s="5"/>
      <c r="U364" s="5"/>
      <c r="V364" s="6"/>
      <c r="W364" s="7">
        <v>1.4253000000000001E-4</v>
      </c>
      <c r="X364" s="7">
        <v>0.2245280849048279</v>
      </c>
      <c r="Y364" s="41" t="s">
        <v>116</v>
      </c>
    </row>
    <row r="365" spans="2:25" ht="17.100000000000001" customHeight="1">
      <c r="B365" s="5" t="s">
        <v>41</v>
      </c>
      <c r="C365" s="40" t="s">
        <v>307</v>
      </c>
      <c r="D365" s="5" t="str">
        <f>IFERROR(INDEX(회사별_교통수단매핑!$C$2:$C$1000,MATCH(1,INDEX(($C$14=회사별_교통수단매핑!$A$2:$A$1000)*($Y365=회사별_교통수단매핑!$B$2:$B$1000),0),0)),"")</f>
        <v>국내선 항공</v>
      </c>
      <c r="E365" s="5">
        <v>1</v>
      </c>
      <c r="F365" s="42" t="s">
        <v>120</v>
      </c>
      <c r="G365" s="8" t="s">
        <v>191</v>
      </c>
      <c r="H365" s="12"/>
      <c r="I365" s="5">
        <f t="shared" si="5"/>
        <v>9</v>
      </c>
      <c r="J365" s="5"/>
      <c r="K365" s="5"/>
      <c r="L365" s="5">
        <v>2</v>
      </c>
      <c r="M365" s="5"/>
      <c r="N365" s="5">
        <v>2</v>
      </c>
      <c r="O365" s="5">
        <v>2</v>
      </c>
      <c r="P365" s="5"/>
      <c r="Q365" s="5">
        <v>1</v>
      </c>
      <c r="R365" s="5"/>
      <c r="S365" s="5"/>
      <c r="T365" s="5"/>
      <c r="U365" s="5">
        <v>2</v>
      </c>
      <c r="V365" s="6"/>
      <c r="W365" s="7">
        <v>1.4253000000000001E-4</v>
      </c>
      <c r="X365" s="7">
        <v>1.010376382071726</v>
      </c>
      <c r="Y365" s="41" t="s">
        <v>116</v>
      </c>
    </row>
    <row r="366" spans="2:25" ht="17.100000000000001" customHeight="1">
      <c r="B366" s="5" t="s">
        <v>41</v>
      </c>
      <c r="C366" s="40" t="s">
        <v>307</v>
      </c>
      <c r="D366" s="5" t="str">
        <f>IFERROR(INDEX(회사별_교통수단매핑!$C$2:$C$1000,MATCH(1,INDEX(($C$14=회사별_교통수단매핑!$A$2:$A$1000)*($Y366=회사별_교통수단매핑!$B$2:$B$1000),0),0)),"")</f>
        <v>국내선 항공</v>
      </c>
      <c r="E366" s="5">
        <v>1</v>
      </c>
      <c r="F366" s="42" t="s">
        <v>120</v>
      </c>
      <c r="G366" s="8" t="s">
        <v>360</v>
      </c>
      <c r="H366" s="12"/>
      <c r="I366" s="5">
        <f t="shared" si="5"/>
        <v>2</v>
      </c>
      <c r="J366" s="5"/>
      <c r="K366" s="5"/>
      <c r="L366" s="5"/>
      <c r="M366" s="5"/>
      <c r="N366" s="5"/>
      <c r="O366" s="5"/>
      <c r="P366" s="5">
        <v>2</v>
      </c>
      <c r="Q366" s="5"/>
      <c r="R366" s="5"/>
      <c r="S366" s="5"/>
      <c r="T366" s="5"/>
      <c r="U366" s="5"/>
      <c r="V366" s="6"/>
      <c r="W366" s="7">
        <v>1.4253000000000001E-4</v>
      </c>
      <c r="X366" s="7">
        <v>0.18179666568918471</v>
      </c>
      <c r="Y366" s="41" t="s">
        <v>116</v>
      </c>
    </row>
    <row r="367" spans="2:25" ht="17.100000000000001" customHeight="1">
      <c r="B367" s="5" t="s">
        <v>41</v>
      </c>
      <c r="C367" s="40" t="s">
        <v>307</v>
      </c>
      <c r="D367" s="5" t="str">
        <f>IFERROR(INDEX(회사별_교통수단매핑!$C$2:$C$1000,MATCH(1,INDEX(($C$14=회사별_교통수단매핑!$A$2:$A$1000)*($Y367=회사별_교통수단매핑!$B$2:$B$1000),0),0)),"")</f>
        <v>국내선 항공</v>
      </c>
      <c r="E367" s="5">
        <v>1</v>
      </c>
      <c r="F367" s="42" t="s">
        <v>120</v>
      </c>
      <c r="G367" s="8" t="s">
        <v>361</v>
      </c>
      <c r="H367" s="12"/>
      <c r="I367" s="5">
        <f t="shared" si="5"/>
        <v>5</v>
      </c>
      <c r="J367" s="5"/>
      <c r="K367" s="5"/>
      <c r="L367" s="5"/>
      <c r="M367" s="5"/>
      <c r="N367" s="5"/>
      <c r="O367" s="5"/>
      <c r="P367" s="5"/>
      <c r="Q367" s="5">
        <v>5</v>
      </c>
      <c r="R367" s="5"/>
      <c r="S367" s="5"/>
      <c r="T367" s="5"/>
      <c r="U367" s="5"/>
      <c r="V367" s="6"/>
      <c r="W367" s="7">
        <v>1.4253000000000001E-4</v>
      </c>
      <c r="X367" s="7">
        <v>0.45449166422296172</v>
      </c>
      <c r="Y367" s="41" t="s">
        <v>116</v>
      </c>
    </row>
    <row r="368" spans="2:25" ht="17.100000000000001" customHeight="1">
      <c r="B368" s="5" t="s">
        <v>41</v>
      </c>
      <c r="C368" s="40" t="s">
        <v>307</v>
      </c>
      <c r="D368" s="5" t="str">
        <f>IFERROR(INDEX(회사별_교통수단매핑!$C$2:$C$1000,MATCH(1,INDEX(($C$14=회사별_교통수단매핑!$A$2:$A$1000)*($Y368=회사별_교통수단매핑!$B$2:$B$1000),0),0)),"")</f>
        <v>국내선 항공</v>
      </c>
      <c r="E368" s="5">
        <v>1</v>
      </c>
      <c r="F368" s="42" t="s">
        <v>120</v>
      </c>
      <c r="G368" s="8" t="s">
        <v>263</v>
      </c>
      <c r="H368" s="12"/>
      <c r="I368" s="5">
        <f t="shared" si="5"/>
        <v>1</v>
      </c>
      <c r="J368" s="5"/>
      <c r="K368" s="5"/>
      <c r="L368" s="5">
        <v>1</v>
      </c>
      <c r="M368" s="5"/>
      <c r="N368" s="5"/>
      <c r="O368" s="5"/>
      <c r="P368" s="5"/>
      <c r="Q368" s="5"/>
      <c r="R368" s="5"/>
      <c r="S368" s="5"/>
      <c r="T368" s="5"/>
      <c r="U368" s="5"/>
      <c r="V368" s="6"/>
      <c r="W368" s="7">
        <v>1.4253000000000001E-4</v>
      </c>
      <c r="X368" s="7">
        <v>9.0898332844592353E-2</v>
      </c>
      <c r="Y368" s="41" t="s">
        <v>116</v>
      </c>
    </row>
    <row r="369" spans="2:25" ht="17.100000000000001" customHeight="1">
      <c r="B369" s="5" t="s">
        <v>41</v>
      </c>
      <c r="C369" s="40" t="s">
        <v>307</v>
      </c>
      <c r="D369" s="5" t="str">
        <f>IFERROR(INDEX(회사별_교통수단매핑!$C$2:$C$1000,MATCH(1,INDEX(($C$14=회사별_교통수단매핑!$A$2:$A$1000)*($Y369=회사별_교통수단매핑!$B$2:$B$1000),0),0)),"")</f>
        <v>국내선 항공</v>
      </c>
      <c r="E369" s="5">
        <v>1</v>
      </c>
      <c r="F369" s="42" t="s">
        <v>120</v>
      </c>
      <c r="G369" s="8" t="s">
        <v>362</v>
      </c>
      <c r="H369" s="12"/>
      <c r="I369" s="5">
        <f t="shared" si="5"/>
        <v>1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>
        <v>1</v>
      </c>
      <c r="V369" s="6"/>
      <c r="W369" s="7">
        <v>1.4253000000000001E-4</v>
      </c>
      <c r="X369" s="7">
        <v>9.0898332844592353E-2</v>
      </c>
      <c r="Y369" s="41" t="s">
        <v>116</v>
      </c>
    </row>
    <row r="370" spans="2:25" ht="17.100000000000001" customHeight="1">
      <c r="B370" s="5" t="s">
        <v>41</v>
      </c>
      <c r="C370" s="40" t="s">
        <v>307</v>
      </c>
      <c r="D370" s="5" t="str">
        <f>IFERROR(INDEX(회사별_교통수단매핑!$C$2:$C$1000,MATCH(1,INDEX(($C$14=회사별_교통수단매핑!$A$2:$A$1000)*($Y370=회사별_교통수단매핑!$B$2:$B$1000),0),0)),"")</f>
        <v>국내선 항공</v>
      </c>
      <c r="E370" s="5">
        <v>1</v>
      </c>
      <c r="F370" s="42" t="s">
        <v>120</v>
      </c>
      <c r="G370" s="8" t="s">
        <v>363</v>
      </c>
      <c r="H370" s="12"/>
      <c r="I370" s="5">
        <f t="shared" si="5"/>
        <v>2</v>
      </c>
      <c r="J370" s="5"/>
      <c r="K370" s="5">
        <v>2</v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6"/>
      <c r="W370" s="7">
        <v>1.4253000000000001E-4</v>
      </c>
      <c r="X370" s="7">
        <v>0.18179666568918471</v>
      </c>
      <c r="Y370" s="41" t="s">
        <v>116</v>
      </c>
    </row>
    <row r="371" spans="2:25" ht="17.100000000000001" customHeight="1">
      <c r="B371" s="5" t="s">
        <v>41</v>
      </c>
      <c r="C371" s="40" t="s">
        <v>307</v>
      </c>
      <c r="D371" s="5" t="str">
        <f>IFERROR(INDEX(회사별_교통수단매핑!$C$2:$C$1000,MATCH(1,INDEX(($C$14=회사별_교통수단매핑!$A$2:$A$1000)*($Y371=회사별_교통수단매핑!$B$2:$B$1000),0),0)),"")</f>
        <v>국내선 항공</v>
      </c>
      <c r="E371" s="5">
        <v>1</v>
      </c>
      <c r="F371" s="42" t="s">
        <v>120</v>
      </c>
      <c r="G371" s="8" t="s">
        <v>364</v>
      </c>
      <c r="H371" s="12"/>
      <c r="I371" s="5">
        <f t="shared" si="5"/>
        <v>2</v>
      </c>
      <c r="J371" s="5"/>
      <c r="K371" s="5"/>
      <c r="L371" s="5">
        <v>2</v>
      </c>
      <c r="M371" s="5"/>
      <c r="N371" s="5"/>
      <c r="O371" s="5"/>
      <c r="P371" s="5"/>
      <c r="Q371" s="5"/>
      <c r="R371" s="5"/>
      <c r="S371" s="5"/>
      <c r="T371" s="5"/>
      <c r="U371" s="5"/>
      <c r="V371" s="6"/>
      <c r="W371" s="7">
        <v>1.4253000000000001E-4</v>
      </c>
      <c r="X371" s="7">
        <v>0.18179666568918471</v>
      </c>
      <c r="Y371" s="41" t="s">
        <v>116</v>
      </c>
    </row>
    <row r="372" spans="2:25" ht="17.100000000000001" customHeight="1">
      <c r="B372" s="5" t="s">
        <v>41</v>
      </c>
      <c r="C372" s="40" t="s">
        <v>307</v>
      </c>
      <c r="D372" s="5" t="str">
        <f>IFERROR(INDEX(회사별_교통수단매핑!$C$2:$C$1000,MATCH(1,INDEX(($C$14=회사별_교통수단매핑!$A$2:$A$1000)*($Y372=회사별_교통수단매핑!$B$2:$B$1000),0),0)),"")</f>
        <v>국내선 항공</v>
      </c>
      <c r="E372" s="5">
        <v>1</v>
      </c>
      <c r="F372" s="42" t="s">
        <v>120</v>
      </c>
      <c r="G372" s="8" t="s">
        <v>365</v>
      </c>
      <c r="H372" s="12"/>
      <c r="I372" s="5">
        <f t="shared" si="5"/>
        <v>1</v>
      </c>
      <c r="J372" s="5"/>
      <c r="K372" s="5"/>
      <c r="L372" s="5"/>
      <c r="M372" s="5"/>
      <c r="N372" s="5"/>
      <c r="O372" s="5"/>
      <c r="P372" s="5">
        <v>1</v>
      </c>
      <c r="Q372" s="5"/>
      <c r="R372" s="5"/>
      <c r="S372" s="5"/>
      <c r="T372" s="5"/>
      <c r="U372" s="5"/>
      <c r="V372" s="6"/>
      <c r="W372" s="7">
        <v>1.4253000000000001E-4</v>
      </c>
      <c r="X372" s="7">
        <v>9.0898332844592353E-2</v>
      </c>
      <c r="Y372" s="41" t="s">
        <v>116</v>
      </c>
    </row>
    <row r="373" spans="2:25" ht="17.100000000000001" customHeight="1">
      <c r="B373" s="5" t="s">
        <v>41</v>
      </c>
      <c r="C373" s="40" t="s">
        <v>307</v>
      </c>
      <c r="D373" s="5" t="str">
        <f>IFERROR(INDEX(회사별_교통수단매핑!$C$2:$C$1000,MATCH(1,INDEX(($C$14=회사별_교통수단매핑!$A$2:$A$1000)*($Y373=회사별_교통수단매핑!$B$2:$B$1000),0),0)),"")</f>
        <v>국내선 항공</v>
      </c>
      <c r="E373" s="5">
        <v>1</v>
      </c>
      <c r="F373" s="42" t="s">
        <v>120</v>
      </c>
      <c r="G373" s="8" t="s">
        <v>366</v>
      </c>
      <c r="H373" s="12"/>
      <c r="I373" s="5">
        <f t="shared" si="5"/>
        <v>1</v>
      </c>
      <c r="J373" s="5"/>
      <c r="K373" s="5"/>
      <c r="L373" s="5"/>
      <c r="M373" s="5"/>
      <c r="N373" s="5"/>
      <c r="O373" s="5"/>
      <c r="P373" s="5"/>
      <c r="Q373" s="5"/>
      <c r="R373" s="5"/>
      <c r="S373" s="5">
        <v>1</v>
      </c>
      <c r="T373" s="5"/>
      <c r="U373" s="5"/>
      <c r="V373" s="6"/>
      <c r="W373" s="7">
        <v>1.4253000000000001E-4</v>
      </c>
      <c r="X373" s="7">
        <v>9.0898332844592353E-2</v>
      </c>
      <c r="Y373" s="41" t="s">
        <v>116</v>
      </c>
    </row>
    <row r="374" spans="2:25" ht="17.100000000000001" customHeight="1">
      <c r="B374" s="5" t="s">
        <v>41</v>
      </c>
      <c r="C374" s="40" t="s">
        <v>307</v>
      </c>
      <c r="D374" s="5" t="str">
        <f>IFERROR(INDEX(회사별_교통수단매핑!$C$2:$C$1000,MATCH(1,INDEX(($C$14=회사별_교통수단매핑!$A$2:$A$1000)*($Y374=회사별_교통수단매핑!$B$2:$B$1000),0),0)),"")</f>
        <v>국내선 항공</v>
      </c>
      <c r="E374" s="5">
        <v>1</v>
      </c>
      <c r="F374" s="42" t="s">
        <v>120</v>
      </c>
      <c r="G374" s="8" t="s">
        <v>367</v>
      </c>
      <c r="H374" s="12"/>
      <c r="I374" s="5">
        <f t="shared" si="5"/>
        <v>1</v>
      </c>
      <c r="J374" s="5"/>
      <c r="K374" s="5"/>
      <c r="L374" s="5"/>
      <c r="M374" s="5">
        <v>1</v>
      </c>
      <c r="N374" s="5"/>
      <c r="O374" s="5"/>
      <c r="P374" s="5"/>
      <c r="Q374" s="5"/>
      <c r="R374" s="5"/>
      <c r="S374" s="5"/>
      <c r="T374" s="5"/>
      <c r="U374" s="5"/>
      <c r="V374" s="6"/>
      <c r="W374" s="7">
        <v>1.4253000000000001E-4</v>
      </c>
      <c r="X374" s="7">
        <v>9.0898332844592353E-2</v>
      </c>
      <c r="Y374" s="41" t="s">
        <v>116</v>
      </c>
    </row>
    <row r="375" spans="2:25" ht="17.100000000000001" customHeight="1">
      <c r="B375" s="5" t="s">
        <v>41</v>
      </c>
      <c r="C375" s="40" t="s">
        <v>307</v>
      </c>
      <c r="D375" s="5" t="str">
        <f>IFERROR(INDEX(회사별_교통수단매핑!$C$2:$C$1000,MATCH(1,INDEX(($C$14=회사별_교통수단매핑!$A$2:$A$1000)*($Y375=회사별_교통수단매핑!$B$2:$B$1000),0),0)),"")</f>
        <v>국내선 항공</v>
      </c>
      <c r="E375" s="5">
        <v>1</v>
      </c>
      <c r="F375" s="42" t="s">
        <v>120</v>
      </c>
      <c r="G375" s="8" t="s">
        <v>161</v>
      </c>
      <c r="H375" s="12"/>
      <c r="I375" s="5">
        <f t="shared" si="5"/>
        <v>10</v>
      </c>
      <c r="J375" s="5">
        <v>2</v>
      </c>
      <c r="K375" s="5"/>
      <c r="L375" s="5">
        <v>2</v>
      </c>
      <c r="M375" s="5"/>
      <c r="N375" s="5">
        <v>2</v>
      </c>
      <c r="O375" s="5">
        <v>1</v>
      </c>
      <c r="P375" s="5">
        <v>1</v>
      </c>
      <c r="Q375" s="5"/>
      <c r="R375" s="5"/>
      <c r="S375" s="5"/>
      <c r="T375" s="5">
        <v>2</v>
      </c>
      <c r="U375" s="5"/>
      <c r="V375" s="6"/>
      <c r="W375" s="7">
        <v>1.4253000000000001E-4</v>
      </c>
      <c r="X375" s="7">
        <v>0.90898332844592344</v>
      </c>
      <c r="Y375" s="41" t="s">
        <v>116</v>
      </c>
    </row>
    <row r="376" spans="2:25" ht="17.100000000000001" customHeight="1">
      <c r="B376" s="5" t="s">
        <v>41</v>
      </c>
      <c r="C376" s="40" t="s">
        <v>307</v>
      </c>
      <c r="D376" s="5" t="str">
        <f>IFERROR(INDEX(회사별_교통수단매핑!$C$2:$C$1000,MATCH(1,INDEX(($C$14=회사별_교통수단매핑!$A$2:$A$1000)*($Y376=회사별_교통수단매핑!$B$2:$B$1000),0),0)),"")</f>
        <v>국내선 항공</v>
      </c>
      <c r="E376" s="5">
        <v>1</v>
      </c>
      <c r="F376" s="42" t="s">
        <v>120</v>
      </c>
      <c r="G376" s="8" t="s">
        <v>270</v>
      </c>
      <c r="H376" s="12"/>
      <c r="I376" s="5">
        <f t="shared" si="5"/>
        <v>1</v>
      </c>
      <c r="J376" s="5"/>
      <c r="K376" s="5"/>
      <c r="L376" s="5"/>
      <c r="M376" s="5"/>
      <c r="N376" s="5"/>
      <c r="O376" s="5"/>
      <c r="P376" s="5"/>
      <c r="Q376" s="5">
        <v>1</v>
      </c>
      <c r="R376" s="5"/>
      <c r="S376" s="5"/>
      <c r="T376" s="5"/>
      <c r="U376" s="5"/>
      <c r="V376" s="6"/>
      <c r="W376" s="7">
        <v>1.4253000000000001E-4</v>
      </c>
      <c r="X376" s="7">
        <v>9.0898332844592353E-2</v>
      </c>
      <c r="Y376" s="41" t="s">
        <v>116</v>
      </c>
    </row>
    <row r="377" spans="2:25" ht="17.100000000000001" customHeight="1">
      <c r="B377" s="5" t="s">
        <v>41</v>
      </c>
      <c r="C377" s="40" t="s">
        <v>307</v>
      </c>
      <c r="D377" s="5" t="str">
        <f>IFERROR(INDEX(회사별_교통수단매핑!$C$2:$C$1000,MATCH(1,INDEX(($C$14=회사별_교통수단매핑!$A$2:$A$1000)*($Y377=회사별_교통수단매핑!$B$2:$B$1000),0),0)),"")</f>
        <v>국내선 항공</v>
      </c>
      <c r="E377" s="5">
        <v>1</v>
      </c>
      <c r="F377" s="42" t="s">
        <v>120</v>
      </c>
      <c r="G377" s="8" t="s">
        <v>368</v>
      </c>
      <c r="H377" s="12"/>
      <c r="I377" s="5">
        <f t="shared" si="5"/>
        <v>6</v>
      </c>
      <c r="J377" s="5"/>
      <c r="K377" s="5"/>
      <c r="L377" s="5"/>
      <c r="M377" s="5">
        <v>1</v>
      </c>
      <c r="N377" s="5"/>
      <c r="O377" s="5"/>
      <c r="P377" s="5">
        <v>1</v>
      </c>
      <c r="Q377" s="5">
        <v>1</v>
      </c>
      <c r="R377" s="5">
        <v>2</v>
      </c>
      <c r="S377" s="5"/>
      <c r="T377" s="5">
        <v>1</v>
      </c>
      <c r="U377" s="5"/>
      <c r="V377" s="6"/>
      <c r="W377" s="7">
        <v>1.4253000000000001E-4</v>
      </c>
      <c r="X377" s="7">
        <v>0.85439376412703405</v>
      </c>
      <c r="Y377" s="41" t="s">
        <v>116</v>
      </c>
    </row>
    <row r="378" spans="2:25" ht="17.100000000000001" customHeight="1">
      <c r="B378" s="5" t="s">
        <v>41</v>
      </c>
      <c r="C378" s="40" t="s">
        <v>307</v>
      </c>
      <c r="D378" s="5" t="str">
        <f>IFERROR(INDEX(회사별_교통수단매핑!$C$2:$C$1000,MATCH(1,INDEX(($C$14=회사별_교통수단매핑!$A$2:$A$1000)*($Y378=회사별_교통수단매핑!$B$2:$B$1000),0),0)),"")</f>
        <v>국내선 항공</v>
      </c>
      <c r="E378" s="5">
        <v>1</v>
      </c>
      <c r="F378" s="42" t="s">
        <v>120</v>
      </c>
      <c r="G378" s="8" t="s">
        <v>136</v>
      </c>
      <c r="H378" s="12"/>
      <c r="I378" s="5">
        <f t="shared" si="5"/>
        <v>3</v>
      </c>
      <c r="J378" s="5"/>
      <c r="K378" s="5"/>
      <c r="L378" s="5"/>
      <c r="M378" s="5"/>
      <c r="N378" s="5"/>
      <c r="O378" s="5">
        <v>2</v>
      </c>
      <c r="P378" s="5"/>
      <c r="Q378" s="5"/>
      <c r="R378" s="5">
        <v>1</v>
      </c>
      <c r="S378" s="5"/>
      <c r="T378" s="5"/>
      <c r="U378" s="5"/>
      <c r="V378" s="6"/>
      <c r="W378" s="7">
        <v>1.4253000000000001E-4</v>
      </c>
      <c r="X378" s="7">
        <v>0.42368765330938363</v>
      </c>
      <c r="Y378" s="41" t="s">
        <v>116</v>
      </c>
    </row>
    <row r="379" spans="2:25" ht="17.100000000000001" customHeight="1">
      <c r="B379" s="5" t="s">
        <v>41</v>
      </c>
      <c r="C379" s="40" t="s">
        <v>307</v>
      </c>
      <c r="D379" s="5" t="str">
        <f>IFERROR(INDEX(회사별_교통수단매핑!$C$2:$C$1000,MATCH(1,INDEX(($C$14=회사별_교통수단매핑!$A$2:$A$1000)*($Y379=회사별_교통수단매핑!$B$2:$B$1000),0),0)),"")</f>
        <v>국내선 항공</v>
      </c>
      <c r="E379" s="5">
        <v>1</v>
      </c>
      <c r="F379" s="42" t="s">
        <v>120</v>
      </c>
      <c r="G379" s="8" t="s">
        <v>369</v>
      </c>
      <c r="H379" s="12"/>
      <c r="I379" s="5">
        <f t="shared" si="5"/>
        <v>2</v>
      </c>
      <c r="J379" s="5"/>
      <c r="K379" s="5"/>
      <c r="L379" s="5">
        <v>2</v>
      </c>
      <c r="M379" s="5"/>
      <c r="N379" s="5"/>
      <c r="O379" s="5"/>
      <c r="P379" s="5"/>
      <c r="Q379" s="5"/>
      <c r="R379" s="5"/>
      <c r="S379" s="5"/>
      <c r="T379" s="5"/>
      <c r="U379" s="5"/>
      <c r="V379" s="6"/>
      <c r="W379" s="7">
        <v>1.4253000000000001E-4</v>
      </c>
      <c r="X379" s="7">
        <v>0.284797921375678</v>
      </c>
      <c r="Y379" s="41" t="s">
        <v>116</v>
      </c>
    </row>
    <row r="380" spans="2:25" ht="17.100000000000001" customHeight="1">
      <c r="B380" s="5" t="s">
        <v>41</v>
      </c>
      <c r="C380" s="40" t="s">
        <v>307</v>
      </c>
      <c r="D380" s="5" t="str">
        <f>IFERROR(INDEX(회사별_교통수단매핑!$C$2:$C$1000,MATCH(1,INDEX(($C$14=회사별_교통수단매핑!$A$2:$A$1000)*($Y380=회사별_교통수단매핑!$B$2:$B$1000),0),0)),"")</f>
        <v>국내선 항공</v>
      </c>
      <c r="E380" s="5">
        <v>1</v>
      </c>
      <c r="F380" s="42" t="s">
        <v>120</v>
      </c>
      <c r="G380" s="8" t="s">
        <v>370</v>
      </c>
      <c r="H380" s="12"/>
      <c r="I380" s="5">
        <f t="shared" si="5"/>
        <v>1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>
        <v>1</v>
      </c>
      <c r="U380" s="5"/>
      <c r="V380" s="6"/>
      <c r="W380" s="7">
        <v>1.4253000000000001E-4</v>
      </c>
      <c r="X380" s="7">
        <v>0.142398960687839</v>
      </c>
      <c r="Y380" s="41" t="s">
        <v>116</v>
      </c>
    </row>
    <row r="381" spans="2:25" ht="17.100000000000001" customHeight="1">
      <c r="B381" s="5" t="s">
        <v>41</v>
      </c>
      <c r="C381" s="40" t="s">
        <v>307</v>
      </c>
      <c r="D381" s="5" t="str">
        <f>IFERROR(INDEX(회사별_교통수단매핑!$C$2:$C$1000,MATCH(1,INDEX(($C$14=회사별_교통수단매핑!$A$2:$A$1000)*($Y381=회사별_교통수단매핑!$B$2:$B$1000),0),0)),"")</f>
        <v>국내선 항공</v>
      </c>
      <c r="E381" s="5">
        <v>1</v>
      </c>
      <c r="F381" s="42" t="s">
        <v>120</v>
      </c>
      <c r="G381" s="8" t="s">
        <v>371</v>
      </c>
      <c r="H381" s="12"/>
      <c r="I381" s="5">
        <f t="shared" si="5"/>
        <v>1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>
        <v>1</v>
      </c>
      <c r="V381" s="6"/>
      <c r="W381" s="7">
        <v>1.4253000000000001E-4</v>
      </c>
      <c r="X381" s="7">
        <v>0.142398960687839</v>
      </c>
      <c r="Y381" s="41" t="s">
        <v>116</v>
      </c>
    </row>
    <row r="382" spans="2:25" ht="17.100000000000001" customHeight="1">
      <c r="B382" s="5" t="s">
        <v>41</v>
      </c>
      <c r="C382" s="40" t="s">
        <v>307</v>
      </c>
      <c r="D382" s="5" t="str">
        <f>IFERROR(INDEX(회사별_교통수단매핑!$C$2:$C$1000,MATCH(1,INDEX(($C$14=회사별_교통수단매핑!$A$2:$A$1000)*($Y382=회사별_교통수단매핑!$B$2:$B$1000),0),0)),"")</f>
        <v>국내선 항공</v>
      </c>
      <c r="E382" s="5">
        <v>1</v>
      </c>
      <c r="F382" s="42" t="s">
        <v>120</v>
      </c>
      <c r="G382" s="8" t="s">
        <v>372</v>
      </c>
      <c r="H382" s="12"/>
      <c r="I382" s="5">
        <f t="shared" si="5"/>
        <v>1</v>
      </c>
      <c r="J382" s="5"/>
      <c r="K382" s="5"/>
      <c r="L382" s="5"/>
      <c r="M382" s="5"/>
      <c r="N382" s="5"/>
      <c r="O382" s="5"/>
      <c r="P382" s="5"/>
      <c r="Q382" s="5">
        <v>1</v>
      </c>
      <c r="R382" s="5"/>
      <c r="S382" s="5"/>
      <c r="T382" s="5"/>
      <c r="U382" s="5"/>
      <c r="V382" s="6"/>
      <c r="W382" s="7">
        <v>1.4253000000000001E-4</v>
      </c>
      <c r="X382" s="7">
        <v>0.142398960687839</v>
      </c>
      <c r="Y382" s="41" t="s">
        <v>116</v>
      </c>
    </row>
    <row r="383" spans="2:25" ht="17.100000000000001" customHeight="1">
      <c r="B383" s="5" t="s">
        <v>41</v>
      </c>
      <c r="C383" s="40" t="s">
        <v>307</v>
      </c>
      <c r="D383" s="5" t="str">
        <f>IFERROR(INDEX(회사별_교통수단매핑!$C$2:$C$1000,MATCH(1,INDEX(($C$14=회사별_교통수단매핑!$A$2:$A$1000)*($Y383=회사별_교통수단매핑!$B$2:$B$1000),0),0)),"")</f>
        <v>국내선 항공</v>
      </c>
      <c r="E383" s="5">
        <v>1</v>
      </c>
      <c r="F383" s="42" t="s">
        <v>120</v>
      </c>
      <c r="G383" s="8" t="s">
        <v>373</v>
      </c>
      <c r="H383" s="12"/>
      <c r="I383" s="5">
        <f t="shared" si="5"/>
        <v>4</v>
      </c>
      <c r="J383" s="5"/>
      <c r="K383" s="5"/>
      <c r="L383" s="5"/>
      <c r="M383" s="5"/>
      <c r="N383" s="5"/>
      <c r="O383" s="5">
        <v>2</v>
      </c>
      <c r="P383" s="5"/>
      <c r="Q383" s="5"/>
      <c r="R383" s="5"/>
      <c r="S383" s="5"/>
      <c r="T383" s="5">
        <v>1</v>
      </c>
      <c r="U383" s="5">
        <v>1</v>
      </c>
      <c r="V383" s="6"/>
      <c r="W383" s="7">
        <v>1.4253000000000001E-4</v>
      </c>
      <c r="X383" s="7">
        <v>0.569595842751356</v>
      </c>
      <c r="Y383" s="41" t="s">
        <v>116</v>
      </c>
    </row>
    <row r="384" spans="2:25" ht="17.100000000000001" customHeight="1">
      <c r="B384" s="5" t="s">
        <v>41</v>
      </c>
      <c r="C384" s="40" t="s">
        <v>307</v>
      </c>
      <c r="D384" s="5" t="str">
        <f>IFERROR(INDEX(회사별_교통수단매핑!$C$2:$C$1000,MATCH(1,INDEX(($C$14=회사별_교통수단매핑!$A$2:$A$1000)*($Y384=회사별_교통수단매핑!$B$2:$B$1000),0),0)),"")</f>
        <v>국내선 항공</v>
      </c>
      <c r="E384" s="5">
        <v>1</v>
      </c>
      <c r="F384" s="42" t="s">
        <v>120</v>
      </c>
      <c r="G384" s="8" t="s">
        <v>374</v>
      </c>
      <c r="H384" s="12"/>
      <c r="I384" s="5">
        <f t="shared" si="5"/>
        <v>1</v>
      </c>
      <c r="J384" s="5"/>
      <c r="K384" s="5"/>
      <c r="L384" s="5"/>
      <c r="M384" s="5"/>
      <c r="N384" s="5"/>
      <c r="O384" s="5"/>
      <c r="P384" s="5"/>
      <c r="Q384" s="5"/>
      <c r="R384" s="5">
        <v>1</v>
      </c>
      <c r="S384" s="5"/>
      <c r="T384" s="5"/>
      <c r="U384" s="5"/>
      <c r="V384" s="6"/>
      <c r="W384" s="7">
        <v>1.4253000000000001E-4</v>
      </c>
      <c r="X384" s="7">
        <v>0.142398960687839</v>
      </c>
      <c r="Y384" s="41" t="s">
        <v>116</v>
      </c>
    </row>
    <row r="385" spans="2:25" ht="17.100000000000001" customHeight="1">
      <c r="B385" s="5" t="s">
        <v>41</v>
      </c>
      <c r="C385" s="40" t="s">
        <v>307</v>
      </c>
      <c r="D385" s="5" t="str">
        <f>IFERROR(INDEX(회사별_교통수단매핑!$C$2:$C$1000,MATCH(1,INDEX(($C$14=회사별_교통수단매핑!$A$2:$A$1000)*($Y385=회사별_교통수단매핑!$B$2:$B$1000),0),0)),"")</f>
        <v>국내선 항공</v>
      </c>
      <c r="E385" s="5">
        <v>1</v>
      </c>
      <c r="F385" s="42" t="s">
        <v>120</v>
      </c>
      <c r="G385" s="8" t="s">
        <v>375</v>
      </c>
      <c r="H385" s="12"/>
      <c r="I385" s="5">
        <f t="shared" si="5"/>
        <v>3</v>
      </c>
      <c r="J385" s="5"/>
      <c r="K385" s="5"/>
      <c r="L385" s="5"/>
      <c r="M385" s="5"/>
      <c r="N385" s="5"/>
      <c r="O385" s="5"/>
      <c r="P385" s="5"/>
      <c r="Q385" s="5"/>
      <c r="R385" s="5">
        <v>3</v>
      </c>
      <c r="S385" s="5"/>
      <c r="T385" s="5"/>
      <c r="U385" s="5"/>
      <c r="V385" s="6"/>
      <c r="W385" s="7">
        <v>1.4253000000000001E-4</v>
      </c>
      <c r="X385" s="7">
        <v>0.42368765330938363</v>
      </c>
      <c r="Y385" s="41" t="s">
        <v>116</v>
      </c>
    </row>
    <row r="386" spans="2:25" ht="17.100000000000001" customHeight="1">
      <c r="B386" s="5" t="s">
        <v>41</v>
      </c>
      <c r="C386" s="40" t="s">
        <v>307</v>
      </c>
      <c r="D386" s="5" t="str">
        <f>IFERROR(INDEX(회사별_교통수단매핑!$C$2:$C$1000,MATCH(1,INDEX(($C$14=회사별_교통수단매핑!$A$2:$A$1000)*($Y386=회사별_교통수단매핑!$B$2:$B$1000),0),0)),"")</f>
        <v>국내선 항공</v>
      </c>
      <c r="E386" s="5">
        <v>1</v>
      </c>
      <c r="F386" s="42" t="s">
        <v>120</v>
      </c>
      <c r="G386" s="8" t="s">
        <v>376</v>
      </c>
      <c r="H386" s="12"/>
      <c r="I386" s="5">
        <f t="shared" si="5"/>
        <v>1</v>
      </c>
      <c r="J386" s="5"/>
      <c r="K386" s="5"/>
      <c r="L386" s="5"/>
      <c r="M386" s="5"/>
      <c r="N386" s="5"/>
      <c r="O386" s="5">
        <v>1</v>
      </c>
      <c r="P386" s="5"/>
      <c r="Q386" s="5"/>
      <c r="R386" s="5"/>
      <c r="S386" s="5"/>
      <c r="T386" s="5"/>
      <c r="U386" s="5"/>
      <c r="V386" s="6"/>
      <c r="W386" s="7">
        <v>1.4253000000000001E-4</v>
      </c>
      <c r="X386" s="7">
        <v>0.1412292177697945</v>
      </c>
      <c r="Y386" s="41" t="s">
        <v>116</v>
      </c>
    </row>
    <row r="387" spans="2:25" ht="17.100000000000001" customHeight="1">
      <c r="B387" s="5" t="s">
        <v>41</v>
      </c>
      <c r="C387" s="40" t="s">
        <v>307</v>
      </c>
      <c r="D387" s="5" t="str">
        <f>IFERROR(INDEX(회사별_교통수단매핑!$C$2:$C$1000,MATCH(1,INDEX(($C$14=회사별_교통수단매핑!$A$2:$A$1000)*($Y387=회사별_교통수단매핑!$B$2:$B$1000),0),0)),"")</f>
        <v>국내선 항공</v>
      </c>
      <c r="E387" s="5">
        <v>1</v>
      </c>
      <c r="F387" s="42" t="s">
        <v>120</v>
      </c>
      <c r="G387" s="8" t="s">
        <v>377</v>
      </c>
      <c r="H387" s="12"/>
      <c r="I387" s="5">
        <f t="shared" si="5"/>
        <v>1</v>
      </c>
      <c r="J387" s="5"/>
      <c r="K387" s="5"/>
      <c r="L387" s="5"/>
      <c r="M387" s="5">
        <v>1</v>
      </c>
      <c r="N387" s="5"/>
      <c r="O387" s="5"/>
      <c r="P387" s="5"/>
      <c r="Q387" s="5"/>
      <c r="R387" s="5"/>
      <c r="S387" s="5"/>
      <c r="T387" s="5"/>
      <c r="U387" s="5"/>
      <c r="V387" s="6"/>
      <c r="W387" s="7">
        <v>1.4253000000000001E-4</v>
      </c>
      <c r="X387" s="7">
        <v>0.142398960687839</v>
      </c>
      <c r="Y387" s="41" t="s">
        <v>116</v>
      </c>
    </row>
    <row r="388" spans="2:25" ht="17.100000000000001" customHeight="1">
      <c r="B388" s="5" t="s">
        <v>41</v>
      </c>
      <c r="C388" s="40" t="s">
        <v>307</v>
      </c>
      <c r="D388" s="5" t="str">
        <f>IFERROR(INDEX(회사별_교통수단매핑!$C$2:$C$1000,MATCH(1,INDEX(($C$14=회사별_교통수단매핑!$A$2:$A$1000)*($Y388=회사별_교통수단매핑!$B$2:$B$1000),0),0)),"")</f>
        <v>국내선 항공</v>
      </c>
      <c r="E388" s="5">
        <v>1</v>
      </c>
      <c r="F388" s="42" t="s">
        <v>120</v>
      </c>
      <c r="G388" s="8" t="s">
        <v>378</v>
      </c>
      <c r="H388" s="12"/>
      <c r="I388" s="5">
        <f t="shared" si="5"/>
        <v>2</v>
      </c>
      <c r="J388" s="5"/>
      <c r="K388" s="5"/>
      <c r="L388" s="5"/>
      <c r="M388" s="5"/>
      <c r="N388" s="5"/>
      <c r="O388" s="5">
        <v>2</v>
      </c>
      <c r="P388" s="5"/>
      <c r="Q388" s="5"/>
      <c r="R388" s="5"/>
      <c r="S388" s="5"/>
      <c r="T388" s="5"/>
      <c r="U388" s="5"/>
      <c r="V388" s="6"/>
      <c r="W388" s="7">
        <v>1.4253000000000001E-4</v>
      </c>
      <c r="X388" s="7">
        <v>0.284797921375678</v>
      </c>
      <c r="Y388" s="41" t="s">
        <v>116</v>
      </c>
    </row>
    <row r="389" spans="2:25" ht="17.100000000000001" customHeight="1">
      <c r="B389" s="5" t="s">
        <v>41</v>
      </c>
      <c r="C389" s="40" t="s">
        <v>307</v>
      </c>
      <c r="D389" s="5" t="str">
        <f>IFERROR(INDEX(회사별_교통수단매핑!$C$2:$C$1000,MATCH(1,INDEX(($C$14=회사별_교통수단매핑!$A$2:$A$1000)*($Y389=회사별_교통수단매핑!$B$2:$B$1000),0),0)),"")</f>
        <v>국내선 항공</v>
      </c>
      <c r="E389" s="5">
        <v>1</v>
      </c>
      <c r="F389" s="42" t="s">
        <v>120</v>
      </c>
      <c r="G389" s="8" t="s">
        <v>379</v>
      </c>
      <c r="H389" s="12"/>
      <c r="I389" s="5">
        <f t="shared" si="5"/>
        <v>2</v>
      </c>
      <c r="J389" s="5"/>
      <c r="K389" s="5"/>
      <c r="L389" s="5"/>
      <c r="M389" s="5"/>
      <c r="N389" s="5"/>
      <c r="O389" s="5"/>
      <c r="P389" s="5"/>
      <c r="Q389" s="5"/>
      <c r="R389" s="5"/>
      <c r="S389" s="5">
        <v>2</v>
      </c>
      <c r="T389" s="5"/>
      <c r="U389" s="5"/>
      <c r="V389" s="6"/>
      <c r="W389" s="7">
        <v>1.4253000000000001E-4</v>
      </c>
      <c r="X389" s="7">
        <v>0.284797921375678</v>
      </c>
      <c r="Y389" s="41" t="s">
        <v>116</v>
      </c>
    </row>
    <row r="390" spans="2:25" ht="17.100000000000001" customHeight="1">
      <c r="B390" s="5" t="s">
        <v>41</v>
      </c>
      <c r="C390" s="40" t="s">
        <v>307</v>
      </c>
      <c r="D390" s="5" t="str">
        <f>IFERROR(INDEX(회사별_교통수단매핑!$C$2:$C$1000,MATCH(1,INDEX(($C$14=회사별_교통수단매핑!$A$2:$A$1000)*($Y390=회사별_교통수단매핑!$B$2:$B$1000),0),0)),"")</f>
        <v>국내선 항공</v>
      </c>
      <c r="E390" s="5">
        <v>1</v>
      </c>
      <c r="F390" s="42" t="s">
        <v>120</v>
      </c>
      <c r="G390" s="8" t="s">
        <v>380</v>
      </c>
      <c r="H390" s="12"/>
      <c r="I390" s="5">
        <f t="shared" si="5"/>
        <v>1</v>
      </c>
      <c r="J390" s="5"/>
      <c r="K390" s="5"/>
      <c r="L390" s="5">
        <v>1</v>
      </c>
      <c r="M390" s="5"/>
      <c r="N390" s="5"/>
      <c r="O390" s="5"/>
      <c r="P390" s="5"/>
      <c r="Q390" s="5"/>
      <c r="R390" s="5"/>
      <c r="S390" s="5"/>
      <c r="T390" s="5"/>
      <c r="U390" s="5"/>
      <c r="V390" s="6"/>
      <c r="W390" s="7">
        <v>1.4253000000000001E-4</v>
      </c>
      <c r="X390" s="7">
        <v>0.1412292177697945</v>
      </c>
      <c r="Y390" s="41" t="s">
        <v>116</v>
      </c>
    </row>
    <row r="391" spans="2:25" ht="17.100000000000001" customHeight="1">
      <c r="B391" s="5" t="s">
        <v>41</v>
      </c>
      <c r="C391" s="40" t="s">
        <v>307</v>
      </c>
      <c r="D391" s="5" t="str">
        <f>IFERROR(INDEX(회사별_교통수단매핑!$C$2:$C$1000,MATCH(1,INDEX(($C$14=회사별_교통수단매핑!$A$2:$A$1000)*($Y391=회사별_교통수단매핑!$B$2:$B$1000),0),0)),"")</f>
        <v>국내선 항공</v>
      </c>
      <c r="E391" s="5">
        <v>1</v>
      </c>
      <c r="F391" s="42" t="s">
        <v>120</v>
      </c>
      <c r="G391" s="8" t="s">
        <v>381</v>
      </c>
      <c r="H391" s="12"/>
      <c r="I391" s="5">
        <f t="shared" si="5"/>
        <v>1</v>
      </c>
      <c r="J391" s="5"/>
      <c r="K391" s="5"/>
      <c r="L391" s="5"/>
      <c r="M391" s="5"/>
      <c r="N391" s="5"/>
      <c r="O391" s="5"/>
      <c r="P391" s="5"/>
      <c r="Q391" s="5"/>
      <c r="R391" s="5">
        <v>1</v>
      </c>
      <c r="S391" s="5"/>
      <c r="T391" s="5"/>
      <c r="U391" s="5"/>
      <c r="V391" s="6"/>
      <c r="W391" s="7">
        <v>1.4253000000000001E-4</v>
      </c>
      <c r="X391" s="7">
        <v>0.1412292177697945</v>
      </c>
      <c r="Y391" s="41" t="s">
        <v>116</v>
      </c>
    </row>
    <row r="392" spans="2:25" ht="17.100000000000001" customHeight="1">
      <c r="B392" s="5" t="s">
        <v>41</v>
      </c>
      <c r="C392" s="40" t="s">
        <v>307</v>
      </c>
      <c r="D392" s="5" t="str">
        <f>IFERROR(INDEX(회사별_교통수단매핑!$C$2:$C$1000,MATCH(1,INDEX(($C$14=회사별_교통수단매핑!$A$2:$A$1000)*($Y392=회사별_교통수단매핑!$B$2:$B$1000),0),0)),"")</f>
        <v>국내선 항공</v>
      </c>
      <c r="E392" s="5">
        <v>1</v>
      </c>
      <c r="F392" s="42" t="s">
        <v>120</v>
      </c>
      <c r="G392" s="8" t="s">
        <v>382</v>
      </c>
      <c r="H392" s="12"/>
      <c r="I392" s="5">
        <f t="shared" si="5"/>
        <v>1</v>
      </c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>
        <v>1</v>
      </c>
      <c r="U392" s="5"/>
      <c r="V392" s="6"/>
      <c r="W392" s="7">
        <v>1.4253000000000001E-4</v>
      </c>
      <c r="X392" s="7">
        <v>0.142398960687839</v>
      </c>
      <c r="Y392" s="41" t="s">
        <v>116</v>
      </c>
    </row>
    <row r="393" spans="2:25" ht="17.100000000000001" customHeight="1">
      <c r="B393" s="5" t="s">
        <v>41</v>
      </c>
      <c r="C393" s="40" t="s">
        <v>307</v>
      </c>
      <c r="D393" s="5" t="str">
        <f>IFERROR(INDEX(회사별_교통수단매핑!$C$2:$C$1000,MATCH(1,INDEX(($C$14=회사별_교통수단매핑!$A$2:$A$1000)*($Y393=회사별_교통수단매핑!$B$2:$B$1000),0),0)),"")</f>
        <v>국내선 항공</v>
      </c>
      <c r="E393" s="5">
        <v>1</v>
      </c>
      <c r="F393" s="42" t="s">
        <v>120</v>
      </c>
      <c r="G393" s="8" t="s">
        <v>383</v>
      </c>
      <c r="H393" s="12"/>
      <c r="I393" s="5">
        <f t="shared" si="5"/>
        <v>1</v>
      </c>
      <c r="J393" s="5"/>
      <c r="K393" s="5"/>
      <c r="L393" s="5"/>
      <c r="M393" s="5"/>
      <c r="N393" s="5"/>
      <c r="O393" s="5"/>
      <c r="P393" s="5">
        <v>1</v>
      </c>
      <c r="Q393" s="5"/>
      <c r="R393" s="5"/>
      <c r="S393" s="5"/>
      <c r="T393" s="5"/>
      <c r="U393" s="5"/>
      <c r="V393" s="6"/>
      <c r="W393" s="7">
        <v>1.4253000000000001E-4</v>
      </c>
      <c r="X393" s="7">
        <v>0.1412292177697945</v>
      </c>
      <c r="Y393" s="41" t="s">
        <v>116</v>
      </c>
    </row>
    <row r="394" spans="2:25" ht="17.100000000000001" customHeight="1">
      <c r="B394" s="5" t="s">
        <v>41</v>
      </c>
      <c r="C394" s="40" t="s">
        <v>307</v>
      </c>
      <c r="D394" s="5" t="str">
        <f>IFERROR(INDEX(회사별_교통수단매핑!$C$2:$C$1000,MATCH(1,INDEX(($C$14=회사별_교통수단매핑!$A$2:$A$1000)*($Y394=회사별_교통수단매핑!$B$2:$B$1000),0),0)),"")</f>
        <v>국내선 항공</v>
      </c>
      <c r="E394" s="5">
        <v>1</v>
      </c>
      <c r="F394" s="42" t="s">
        <v>120</v>
      </c>
      <c r="G394" s="8" t="s">
        <v>384</v>
      </c>
      <c r="H394" s="12"/>
      <c r="I394" s="5">
        <f t="shared" si="5"/>
        <v>1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>
        <v>1</v>
      </c>
      <c r="U394" s="5"/>
      <c r="V394" s="6"/>
      <c r="W394" s="7">
        <v>1.4253000000000001E-4</v>
      </c>
      <c r="X394" s="7">
        <v>0.142398960687839</v>
      </c>
      <c r="Y394" s="41" t="s">
        <v>116</v>
      </c>
    </row>
    <row r="395" spans="2:25" ht="17.100000000000001" customHeight="1">
      <c r="B395" s="5" t="s">
        <v>41</v>
      </c>
      <c r="C395" s="40" t="s">
        <v>307</v>
      </c>
      <c r="D395" s="5" t="str">
        <f>IFERROR(INDEX(회사별_교통수단매핑!$C$2:$C$1000,MATCH(1,INDEX(($C$14=회사별_교통수단매핑!$A$2:$A$1000)*($Y395=회사별_교통수단매핑!$B$2:$B$1000),0),0)),"")</f>
        <v>국내선 항공</v>
      </c>
      <c r="E395" s="5">
        <v>1</v>
      </c>
      <c r="F395" s="42" t="s">
        <v>120</v>
      </c>
      <c r="G395" s="8" t="s">
        <v>385</v>
      </c>
      <c r="H395" s="12"/>
      <c r="I395" s="5">
        <f t="shared" si="5"/>
        <v>1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>
        <v>1</v>
      </c>
      <c r="U395" s="5"/>
      <c r="V395" s="6"/>
      <c r="W395" s="7">
        <v>1.4253000000000001E-4</v>
      </c>
      <c r="X395" s="7">
        <v>0.142398960687839</v>
      </c>
      <c r="Y395" s="41" t="s">
        <v>116</v>
      </c>
    </row>
    <row r="396" spans="2:25" ht="17.100000000000001" customHeight="1">
      <c r="B396" s="5" t="s">
        <v>41</v>
      </c>
      <c r="C396" s="40" t="s">
        <v>307</v>
      </c>
      <c r="D396" s="5" t="str">
        <f>IFERROR(INDEX(회사별_교통수단매핑!$C$2:$C$1000,MATCH(1,INDEX(($C$14=회사별_교통수단매핑!$A$2:$A$1000)*($Y396=회사별_교통수단매핑!$B$2:$B$1000),0),0)),"")</f>
        <v>국내선 항공</v>
      </c>
      <c r="E396" s="5">
        <v>1</v>
      </c>
      <c r="F396" s="42" t="s">
        <v>120</v>
      </c>
      <c r="G396" s="8" t="s">
        <v>386</v>
      </c>
      <c r="H396" s="12"/>
      <c r="I396" s="5">
        <f t="shared" si="5"/>
        <v>2</v>
      </c>
      <c r="J396" s="5"/>
      <c r="K396" s="5"/>
      <c r="L396" s="5"/>
      <c r="M396" s="5">
        <v>2</v>
      </c>
      <c r="N396" s="5"/>
      <c r="O396" s="5"/>
      <c r="P396" s="5"/>
      <c r="Q396" s="5"/>
      <c r="R396" s="5"/>
      <c r="S396" s="5"/>
      <c r="T396" s="5"/>
      <c r="U396" s="5"/>
      <c r="V396" s="6"/>
      <c r="W396" s="7">
        <v>1.4253000000000001E-4</v>
      </c>
      <c r="X396" s="7">
        <v>0.284797921375678</v>
      </c>
      <c r="Y396" s="41" t="s">
        <v>116</v>
      </c>
    </row>
    <row r="397" spans="2:25" ht="17.100000000000001" customHeight="1">
      <c r="B397" s="5" t="s">
        <v>41</v>
      </c>
      <c r="C397" s="40" t="s">
        <v>307</v>
      </c>
      <c r="D397" s="5" t="str">
        <f>IFERROR(INDEX(회사별_교통수단매핑!$C$2:$C$1000,MATCH(1,INDEX(($C$14=회사별_교통수단매핑!$A$2:$A$1000)*($Y397=회사별_교통수단매핑!$B$2:$B$1000),0),0)),"")</f>
        <v>국내선 항공</v>
      </c>
      <c r="E397" s="5">
        <v>1</v>
      </c>
      <c r="F397" s="42" t="s">
        <v>120</v>
      </c>
      <c r="G397" s="8" t="s">
        <v>387</v>
      </c>
      <c r="H397" s="12"/>
      <c r="I397" s="5">
        <f t="shared" si="5"/>
        <v>1</v>
      </c>
      <c r="J397" s="5"/>
      <c r="K397" s="5"/>
      <c r="L397" s="5"/>
      <c r="M397" s="5"/>
      <c r="N397" s="5"/>
      <c r="O397" s="5"/>
      <c r="P397" s="5"/>
      <c r="Q397" s="5">
        <v>1</v>
      </c>
      <c r="R397" s="5"/>
      <c r="S397" s="5"/>
      <c r="T397" s="5"/>
      <c r="U397" s="5"/>
      <c r="V397" s="6"/>
      <c r="W397" s="7">
        <v>1.4253000000000001E-4</v>
      </c>
      <c r="X397" s="7">
        <v>0.142398960687839</v>
      </c>
      <c r="Y397" s="41" t="s">
        <v>116</v>
      </c>
    </row>
    <row r="398" spans="2:25" ht="17.100000000000001" customHeight="1">
      <c r="B398" s="5" t="s">
        <v>41</v>
      </c>
      <c r="C398" s="40" t="s">
        <v>307</v>
      </c>
      <c r="D398" s="5" t="str">
        <f>IFERROR(INDEX(회사별_교통수단매핑!$C$2:$C$1000,MATCH(1,INDEX(($C$14=회사별_교통수단매핑!$A$2:$A$1000)*($Y398=회사별_교통수단매핑!$B$2:$B$1000),0),0)),"")</f>
        <v>국내선 항공</v>
      </c>
      <c r="E398" s="5">
        <v>1</v>
      </c>
      <c r="F398" s="42" t="s">
        <v>120</v>
      </c>
      <c r="G398" s="8" t="s">
        <v>305</v>
      </c>
      <c r="H398" s="12"/>
      <c r="I398" s="5">
        <f t="shared" si="5"/>
        <v>1</v>
      </c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>
        <v>1</v>
      </c>
      <c r="V398" s="6"/>
      <c r="W398" s="7">
        <v>1.4253000000000001E-4</v>
      </c>
      <c r="X398" s="7">
        <v>0.142398960687839</v>
      </c>
      <c r="Y398" s="41" t="s">
        <v>116</v>
      </c>
    </row>
    <row r="399" spans="2:25" ht="17.100000000000001" customHeight="1">
      <c r="B399" s="5" t="s">
        <v>41</v>
      </c>
      <c r="C399" s="40" t="s">
        <v>307</v>
      </c>
      <c r="D399" s="5" t="str">
        <f>IFERROR(INDEX(회사별_교통수단매핑!$C$2:$C$1000,MATCH(1,INDEX(($C$14=회사별_교통수단매핑!$A$2:$A$1000)*($Y399=회사별_교통수단매핑!$B$2:$B$1000),0),0)),"")</f>
        <v>국내선 항공</v>
      </c>
      <c r="E399" s="5">
        <v>1</v>
      </c>
      <c r="F399" s="42" t="s">
        <v>120</v>
      </c>
      <c r="G399" s="8" t="s">
        <v>388</v>
      </c>
      <c r="H399" s="12"/>
      <c r="I399" s="5">
        <f t="shared" si="5"/>
        <v>1</v>
      </c>
      <c r="J399" s="5"/>
      <c r="K399" s="5"/>
      <c r="L399" s="5"/>
      <c r="M399" s="5"/>
      <c r="N399" s="5"/>
      <c r="O399" s="5">
        <v>1</v>
      </c>
      <c r="P399" s="5"/>
      <c r="Q399" s="5"/>
      <c r="R399" s="5"/>
      <c r="S399" s="5"/>
      <c r="T399" s="5"/>
      <c r="U399" s="5"/>
      <c r="V399" s="6"/>
      <c r="W399" s="7">
        <v>1.4253000000000001E-4</v>
      </c>
      <c r="X399" s="7">
        <v>0.142398960687839</v>
      </c>
      <c r="Y399" s="41" t="s">
        <v>116</v>
      </c>
    </row>
    <row r="400" spans="2:25" ht="17.100000000000001" customHeight="1">
      <c r="B400" s="5" t="s">
        <v>41</v>
      </c>
      <c r="C400" s="40" t="s">
        <v>307</v>
      </c>
      <c r="D400" s="5" t="str">
        <f>IFERROR(INDEX(회사별_교통수단매핑!$C$2:$C$1000,MATCH(1,INDEX(($C$14=회사별_교통수단매핑!$A$2:$A$1000)*($Y400=회사별_교통수단매핑!$B$2:$B$1000),0),0)),"")</f>
        <v>국내선 항공</v>
      </c>
      <c r="E400" s="5">
        <v>1</v>
      </c>
      <c r="F400" s="42" t="s">
        <v>120</v>
      </c>
      <c r="G400" s="8" t="s">
        <v>389</v>
      </c>
      <c r="H400" s="12"/>
      <c r="I400" s="5">
        <f t="shared" si="5"/>
        <v>2</v>
      </c>
      <c r="J400" s="5"/>
      <c r="K400" s="5">
        <v>1</v>
      </c>
      <c r="L400" s="5">
        <v>1</v>
      </c>
      <c r="M400" s="5"/>
      <c r="N400" s="5"/>
      <c r="O400" s="5"/>
      <c r="P400" s="5"/>
      <c r="Q400" s="5"/>
      <c r="R400" s="5"/>
      <c r="S400" s="5"/>
      <c r="T400" s="5"/>
      <c r="U400" s="5"/>
      <c r="V400" s="6"/>
      <c r="W400" s="7">
        <v>1.4253000000000001E-4</v>
      </c>
      <c r="X400" s="7">
        <v>0.284797921375678</v>
      </c>
      <c r="Y400" s="41" t="s">
        <v>116</v>
      </c>
    </row>
    <row r="401" spans="2:25" ht="17.100000000000001" customHeight="1">
      <c r="B401" s="5" t="s">
        <v>41</v>
      </c>
      <c r="C401" s="40" t="s">
        <v>307</v>
      </c>
      <c r="D401" s="5" t="str">
        <f>IFERROR(INDEX(회사별_교통수단매핑!$C$2:$C$1000,MATCH(1,INDEX(($C$14=회사별_교통수단매핑!$A$2:$A$1000)*($Y401=회사별_교통수단매핑!$B$2:$B$1000),0),0)),"")</f>
        <v>국내선 항공</v>
      </c>
      <c r="E401" s="5">
        <v>1</v>
      </c>
      <c r="F401" s="42" t="s">
        <v>120</v>
      </c>
      <c r="G401" s="8" t="s">
        <v>390</v>
      </c>
      <c r="H401" s="12"/>
      <c r="I401" s="5">
        <f t="shared" si="5"/>
        <v>1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>
        <v>1</v>
      </c>
      <c r="V401" s="6"/>
      <c r="W401" s="7">
        <v>1.4253000000000001E-4</v>
      </c>
      <c r="X401" s="7">
        <v>0.142398960687839</v>
      </c>
      <c r="Y401" s="41" t="s">
        <v>116</v>
      </c>
    </row>
    <row r="402" spans="2:25" ht="17.100000000000001" customHeight="1">
      <c r="B402" s="5" t="s">
        <v>41</v>
      </c>
      <c r="C402" s="40" t="s">
        <v>307</v>
      </c>
      <c r="D402" s="5" t="str">
        <f>IFERROR(INDEX(회사별_교통수단매핑!$C$2:$C$1000,MATCH(1,INDEX(($C$14=회사별_교통수단매핑!$A$2:$A$1000)*($Y402=회사별_교통수단매핑!$B$2:$B$1000),0),0)),"")</f>
        <v>국내선 항공</v>
      </c>
      <c r="E402" s="5">
        <v>1</v>
      </c>
      <c r="F402" s="42" t="s">
        <v>120</v>
      </c>
      <c r="G402" s="8" t="s">
        <v>391</v>
      </c>
      <c r="H402" s="12"/>
      <c r="I402" s="5">
        <f t="shared" si="5"/>
        <v>2</v>
      </c>
      <c r="J402" s="5"/>
      <c r="K402" s="5"/>
      <c r="L402" s="5"/>
      <c r="M402" s="5"/>
      <c r="N402" s="5"/>
      <c r="O402" s="5"/>
      <c r="P402" s="5"/>
      <c r="Q402" s="5"/>
      <c r="R402" s="5"/>
      <c r="S402" s="5">
        <v>2</v>
      </c>
      <c r="T402" s="5"/>
      <c r="U402" s="5"/>
      <c r="V402" s="6"/>
      <c r="W402" s="7">
        <v>1.4253000000000001E-4</v>
      </c>
      <c r="X402" s="7">
        <v>0.284797921375678</v>
      </c>
      <c r="Y402" s="41" t="s">
        <v>116</v>
      </c>
    </row>
    <row r="403" spans="2:25" ht="17.100000000000001" customHeight="1">
      <c r="B403" s="5" t="s">
        <v>41</v>
      </c>
      <c r="C403" s="40" t="s">
        <v>307</v>
      </c>
      <c r="D403" s="5" t="str">
        <f>IFERROR(INDEX(회사별_교통수단매핑!$C$2:$C$1000,MATCH(1,INDEX(($C$14=회사별_교통수단매핑!$A$2:$A$1000)*($Y403=회사별_교통수단매핑!$B$2:$B$1000),0),0)),"")</f>
        <v>국내선 항공</v>
      </c>
      <c r="E403" s="5">
        <v>1</v>
      </c>
      <c r="F403" s="42" t="s">
        <v>120</v>
      </c>
      <c r="G403" s="8" t="s">
        <v>392</v>
      </c>
      <c r="H403" s="12"/>
      <c r="I403" s="5">
        <f t="shared" si="5"/>
        <v>7</v>
      </c>
      <c r="J403" s="5"/>
      <c r="K403" s="5"/>
      <c r="L403" s="5"/>
      <c r="M403" s="5"/>
      <c r="N403" s="5"/>
      <c r="O403" s="5"/>
      <c r="P403" s="5"/>
      <c r="Q403" s="5"/>
      <c r="R403" s="5">
        <v>4</v>
      </c>
      <c r="S403" s="5"/>
      <c r="T403" s="5">
        <v>3</v>
      </c>
      <c r="U403" s="5"/>
      <c r="V403" s="6"/>
      <c r="W403" s="7">
        <v>1.4253000000000001E-4</v>
      </c>
      <c r="X403" s="7">
        <v>0.99679272481487302</v>
      </c>
      <c r="Y403" s="41" t="s">
        <v>116</v>
      </c>
    </row>
    <row r="404" spans="2:25" ht="17.100000000000001" customHeight="1">
      <c r="B404" s="5" t="s">
        <v>41</v>
      </c>
      <c r="C404" s="40" t="s">
        <v>307</v>
      </c>
      <c r="D404" s="5" t="str">
        <f>IFERROR(INDEX(회사별_교통수단매핑!$C$2:$C$1000,MATCH(1,INDEX(($C$14=회사별_교통수단매핑!$A$2:$A$1000)*($Y404=회사별_교통수단매핑!$B$2:$B$1000),0),0)),"")</f>
        <v>국내선 항공</v>
      </c>
      <c r="E404" s="5">
        <v>1</v>
      </c>
      <c r="F404" s="42" t="s">
        <v>120</v>
      </c>
      <c r="G404" s="8" t="s">
        <v>393</v>
      </c>
      <c r="H404" s="12"/>
      <c r="I404" s="5">
        <f t="shared" si="5"/>
        <v>5</v>
      </c>
      <c r="J404" s="5"/>
      <c r="K404" s="5"/>
      <c r="L404" s="5">
        <v>2</v>
      </c>
      <c r="M404" s="5"/>
      <c r="N404" s="5"/>
      <c r="O404" s="5">
        <v>2</v>
      </c>
      <c r="P404" s="5"/>
      <c r="Q404" s="5"/>
      <c r="R404" s="5">
        <v>1</v>
      </c>
      <c r="S404" s="5"/>
      <c r="T404" s="5"/>
      <c r="U404" s="5"/>
      <c r="V404" s="6"/>
      <c r="W404" s="7">
        <v>1.4253000000000001E-4</v>
      </c>
      <c r="X404" s="7">
        <v>0.71199480343919508</v>
      </c>
      <c r="Y404" s="41" t="s">
        <v>116</v>
      </c>
    </row>
    <row r="405" spans="2:25" ht="17.100000000000001" customHeight="1">
      <c r="B405" s="5" t="s">
        <v>41</v>
      </c>
      <c r="C405" s="40" t="s">
        <v>307</v>
      </c>
      <c r="D405" s="5" t="str">
        <f>IFERROR(INDEX(회사별_교통수단매핑!$C$2:$C$1000,MATCH(1,INDEX(($C$14=회사별_교통수단매핑!$A$2:$A$1000)*($Y405=회사별_교통수단매핑!$B$2:$B$1000),0),0)),"")</f>
        <v>국내선 항공</v>
      </c>
      <c r="E405" s="5">
        <v>1</v>
      </c>
      <c r="F405" s="42" t="s">
        <v>120</v>
      </c>
      <c r="G405" s="8" t="s">
        <v>394</v>
      </c>
      <c r="H405" s="12"/>
      <c r="I405" s="5">
        <f t="shared" ref="I405:I468" si="6">IF(SUM(J405:U405)=0,"",SUM(J405:U405))</f>
        <v>1</v>
      </c>
      <c r="J405" s="5"/>
      <c r="K405" s="5"/>
      <c r="L405" s="5"/>
      <c r="M405" s="5"/>
      <c r="N405" s="5"/>
      <c r="O405" s="5"/>
      <c r="P405" s="5"/>
      <c r="Q405" s="5"/>
      <c r="R405" s="5">
        <v>1</v>
      </c>
      <c r="S405" s="5"/>
      <c r="T405" s="5"/>
      <c r="U405" s="5"/>
      <c r="V405" s="6"/>
      <c r="W405" s="7">
        <v>1.4253000000000001E-4</v>
      </c>
      <c r="X405" s="7">
        <v>0.142398960687839</v>
      </c>
      <c r="Y405" s="41" t="s">
        <v>116</v>
      </c>
    </row>
    <row r="406" spans="2:25" ht="17.100000000000001" customHeight="1">
      <c r="B406" s="5" t="s">
        <v>41</v>
      </c>
      <c r="C406" s="40" t="s">
        <v>307</v>
      </c>
      <c r="D406" s="5" t="str">
        <f>IFERROR(INDEX(회사별_교통수단매핑!$C$2:$C$1000,MATCH(1,INDEX(($C$14=회사별_교통수단매핑!$A$2:$A$1000)*($Y406=회사별_교통수단매핑!$B$2:$B$1000),0),0)),"")</f>
        <v>국내선 항공</v>
      </c>
      <c r="E406" s="5">
        <v>1</v>
      </c>
      <c r="F406" s="42" t="s">
        <v>120</v>
      </c>
      <c r="G406" s="8" t="s">
        <v>138</v>
      </c>
      <c r="H406" s="12"/>
      <c r="I406" s="5">
        <f t="shared" si="6"/>
        <v>16</v>
      </c>
      <c r="J406" s="5"/>
      <c r="K406" s="5"/>
      <c r="L406" s="5"/>
      <c r="M406" s="5"/>
      <c r="N406" s="5"/>
      <c r="O406" s="5">
        <v>16</v>
      </c>
      <c r="P406" s="5"/>
      <c r="Q406" s="5"/>
      <c r="R406" s="5"/>
      <c r="S406" s="5"/>
      <c r="T406" s="5"/>
      <c r="U406" s="5"/>
      <c r="V406" s="6"/>
      <c r="W406" s="7">
        <v>1.4253000000000001E-4</v>
      </c>
      <c r="X406" s="7">
        <v>2.278383371005424</v>
      </c>
      <c r="Y406" s="41" t="s">
        <v>116</v>
      </c>
    </row>
    <row r="407" spans="2:25" ht="17.100000000000001" customHeight="1">
      <c r="B407" s="5" t="s">
        <v>41</v>
      </c>
      <c r="C407" s="40" t="s">
        <v>307</v>
      </c>
      <c r="D407" s="5" t="str">
        <f>IFERROR(INDEX(회사별_교통수단매핑!$C$2:$C$1000,MATCH(1,INDEX(($C$14=회사별_교통수단매핑!$A$2:$A$1000)*($Y407=회사별_교통수단매핑!$B$2:$B$1000),0),0)),"")</f>
        <v>국내선 항공</v>
      </c>
      <c r="E407" s="5">
        <v>1</v>
      </c>
      <c r="F407" s="42" t="s">
        <v>120</v>
      </c>
      <c r="G407" s="8" t="s">
        <v>395</v>
      </c>
      <c r="H407" s="12"/>
      <c r="I407" s="5">
        <f t="shared" si="6"/>
        <v>1</v>
      </c>
      <c r="J407" s="5"/>
      <c r="K407" s="5"/>
      <c r="L407" s="5"/>
      <c r="M407" s="5"/>
      <c r="N407" s="5"/>
      <c r="O407" s="5"/>
      <c r="P407" s="5"/>
      <c r="Q407" s="5"/>
      <c r="R407" s="5">
        <v>1</v>
      </c>
      <c r="S407" s="5"/>
      <c r="T407" s="5"/>
      <c r="U407" s="5"/>
      <c r="V407" s="6"/>
      <c r="W407" s="7">
        <v>1.4253000000000001E-4</v>
      </c>
      <c r="X407" s="7">
        <v>0.142398960687839</v>
      </c>
      <c r="Y407" s="41" t="s">
        <v>116</v>
      </c>
    </row>
    <row r="408" spans="2:25" ht="17.100000000000001" customHeight="1">
      <c r="B408" s="5" t="s">
        <v>41</v>
      </c>
      <c r="C408" s="40" t="s">
        <v>307</v>
      </c>
      <c r="D408" s="5" t="str">
        <f>IFERROR(INDEX(회사별_교통수단매핑!$C$2:$C$1000,MATCH(1,INDEX(($C$14=회사별_교통수단매핑!$A$2:$A$1000)*($Y408=회사별_교통수단매핑!$B$2:$B$1000),0),0)),"")</f>
        <v>국내선 항공</v>
      </c>
      <c r="E408" s="5">
        <v>1</v>
      </c>
      <c r="F408" s="42" t="s">
        <v>120</v>
      </c>
      <c r="G408" s="8" t="s">
        <v>396</v>
      </c>
      <c r="H408" s="12"/>
      <c r="I408" s="5">
        <f t="shared" si="6"/>
        <v>1</v>
      </c>
      <c r="J408" s="5"/>
      <c r="K408" s="5"/>
      <c r="L408" s="5">
        <v>1</v>
      </c>
      <c r="M408" s="5"/>
      <c r="N408" s="5"/>
      <c r="O408" s="5"/>
      <c r="P408" s="5"/>
      <c r="Q408" s="5"/>
      <c r="R408" s="5"/>
      <c r="S408" s="5"/>
      <c r="T408" s="5"/>
      <c r="U408" s="5"/>
      <c r="V408" s="6"/>
      <c r="W408" s="7">
        <v>1.4253000000000001E-4</v>
      </c>
      <c r="X408" s="7">
        <v>0.142398960687839</v>
      </c>
      <c r="Y408" s="41" t="s">
        <v>116</v>
      </c>
    </row>
    <row r="409" spans="2:25" ht="17.100000000000001" customHeight="1">
      <c r="B409" s="5" t="s">
        <v>41</v>
      </c>
      <c r="C409" s="40" t="s">
        <v>307</v>
      </c>
      <c r="D409" s="5" t="str">
        <f>IFERROR(INDEX(회사별_교통수단매핑!$C$2:$C$1000,MATCH(1,INDEX(($C$14=회사별_교통수단매핑!$A$2:$A$1000)*($Y409=회사별_교통수단매핑!$B$2:$B$1000),0),0)),"")</f>
        <v>국내선 항공</v>
      </c>
      <c r="E409" s="5">
        <v>1</v>
      </c>
      <c r="F409" s="42" t="s">
        <v>120</v>
      </c>
      <c r="G409" s="8" t="s">
        <v>397</v>
      </c>
      <c r="H409" s="12"/>
      <c r="I409" s="5">
        <f t="shared" si="6"/>
        <v>1</v>
      </c>
      <c r="J409" s="5"/>
      <c r="K409" s="5"/>
      <c r="L409" s="5"/>
      <c r="M409" s="5"/>
      <c r="N409" s="5"/>
      <c r="O409" s="5"/>
      <c r="P409" s="5"/>
      <c r="Q409" s="5"/>
      <c r="R409" s="5">
        <v>1</v>
      </c>
      <c r="S409" s="5"/>
      <c r="T409" s="5"/>
      <c r="U409" s="5"/>
      <c r="V409" s="6"/>
      <c r="W409" s="7">
        <v>1.4253000000000001E-4</v>
      </c>
      <c r="X409" s="7">
        <v>0.142398960687839</v>
      </c>
      <c r="Y409" s="41" t="s">
        <v>116</v>
      </c>
    </row>
    <row r="410" spans="2:25" ht="17.100000000000001" customHeight="1">
      <c r="B410" s="5" t="s">
        <v>41</v>
      </c>
      <c r="C410" s="40" t="s">
        <v>307</v>
      </c>
      <c r="D410" s="5" t="str">
        <f>IFERROR(INDEX(회사별_교통수단매핑!$C$2:$C$1000,MATCH(1,INDEX(($C$14=회사별_교통수단매핑!$A$2:$A$1000)*($Y410=회사별_교통수단매핑!$B$2:$B$1000),0),0)),"")</f>
        <v>국내선 항공</v>
      </c>
      <c r="E410" s="5">
        <v>1</v>
      </c>
      <c r="F410" s="42" t="s">
        <v>120</v>
      </c>
      <c r="G410" s="8" t="s">
        <v>398</v>
      </c>
      <c r="H410" s="12"/>
      <c r="I410" s="5">
        <f t="shared" si="6"/>
        <v>2</v>
      </c>
      <c r="J410" s="5"/>
      <c r="K410" s="5"/>
      <c r="L410" s="5"/>
      <c r="M410" s="5"/>
      <c r="N410" s="5"/>
      <c r="O410" s="5"/>
      <c r="P410" s="5"/>
      <c r="Q410" s="5">
        <v>2</v>
      </c>
      <c r="R410" s="5"/>
      <c r="S410" s="5"/>
      <c r="T410" s="5"/>
      <c r="U410" s="5"/>
      <c r="V410" s="6"/>
      <c r="W410" s="7">
        <v>1.4253000000000001E-4</v>
      </c>
      <c r="X410" s="7">
        <v>0.284797921375678</v>
      </c>
      <c r="Y410" s="41" t="s">
        <v>116</v>
      </c>
    </row>
    <row r="411" spans="2:25" ht="17.100000000000001" customHeight="1">
      <c r="B411" s="5" t="s">
        <v>41</v>
      </c>
      <c r="C411" s="40" t="s">
        <v>307</v>
      </c>
      <c r="D411" s="5" t="str">
        <f>IFERROR(INDEX(회사별_교통수단매핑!$C$2:$C$1000,MATCH(1,INDEX(($C$14=회사별_교통수단매핑!$A$2:$A$1000)*($Y411=회사별_교통수단매핑!$B$2:$B$1000),0),0)),"")</f>
        <v>국내선 항공</v>
      </c>
      <c r="E411" s="5">
        <v>1</v>
      </c>
      <c r="F411" s="42" t="s">
        <v>120</v>
      </c>
      <c r="G411" s="8" t="s">
        <v>399</v>
      </c>
      <c r="H411" s="12"/>
      <c r="I411" s="5">
        <f t="shared" si="6"/>
        <v>2</v>
      </c>
      <c r="J411" s="5"/>
      <c r="K411" s="5"/>
      <c r="L411" s="5"/>
      <c r="M411" s="5"/>
      <c r="N411" s="5">
        <v>1</v>
      </c>
      <c r="O411" s="5"/>
      <c r="P411" s="5"/>
      <c r="Q411" s="5"/>
      <c r="R411" s="5">
        <v>1</v>
      </c>
      <c r="S411" s="5"/>
      <c r="T411" s="5"/>
      <c r="U411" s="5"/>
      <c r="V411" s="6"/>
      <c r="W411" s="7">
        <v>1.4253000000000001E-4</v>
      </c>
      <c r="X411" s="7">
        <v>0.284797921375678</v>
      </c>
      <c r="Y411" s="41" t="s">
        <v>116</v>
      </c>
    </row>
    <row r="412" spans="2:25" ht="17.100000000000001" customHeight="1">
      <c r="B412" s="5" t="s">
        <v>41</v>
      </c>
      <c r="C412" s="40" t="s">
        <v>307</v>
      </c>
      <c r="D412" s="5" t="str">
        <f>IFERROR(INDEX(회사별_교통수단매핑!$C$2:$C$1000,MATCH(1,INDEX(($C$14=회사별_교통수단매핑!$A$2:$A$1000)*($Y412=회사별_교통수단매핑!$B$2:$B$1000),0),0)),"")</f>
        <v>국내선 항공</v>
      </c>
      <c r="E412" s="5">
        <v>1</v>
      </c>
      <c r="F412" s="42" t="s">
        <v>120</v>
      </c>
      <c r="G412" s="8" t="s">
        <v>140</v>
      </c>
      <c r="H412" s="12"/>
      <c r="I412" s="5">
        <f t="shared" si="6"/>
        <v>6</v>
      </c>
      <c r="J412" s="5"/>
      <c r="K412" s="5"/>
      <c r="L412" s="5"/>
      <c r="M412" s="5">
        <v>2</v>
      </c>
      <c r="N412" s="5"/>
      <c r="O412" s="5"/>
      <c r="P412" s="5">
        <v>1</v>
      </c>
      <c r="Q412" s="5">
        <v>3</v>
      </c>
      <c r="R412" s="5"/>
      <c r="S412" s="5"/>
      <c r="T412" s="5"/>
      <c r="U412" s="5"/>
      <c r="V412" s="6"/>
      <c r="W412" s="7">
        <v>1.4253000000000001E-4</v>
      </c>
      <c r="X412" s="7">
        <v>0.85439376412703405</v>
      </c>
      <c r="Y412" s="41" t="s">
        <v>116</v>
      </c>
    </row>
    <row r="413" spans="2:25" ht="17.100000000000001" customHeight="1">
      <c r="B413" s="5" t="s">
        <v>41</v>
      </c>
      <c r="C413" s="40" t="s">
        <v>307</v>
      </c>
      <c r="D413" s="5" t="str">
        <f>IFERROR(INDEX(회사별_교통수단매핑!$C$2:$C$1000,MATCH(1,INDEX(($C$14=회사별_교통수단매핑!$A$2:$A$1000)*($Y413=회사별_교통수단매핑!$B$2:$B$1000),0),0)),"")</f>
        <v>국내선 항공</v>
      </c>
      <c r="E413" s="5">
        <v>1</v>
      </c>
      <c r="F413" s="42" t="s">
        <v>120</v>
      </c>
      <c r="G413" s="8" t="s">
        <v>400</v>
      </c>
      <c r="H413" s="12"/>
      <c r="I413" s="5">
        <f t="shared" si="6"/>
        <v>1</v>
      </c>
      <c r="J413" s="5"/>
      <c r="K413" s="5"/>
      <c r="L413" s="5"/>
      <c r="M413" s="5"/>
      <c r="N413" s="5"/>
      <c r="O413" s="5"/>
      <c r="P413" s="5"/>
      <c r="Q413" s="5"/>
      <c r="R413" s="5">
        <v>1</v>
      </c>
      <c r="S413" s="5"/>
      <c r="T413" s="5"/>
      <c r="U413" s="5"/>
      <c r="V413" s="6"/>
      <c r="W413" s="7">
        <v>1.4253000000000001E-4</v>
      </c>
      <c r="X413" s="7">
        <v>0.142398960687839</v>
      </c>
      <c r="Y413" s="41" t="s">
        <v>116</v>
      </c>
    </row>
    <row r="414" spans="2:25" ht="17.100000000000001" customHeight="1">
      <c r="B414" s="5" t="s">
        <v>41</v>
      </c>
      <c r="C414" s="40" t="s">
        <v>307</v>
      </c>
      <c r="D414" s="5" t="str">
        <f>IFERROR(INDEX(회사별_교통수단매핑!$C$2:$C$1000,MATCH(1,INDEX(($C$14=회사별_교통수단매핑!$A$2:$A$1000)*($Y414=회사별_교통수단매핑!$B$2:$B$1000),0),0)),"")</f>
        <v>국내선 항공</v>
      </c>
      <c r="E414" s="5">
        <v>1</v>
      </c>
      <c r="F414" s="42" t="s">
        <v>120</v>
      </c>
      <c r="G414" s="8" t="s">
        <v>401</v>
      </c>
      <c r="H414" s="12"/>
      <c r="I414" s="5">
        <f t="shared" si="6"/>
        <v>1</v>
      </c>
      <c r="J414" s="5"/>
      <c r="K414" s="5"/>
      <c r="L414" s="5">
        <v>1</v>
      </c>
      <c r="M414" s="5"/>
      <c r="N414" s="5"/>
      <c r="O414" s="5"/>
      <c r="P414" s="5"/>
      <c r="Q414" s="5"/>
      <c r="R414" s="5"/>
      <c r="S414" s="5"/>
      <c r="T414" s="5"/>
      <c r="U414" s="5"/>
      <c r="V414" s="6"/>
      <c r="W414" s="7">
        <v>1.4253000000000001E-4</v>
      </c>
      <c r="X414" s="7">
        <v>0.1412292177697945</v>
      </c>
      <c r="Y414" s="41" t="s">
        <v>116</v>
      </c>
    </row>
    <row r="415" spans="2:25" ht="17.100000000000001" customHeight="1">
      <c r="B415" s="5" t="s">
        <v>41</v>
      </c>
      <c r="C415" s="40" t="s">
        <v>307</v>
      </c>
      <c r="D415" s="5" t="str">
        <f>IFERROR(INDEX(회사별_교통수단매핑!$C$2:$C$1000,MATCH(1,INDEX(($C$14=회사별_교통수단매핑!$A$2:$A$1000)*($Y415=회사별_교통수단매핑!$B$2:$B$1000),0),0)),"")</f>
        <v>국내선 항공</v>
      </c>
      <c r="E415" s="5">
        <v>1</v>
      </c>
      <c r="F415" s="42" t="s">
        <v>120</v>
      </c>
      <c r="G415" s="8" t="s">
        <v>402</v>
      </c>
      <c r="H415" s="12"/>
      <c r="I415" s="5">
        <f t="shared" si="6"/>
        <v>9</v>
      </c>
      <c r="J415" s="5">
        <v>2</v>
      </c>
      <c r="K415" s="5"/>
      <c r="L415" s="5"/>
      <c r="M415" s="5"/>
      <c r="N415" s="5"/>
      <c r="O415" s="5"/>
      <c r="P415" s="5"/>
      <c r="Q415" s="5">
        <v>1</v>
      </c>
      <c r="R415" s="5">
        <v>1</v>
      </c>
      <c r="S415" s="5"/>
      <c r="T415" s="5">
        <v>5</v>
      </c>
      <c r="U415" s="5"/>
      <c r="V415" s="6"/>
      <c r="W415" s="7">
        <v>1.4253000000000001E-4</v>
      </c>
      <c r="X415" s="7">
        <v>1.2815906461905511</v>
      </c>
      <c r="Y415" s="41" t="s">
        <v>116</v>
      </c>
    </row>
    <row r="416" spans="2:25" ht="17.100000000000001" customHeight="1">
      <c r="B416" s="5" t="s">
        <v>41</v>
      </c>
      <c r="C416" s="40" t="s">
        <v>307</v>
      </c>
      <c r="D416" s="5" t="str">
        <f>IFERROR(INDEX(회사별_교통수단매핑!$C$2:$C$1000,MATCH(1,INDEX(($C$14=회사별_교통수단매핑!$A$2:$A$1000)*($Y416=회사별_교통수단매핑!$B$2:$B$1000),0),0)),"")</f>
        <v>국내선 항공</v>
      </c>
      <c r="E416" s="5">
        <v>1</v>
      </c>
      <c r="F416" s="42" t="s">
        <v>120</v>
      </c>
      <c r="G416" s="8" t="s">
        <v>403</v>
      </c>
      <c r="H416" s="12"/>
      <c r="I416" s="5">
        <f t="shared" si="6"/>
        <v>1</v>
      </c>
      <c r="J416" s="5"/>
      <c r="K416" s="5"/>
      <c r="L416" s="5"/>
      <c r="M416" s="5"/>
      <c r="N416" s="5"/>
      <c r="O416" s="5"/>
      <c r="P416" s="5"/>
      <c r="Q416" s="5"/>
      <c r="R416" s="5"/>
      <c r="S416" s="5">
        <v>1</v>
      </c>
      <c r="T416" s="5"/>
      <c r="U416" s="5"/>
      <c r="V416" s="6"/>
      <c r="W416" s="7">
        <v>1.4253000000000001E-4</v>
      </c>
      <c r="X416" s="7">
        <v>0.142398960687839</v>
      </c>
      <c r="Y416" s="41" t="s">
        <v>116</v>
      </c>
    </row>
    <row r="417" spans="2:25" ht="17.100000000000001" customHeight="1">
      <c r="B417" s="5" t="s">
        <v>41</v>
      </c>
      <c r="C417" s="40" t="s">
        <v>307</v>
      </c>
      <c r="D417" s="5" t="str">
        <f>IFERROR(INDEX(회사별_교통수단매핑!$C$2:$C$1000,MATCH(1,INDEX(($C$14=회사별_교통수단매핑!$A$2:$A$1000)*($Y417=회사별_교통수단매핑!$B$2:$B$1000),0),0)),"")</f>
        <v>국내선 항공</v>
      </c>
      <c r="E417" s="5">
        <v>1</v>
      </c>
      <c r="F417" s="42" t="s">
        <v>120</v>
      </c>
      <c r="G417" s="8" t="s">
        <v>404</v>
      </c>
      <c r="H417" s="12"/>
      <c r="I417" s="5">
        <f t="shared" si="6"/>
        <v>4</v>
      </c>
      <c r="J417" s="5"/>
      <c r="K417" s="5"/>
      <c r="L417" s="5">
        <v>3</v>
      </c>
      <c r="M417" s="5"/>
      <c r="N417" s="5"/>
      <c r="O417" s="5"/>
      <c r="P417" s="5"/>
      <c r="Q417" s="5"/>
      <c r="R417" s="5"/>
      <c r="S417" s="5"/>
      <c r="T417" s="5">
        <v>1</v>
      </c>
      <c r="U417" s="5"/>
      <c r="V417" s="6"/>
      <c r="W417" s="7">
        <v>1.4253000000000001E-4</v>
      </c>
      <c r="X417" s="7">
        <v>0.569595842751356</v>
      </c>
      <c r="Y417" s="41" t="s">
        <v>116</v>
      </c>
    </row>
    <row r="418" spans="2:25" ht="17.100000000000001" customHeight="1">
      <c r="B418" s="5" t="s">
        <v>41</v>
      </c>
      <c r="C418" s="40" t="s">
        <v>307</v>
      </c>
      <c r="D418" s="5" t="str">
        <f>IFERROR(INDEX(회사별_교통수단매핑!$C$2:$C$1000,MATCH(1,INDEX(($C$14=회사별_교통수단매핑!$A$2:$A$1000)*($Y418=회사별_교통수단매핑!$B$2:$B$1000),0),0)),"")</f>
        <v>국내선 항공</v>
      </c>
      <c r="E418" s="5">
        <v>1</v>
      </c>
      <c r="F418" s="42" t="s">
        <v>120</v>
      </c>
      <c r="G418" s="8" t="s">
        <v>405</v>
      </c>
      <c r="H418" s="12"/>
      <c r="I418" s="5">
        <f t="shared" si="6"/>
        <v>1</v>
      </c>
      <c r="J418" s="5"/>
      <c r="K418" s="5"/>
      <c r="L418" s="5">
        <v>1</v>
      </c>
      <c r="M418" s="5"/>
      <c r="N418" s="5"/>
      <c r="O418" s="5"/>
      <c r="P418" s="5"/>
      <c r="Q418" s="5"/>
      <c r="R418" s="5"/>
      <c r="S418" s="5"/>
      <c r="T418" s="5"/>
      <c r="U418" s="5"/>
      <c r="V418" s="6"/>
      <c r="W418" s="7">
        <v>1.4253000000000001E-4</v>
      </c>
      <c r="X418" s="7">
        <v>0.1412292177697945</v>
      </c>
      <c r="Y418" s="41" t="s">
        <v>116</v>
      </c>
    </row>
    <row r="419" spans="2:25" ht="17.100000000000001" customHeight="1">
      <c r="B419" s="5" t="s">
        <v>41</v>
      </c>
      <c r="C419" s="40" t="s">
        <v>307</v>
      </c>
      <c r="D419" s="5" t="str">
        <f>IFERROR(INDEX(회사별_교통수단매핑!$C$2:$C$1000,MATCH(1,INDEX(($C$14=회사별_교통수단매핑!$A$2:$A$1000)*($Y419=회사별_교통수단매핑!$B$2:$B$1000),0),0)),"")</f>
        <v>국내선 항공</v>
      </c>
      <c r="E419" s="5">
        <v>1</v>
      </c>
      <c r="F419" s="42" t="s">
        <v>120</v>
      </c>
      <c r="G419" s="8" t="s">
        <v>406</v>
      </c>
      <c r="H419" s="12"/>
      <c r="I419" s="5">
        <f t="shared" si="6"/>
        <v>5</v>
      </c>
      <c r="J419" s="5"/>
      <c r="K419" s="5"/>
      <c r="L419" s="5">
        <v>1</v>
      </c>
      <c r="M419" s="5">
        <v>1</v>
      </c>
      <c r="N419" s="5">
        <v>2</v>
      </c>
      <c r="O419" s="5"/>
      <c r="P419" s="5"/>
      <c r="Q419" s="5"/>
      <c r="R419" s="5"/>
      <c r="S419" s="5">
        <v>1</v>
      </c>
      <c r="T419" s="5"/>
      <c r="U419" s="5"/>
      <c r="V419" s="6"/>
      <c r="W419" s="7">
        <v>1.4253000000000001E-4</v>
      </c>
      <c r="X419" s="7">
        <v>0.71199480343919508</v>
      </c>
      <c r="Y419" s="41" t="s">
        <v>116</v>
      </c>
    </row>
    <row r="420" spans="2:25" ht="17.100000000000001" customHeight="1">
      <c r="B420" s="5" t="s">
        <v>41</v>
      </c>
      <c r="C420" s="40" t="s">
        <v>307</v>
      </c>
      <c r="D420" s="5" t="str">
        <f>IFERROR(INDEX(회사별_교통수단매핑!$C$2:$C$1000,MATCH(1,INDEX(($C$14=회사별_교통수단매핑!$A$2:$A$1000)*($Y420=회사별_교통수단매핑!$B$2:$B$1000),0),0)),"")</f>
        <v>국내선 항공</v>
      </c>
      <c r="E420" s="5">
        <v>1</v>
      </c>
      <c r="F420" s="42" t="s">
        <v>120</v>
      </c>
      <c r="G420" s="8" t="s">
        <v>407</v>
      </c>
      <c r="H420" s="12"/>
      <c r="I420" s="5">
        <f t="shared" si="6"/>
        <v>2</v>
      </c>
      <c r="J420" s="5"/>
      <c r="K420" s="5"/>
      <c r="L420" s="5"/>
      <c r="M420" s="5"/>
      <c r="N420" s="5">
        <v>1</v>
      </c>
      <c r="O420" s="5"/>
      <c r="P420" s="5"/>
      <c r="Q420" s="5">
        <v>1</v>
      </c>
      <c r="R420" s="5"/>
      <c r="S420" s="5"/>
      <c r="T420" s="5"/>
      <c r="U420" s="5"/>
      <c r="V420" s="6"/>
      <c r="W420" s="7">
        <v>1.4253000000000001E-4</v>
      </c>
      <c r="X420" s="7">
        <v>0.284797921375678</v>
      </c>
      <c r="Y420" s="41" t="s">
        <v>116</v>
      </c>
    </row>
    <row r="421" spans="2:25" ht="17.100000000000001" customHeight="1">
      <c r="B421" s="5" t="s">
        <v>41</v>
      </c>
      <c r="C421" s="40" t="s">
        <v>307</v>
      </c>
      <c r="D421" s="5" t="str">
        <f>IFERROR(INDEX(회사별_교통수단매핑!$C$2:$C$1000,MATCH(1,INDEX(($C$14=회사별_교통수단매핑!$A$2:$A$1000)*($Y421=회사별_교통수단매핑!$B$2:$B$1000),0),0)),"")</f>
        <v>국내선 항공</v>
      </c>
      <c r="E421" s="5">
        <v>1</v>
      </c>
      <c r="F421" s="42" t="s">
        <v>120</v>
      </c>
      <c r="G421" s="8" t="s">
        <v>193</v>
      </c>
      <c r="H421" s="12"/>
      <c r="I421" s="5">
        <f t="shared" si="6"/>
        <v>2</v>
      </c>
      <c r="J421" s="5"/>
      <c r="K421" s="5"/>
      <c r="L421" s="5"/>
      <c r="M421" s="5">
        <v>1</v>
      </c>
      <c r="N421" s="5"/>
      <c r="O421" s="5"/>
      <c r="P421" s="5"/>
      <c r="Q421" s="5">
        <v>1</v>
      </c>
      <c r="R421" s="5"/>
      <c r="S421" s="5"/>
      <c r="T421" s="5"/>
      <c r="U421" s="5"/>
      <c r="V421" s="6"/>
      <c r="W421" s="7">
        <v>1.4253000000000001E-4</v>
      </c>
      <c r="X421" s="7">
        <v>0.28245843553958899</v>
      </c>
      <c r="Y421" s="41" t="s">
        <v>116</v>
      </c>
    </row>
    <row r="422" spans="2:25" ht="17.100000000000001" customHeight="1">
      <c r="B422" s="5" t="s">
        <v>41</v>
      </c>
      <c r="C422" s="40" t="s">
        <v>307</v>
      </c>
      <c r="D422" s="5" t="str">
        <f>IFERROR(INDEX(회사별_교통수단매핑!$C$2:$C$1000,MATCH(1,INDEX(($C$14=회사별_교통수단매핑!$A$2:$A$1000)*($Y422=회사별_교통수단매핑!$B$2:$B$1000),0),0)),"")</f>
        <v>국내선 항공</v>
      </c>
      <c r="E422" s="5">
        <v>1</v>
      </c>
      <c r="F422" s="42" t="s">
        <v>120</v>
      </c>
      <c r="G422" s="8" t="s">
        <v>408</v>
      </c>
      <c r="H422" s="12"/>
      <c r="I422" s="5">
        <f t="shared" si="6"/>
        <v>2</v>
      </c>
      <c r="J422" s="5"/>
      <c r="K422" s="5"/>
      <c r="L422" s="5"/>
      <c r="M422" s="5"/>
      <c r="N422" s="5"/>
      <c r="O422" s="5"/>
      <c r="P422" s="5"/>
      <c r="Q422" s="5">
        <v>2</v>
      </c>
      <c r="R422" s="5"/>
      <c r="S422" s="5"/>
      <c r="T422" s="5"/>
      <c r="U422" s="5"/>
      <c r="V422" s="6"/>
      <c r="W422" s="7">
        <v>1.4253000000000001E-4</v>
      </c>
      <c r="X422" s="7">
        <v>0.284797921375678</v>
      </c>
      <c r="Y422" s="41" t="s">
        <v>116</v>
      </c>
    </row>
    <row r="423" spans="2:25" ht="17.100000000000001" customHeight="1">
      <c r="B423" s="5" t="s">
        <v>41</v>
      </c>
      <c r="C423" s="40" t="s">
        <v>307</v>
      </c>
      <c r="D423" s="5" t="str">
        <f>IFERROR(INDEX(회사별_교통수단매핑!$C$2:$C$1000,MATCH(1,INDEX(($C$14=회사별_교통수단매핑!$A$2:$A$1000)*($Y423=회사별_교통수단매핑!$B$2:$B$1000),0),0)),"")</f>
        <v>국내선 항공</v>
      </c>
      <c r="E423" s="5">
        <v>1</v>
      </c>
      <c r="F423" s="42" t="s">
        <v>120</v>
      </c>
      <c r="G423" s="8" t="s">
        <v>409</v>
      </c>
      <c r="H423" s="12"/>
      <c r="I423" s="5">
        <f t="shared" si="6"/>
        <v>2</v>
      </c>
      <c r="J423" s="5"/>
      <c r="K423" s="5"/>
      <c r="L423" s="5"/>
      <c r="M423" s="5"/>
      <c r="N423" s="5"/>
      <c r="O423" s="5">
        <v>2</v>
      </c>
      <c r="P423" s="5"/>
      <c r="Q423" s="5"/>
      <c r="R423" s="5"/>
      <c r="S423" s="5"/>
      <c r="T423" s="5"/>
      <c r="U423" s="5"/>
      <c r="V423" s="6"/>
      <c r="W423" s="7">
        <v>1.4253000000000001E-4</v>
      </c>
      <c r="X423" s="7">
        <v>0.284797921375678</v>
      </c>
      <c r="Y423" s="41" t="s">
        <v>116</v>
      </c>
    </row>
    <row r="424" spans="2:25" ht="17.100000000000001" customHeight="1">
      <c r="B424" s="5" t="s">
        <v>41</v>
      </c>
      <c r="C424" s="40" t="s">
        <v>307</v>
      </c>
      <c r="D424" s="5" t="str">
        <f>IFERROR(INDEX(회사별_교통수단매핑!$C$2:$C$1000,MATCH(1,INDEX(($C$14=회사별_교통수단매핑!$A$2:$A$1000)*($Y424=회사별_교통수단매핑!$B$2:$B$1000),0),0)),"")</f>
        <v>국내선 항공</v>
      </c>
      <c r="E424" s="5">
        <v>1</v>
      </c>
      <c r="F424" s="42" t="s">
        <v>120</v>
      </c>
      <c r="G424" s="8" t="s">
        <v>410</v>
      </c>
      <c r="H424" s="12"/>
      <c r="I424" s="5">
        <f t="shared" si="6"/>
        <v>2</v>
      </c>
      <c r="J424" s="5"/>
      <c r="K424" s="5"/>
      <c r="L424" s="5"/>
      <c r="M424" s="5"/>
      <c r="N424" s="5"/>
      <c r="O424" s="5"/>
      <c r="P424" s="5"/>
      <c r="Q424" s="5"/>
      <c r="R424" s="5">
        <v>2</v>
      </c>
      <c r="S424" s="5"/>
      <c r="T424" s="5"/>
      <c r="U424" s="5"/>
      <c r="V424" s="6"/>
      <c r="W424" s="7">
        <v>1.4253000000000001E-4</v>
      </c>
      <c r="X424" s="7">
        <v>0.284797921375678</v>
      </c>
      <c r="Y424" s="41" t="s">
        <v>116</v>
      </c>
    </row>
    <row r="425" spans="2:25" ht="17.100000000000001" customHeight="1">
      <c r="B425" s="5" t="s">
        <v>41</v>
      </c>
      <c r="C425" s="40" t="s">
        <v>307</v>
      </c>
      <c r="D425" s="5" t="str">
        <f>IFERROR(INDEX(회사별_교통수단매핑!$C$2:$C$1000,MATCH(1,INDEX(($C$14=회사별_교통수단매핑!$A$2:$A$1000)*($Y425=회사별_교통수단매핑!$B$2:$B$1000),0),0)),"")</f>
        <v>국내선 항공</v>
      </c>
      <c r="E425" s="5">
        <v>1</v>
      </c>
      <c r="F425" s="42" t="s">
        <v>120</v>
      </c>
      <c r="G425" s="8" t="s">
        <v>411</v>
      </c>
      <c r="H425" s="12"/>
      <c r="I425" s="5">
        <f t="shared" si="6"/>
        <v>4</v>
      </c>
      <c r="J425" s="5"/>
      <c r="K425" s="5">
        <v>2</v>
      </c>
      <c r="L425" s="5">
        <v>2</v>
      </c>
      <c r="M425" s="5"/>
      <c r="N425" s="5"/>
      <c r="O425" s="5"/>
      <c r="P425" s="5"/>
      <c r="Q425" s="5"/>
      <c r="R425" s="5"/>
      <c r="S425" s="5"/>
      <c r="T425" s="5"/>
      <c r="U425" s="5"/>
      <c r="V425" s="6"/>
      <c r="W425" s="7">
        <v>1.4253000000000001E-4</v>
      </c>
      <c r="X425" s="7">
        <v>0.569595842751356</v>
      </c>
      <c r="Y425" s="41" t="s">
        <v>116</v>
      </c>
    </row>
    <row r="426" spans="2:25" ht="17.100000000000001" customHeight="1">
      <c r="B426" s="5" t="s">
        <v>41</v>
      </c>
      <c r="C426" s="40" t="s">
        <v>307</v>
      </c>
      <c r="D426" s="5" t="str">
        <f>IFERROR(INDEX(회사별_교통수단매핑!$C$2:$C$1000,MATCH(1,INDEX(($C$14=회사별_교통수단매핑!$A$2:$A$1000)*($Y426=회사별_교통수단매핑!$B$2:$B$1000),0),0)),"")</f>
        <v>국내선 항공</v>
      </c>
      <c r="E426" s="5">
        <v>1</v>
      </c>
      <c r="F426" s="42" t="s">
        <v>120</v>
      </c>
      <c r="G426" s="8" t="s">
        <v>412</v>
      </c>
      <c r="H426" s="12"/>
      <c r="I426" s="5">
        <f t="shared" si="6"/>
        <v>4</v>
      </c>
      <c r="J426" s="5">
        <v>2</v>
      </c>
      <c r="K426" s="5"/>
      <c r="L426" s="5">
        <v>2</v>
      </c>
      <c r="M426" s="5"/>
      <c r="N426" s="5"/>
      <c r="O426" s="5"/>
      <c r="P426" s="5"/>
      <c r="Q426" s="5"/>
      <c r="R426" s="5"/>
      <c r="S426" s="5"/>
      <c r="T426" s="5"/>
      <c r="U426" s="5"/>
      <c r="V426" s="6"/>
      <c r="W426" s="7">
        <v>1.4253000000000001E-4</v>
      </c>
      <c r="X426" s="7">
        <v>0.5649168710791781</v>
      </c>
      <c r="Y426" s="41" t="s">
        <v>116</v>
      </c>
    </row>
    <row r="427" spans="2:25" ht="17.100000000000001" customHeight="1">
      <c r="B427" s="5" t="s">
        <v>41</v>
      </c>
      <c r="C427" s="40" t="s">
        <v>307</v>
      </c>
      <c r="D427" s="5" t="str">
        <f>IFERROR(INDEX(회사별_교통수단매핑!$C$2:$C$1000,MATCH(1,INDEX(($C$14=회사별_교통수단매핑!$A$2:$A$1000)*($Y427=회사별_교통수단매핑!$B$2:$B$1000),0),0)),"")</f>
        <v>국내선 항공</v>
      </c>
      <c r="E427" s="5">
        <v>1</v>
      </c>
      <c r="F427" s="42" t="s">
        <v>120</v>
      </c>
      <c r="G427" s="8" t="s">
        <v>413</v>
      </c>
      <c r="H427" s="12"/>
      <c r="I427" s="5">
        <f t="shared" si="6"/>
        <v>1</v>
      </c>
      <c r="J427" s="5"/>
      <c r="K427" s="5"/>
      <c r="L427" s="5"/>
      <c r="M427" s="5"/>
      <c r="N427" s="5"/>
      <c r="O427" s="5"/>
      <c r="P427" s="5"/>
      <c r="Q427" s="5"/>
      <c r="R427" s="5">
        <v>1</v>
      </c>
      <c r="S427" s="5"/>
      <c r="T427" s="5"/>
      <c r="U427" s="5"/>
      <c r="V427" s="6"/>
      <c r="W427" s="7">
        <v>1.4253000000000001E-4</v>
      </c>
      <c r="X427" s="7">
        <v>0.142398960687839</v>
      </c>
      <c r="Y427" s="41" t="s">
        <v>116</v>
      </c>
    </row>
    <row r="428" spans="2:25" ht="17.100000000000001" customHeight="1">
      <c r="B428" s="5" t="s">
        <v>41</v>
      </c>
      <c r="C428" s="40" t="s">
        <v>307</v>
      </c>
      <c r="D428" s="5" t="str">
        <f>IFERROR(INDEX(회사별_교통수단매핑!$C$2:$C$1000,MATCH(1,INDEX(($C$14=회사별_교통수단매핑!$A$2:$A$1000)*($Y428=회사별_교통수단매핑!$B$2:$B$1000),0),0)),"")</f>
        <v>국내선 항공</v>
      </c>
      <c r="E428" s="5">
        <v>1</v>
      </c>
      <c r="F428" s="42" t="s">
        <v>120</v>
      </c>
      <c r="G428" s="8" t="s">
        <v>414</v>
      </c>
      <c r="H428" s="12"/>
      <c r="I428" s="5">
        <f t="shared" si="6"/>
        <v>2</v>
      </c>
      <c r="J428" s="5"/>
      <c r="K428" s="5"/>
      <c r="L428" s="5"/>
      <c r="M428" s="5"/>
      <c r="N428" s="5"/>
      <c r="O428" s="5"/>
      <c r="P428" s="5"/>
      <c r="Q428" s="5"/>
      <c r="R428" s="5"/>
      <c r="S428" s="5">
        <v>2</v>
      </c>
      <c r="T428" s="5"/>
      <c r="U428" s="5"/>
      <c r="V428" s="6"/>
      <c r="W428" s="7">
        <v>1.4253000000000001E-4</v>
      </c>
      <c r="X428" s="7">
        <v>0.28245843553958899</v>
      </c>
      <c r="Y428" s="41" t="s">
        <v>116</v>
      </c>
    </row>
    <row r="429" spans="2:25" ht="17.100000000000001" customHeight="1">
      <c r="B429" s="5" t="s">
        <v>41</v>
      </c>
      <c r="C429" s="40" t="s">
        <v>307</v>
      </c>
      <c r="D429" s="5" t="str">
        <f>IFERROR(INDEX(회사별_교통수단매핑!$C$2:$C$1000,MATCH(1,INDEX(($C$14=회사별_교통수단매핑!$A$2:$A$1000)*($Y429=회사별_교통수단매핑!$B$2:$B$1000),0),0)),"")</f>
        <v>국내선 항공</v>
      </c>
      <c r="E429" s="5">
        <v>1</v>
      </c>
      <c r="F429" s="42" t="s">
        <v>120</v>
      </c>
      <c r="G429" s="8" t="s">
        <v>415</v>
      </c>
      <c r="H429" s="12"/>
      <c r="I429" s="5">
        <f t="shared" si="6"/>
        <v>1</v>
      </c>
      <c r="J429" s="5"/>
      <c r="K429" s="5"/>
      <c r="L429" s="5">
        <v>1</v>
      </c>
      <c r="M429" s="5"/>
      <c r="N429" s="5"/>
      <c r="O429" s="5"/>
      <c r="P429" s="5"/>
      <c r="Q429" s="5"/>
      <c r="R429" s="5"/>
      <c r="S429" s="5"/>
      <c r="T429" s="5"/>
      <c r="U429" s="5"/>
      <c r="V429" s="6"/>
      <c r="W429" s="7">
        <v>1.4253000000000001E-4</v>
      </c>
      <c r="X429" s="7">
        <v>0.142398960687839</v>
      </c>
      <c r="Y429" s="41" t="s">
        <v>116</v>
      </c>
    </row>
    <row r="430" spans="2:25" ht="17.100000000000001" customHeight="1">
      <c r="B430" s="5" t="s">
        <v>41</v>
      </c>
      <c r="C430" s="40" t="s">
        <v>307</v>
      </c>
      <c r="D430" s="5" t="str">
        <f>IFERROR(INDEX(회사별_교통수단매핑!$C$2:$C$1000,MATCH(1,INDEX(($C$14=회사별_교통수단매핑!$A$2:$A$1000)*($Y430=회사별_교통수단매핑!$B$2:$B$1000),0),0)),"")</f>
        <v>국내선 항공</v>
      </c>
      <c r="E430" s="5">
        <v>1</v>
      </c>
      <c r="F430" s="42" t="s">
        <v>120</v>
      </c>
      <c r="G430" s="8" t="s">
        <v>416</v>
      </c>
      <c r="H430" s="12"/>
      <c r="I430" s="5">
        <f t="shared" si="6"/>
        <v>1</v>
      </c>
      <c r="J430" s="5"/>
      <c r="K430" s="5"/>
      <c r="L430" s="5"/>
      <c r="M430" s="5"/>
      <c r="N430" s="5"/>
      <c r="O430" s="5"/>
      <c r="P430" s="5"/>
      <c r="Q430" s="5"/>
      <c r="R430" s="5"/>
      <c r="S430" s="5">
        <v>1</v>
      </c>
      <c r="T430" s="5"/>
      <c r="U430" s="5"/>
      <c r="V430" s="6"/>
      <c r="W430" s="7">
        <v>1.4253000000000001E-4</v>
      </c>
      <c r="X430" s="7">
        <v>0.142398960687839</v>
      </c>
      <c r="Y430" s="41" t="s">
        <v>116</v>
      </c>
    </row>
    <row r="431" spans="2:25" ht="17.100000000000001" customHeight="1">
      <c r="B431" s="5" t="s">
        <v>41</v>
      </c>
      <c r="C431" s="40" t="s">
        <v>307</v>
      </c>
      <c r="D431" s="5" t="str">
        <f>IFERROR(INDEX(회사별_교통수단매핑!$C$2:$C$1000,MATCH(1,INDEX(($C$14=회사별_교통수단매핑!$A$2:$A$1000)*($Y431=회사별_교통수단매핑!$B$2:$B$1000),0),0)),"")</f>
        <v>국내선 항공</v>
      </c>
      <c r="E431" s="5">
        <v>1</v>
      </c>
      <c r="F431" s="42" t="s">
        <v>120</v>
      </c>
      <c r="G431" s="8" t="s">
        <v>417</v>
      </c>
      <c r="H431" s="12"/>
      <c r="I431" s="5">
        <f t="shared" si="6"/>
        <v>3</v>
      </c>
      <c r="J431" s="5"/>
      <c r="K431" s="5"/>
      <c r="L431" s="5"/>
      <c r="M431" s="5"/>
      <c r="N431" s="5">
        <v>3</v>
      </c>
      <c r="O431" s="5"/>
      <c r="P431" s="5"/>
      <c r="Q431" s="5"/>
      <c r="R431" s="5"/>
      <c r="S431" s="5"/>
      <c r="T431" s="5"/>
      <c r="U431" s="5"/>
      <c r="V431" s="6"/>
      <c r="W431" s="7">
        <v>1.4253000000000001E-4</v>
      </c>
      <c r="X431" s="7">
        <v>0.42719688206351702</v>
      </c>
      <c r="Y431" s="41" t="s">
        <v>116</v>
      </c>
    </row>
    <row r="432" spans="2:25" ht="17.100000000000001" customHeight="1">
      <c r="B432" s="5" t="s">
        <v>41</v>
      </c>
      <c r="C432" s="40" t="s">
        <v>307</v>
      </c>
      <c r="D432" s="5" t="str">
        <f>IFERROR(INDEX(회사별_교통수단매핑!$C$2:$C$1000,MATCH(1,INDEX(($C$14=회사별_교통수단매핑!$A$2:$A$1000)*($Y432=회사별_교통수단매핑!$B$2:$B$1000),0),0)),"")</f>
        <v>국내선 항공</v>
      </c>
      <c r="E432" s="5">
        <v>1</v>
      </c>
      <c r="F432" s="42" t="s">
        <v>120</v>
      </c>
      <c r="G432" s="8" t="s">
        <v>418</v>
      </c>
      <c r="H432" s="12"/>
      <c r="I432" s="5">
        <f t="shared" si="6"/>
        <v>1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>
        <v>1</v>
      </c>
      <c r="U432" s="5"/>
      <c r="V432" s="6"/>
      <c r="W432" s="7">
        <v>1.4253000000000001E-4</v>
      </c>
      <c r="X432" s="7">
        <v>0.142398960687839</v>
      </c>
      <c r="Y432" s="41" t="s">
        <v>116</v>
      </c>
    </row>
    <row r="433" spans="2:25" ht="17.100000000000001" customHeight="1">
      <c r="B433" s="5" t="s">
        <v>41</v>
      </c>
      <c r="C433" s="40" t="s">
        <v>307</v>
      </c>
      <c r="D433" s="5" t="str">
        <f>IFERROR(INDEX(회사별_교통수단매핑!$C$2:$C$1000,MATCH(1,INDEX(($C$14=회사별_교통수단매핑!$A$2:$A$1000)*($Y433=회사별_교통수단매핑!$B$2:$B$1000),0),0)),"")</f>
        <v>국내선 항공</v>
      </c>
      <c r="E433" s="5">
        <v>1</v>
      </c>
      <c r="F433" s="42" t="s">
        <v>120</v>
      </c>
      <c r="G433" s="8" t="s">
        <v>194</v>
      </c>
      <c r="H433" s="12"/>
      <c r="I433" s="5">
        <f t="shared" si="6"/>
        <v>6</v>
      </c>
      <c r="J433" s="5"/>
      <c r="K433" s="5"/>
      <c r="L433" s="5">
        <v>1</v>
      </c>
      <c r="M433" s="5"/>
      <c r="N433" s="5"/>
      <c r="O433" s="5"/>
      <c r="P433" s="5">
        <v>1</v>
      </c>
      <c r="Q433" s="5"/>
      <c r="R433" s="5"/>
      <c r="S433" s="5"/>
      <c r="T433" s="5"/>
      <c r="U433" s="5">
        <v>4</v>
      </c>
      <c r="V433" s="6"/>
      <c r="W433" s="7">
        <v>1.4253000000000001E-4</v>
      </c>
      <c r="X433" s="7">
        <v>0.85439376412703405</v>
      </c>
      <c r="Y433" s="41" t="s">
        <v>116</v>
      </c>
    </row>
    <row r="434" spans="2:25" ht="17.100000000000001" customHeight="1">
      <c r="B434" s="5" t="s">
        <v>41</v>
      </c>
      <c r="C434" s="40" t="s">
        <v>307</v>
      </c>
      <c r="D434" s="5" t="str">
        <f>IFERROR(INDEX(회사별_교통수단매핑!$C$2:$C$1000,MATCH(1,INDEX(($C$14=회사별_교통수단매핑!$A$2:$A$1000)*($Y434=회사별_교통수단매핑!$B$2:$B$1000),0),0)),"")</f>
        <v>국내선 항공</v>
      </c>
      <c r="E434" s="5">
        <v>1</v>
      </c>
      <c r="F434" s="42" t="s">
        <v>120</v>
      </c>
      <c r="G434" s="8" t="s">
        <v>419</v>
      </c>
      <c r="H434" s="12"/>
      <c r="I434" s="5">
        <f t="shared" si="6"/>
        <v>1</v>
      </c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>
        <v>1</v>
      </c>
      <c r="U434" s="5"/>
      <c r="V434" s="6"/>
      <c r="W434" s="7">
        <v>1.4253000000000001E-4</v>
      </c>
      <c r="X434" s="7">
        <v>0.142398960687839</v>
      </c>
      <c r="Y434" s="41" t="s">
        <v>116</v>
      </c>
    </row>
    <row r="435" spans="2:25" ht="17.100000000000001" customHeight="1">
      <c r="B435" s="5" t="s">
        <v>41</v>
      </c>
      <c r="C435" s="40" t="s">
        <v>307</v>
      </c>
      <c r="D435" s="5" t="str">
        <f>IFERROR(INDEX(회사별_교통수단매핑!$C$2:$C$1000,MATCH(1,INDEX(($C$14=회사별_교통수단매핑!$A$2:$A$1000)*($Y435=회사별_교통수단매핑!$B$2:$B$1000),0),0)),"")</f>
        <v>국내선 항공</v>
      </c>
      <c r="E435" s="5">
        <v>1</v>
      </c>
      <c r="F435" s="42" t="s">
        <v>120</v>
      </c>
      <c r="G435" s="8" t="s">
        <v>420</v>
      </c>
      <c r="H435" s="12"/>
      <c r="I435" s="5">
        <f t="shared" si="6"/>
        <v>1</v>
      </c>
      <c r="J435" s="5"/>
      <c r="K435" s="5"/>
      <c r="L435" s="5"/>
      <c r="M435" s="5"/>
      <c r="N435" s="5"/>
      <c r="O435" s="5"/>
      <c r="P435" s="5">
        <v>1</v>
      </c>
      <c r="Q435" s="5"/>
      <c r="R435" s="5"/>
      <c r="S435" s="5"/>
      <c r="T435" s="5"/>
      <c r="U435" s="5"/>
      <c r="V435" s="6"/>
      <c r="W435" s="7">
        <v>1.4253000000000001E-4</v>
      </c>
      <c r="X435" s="7">
        <v>0.142398960687839</v>
      </c>
      <c r="Y435" s="41" t="s">
        <v>116</v>
      </c>
    </row>
    <row r="436" spans="2:25" ht="17.100000000000001" customHeight="1">
      <c r="B436" s="5" t="s">
        <v>41</v>
      </c>
      <c r="C436" s="40" t="s">
        <v>307</v>
      </c>
      <c r="D436" s="5" t="str">
        <f>IFERROR(INDEX(회사별_교통수단매핑!$C$2:$C$1000,MATCH(1,INDEX(($C$14=회사별_교통수단매핑!$A$2:$A$1000)*($Y436=회사별_교통수단매핑!$B$2:$B$1000),0),0)),"")</f>
        <v>국내선 항공</v>
      </c>
      <c r="E436" s="5">
        <v>1</v>
      </c>
      <c r="F436" s="42" t="s">
        <v>120</v>
      </c>
      <c r="G436" s="8" t="s">
        <v>421</v>
      </c>
      <c r="H436" s="12"/>
      <c r="I436" s="5">
        <f t="shared" si="6"/>
        <v>5</v>
      </c>
      <c r="J436" s="5"/>
      <c r="K436" s="5">
        <v>1</v>
      </c>
      <c r="L436" s="5">
        <v>1</v>
      </c>
      <c r="M436" s="5">
        <v>1</v>
      </c>
      <c r="N436" s="5">
        <v>1</v>
      </c>
      <c r="O436" s="5"/>
      <c r="P436" s="5"/>
      <c r="Q436" s="5"/>
      <c r="R436" s="5"/>
      <c r="S436" s="5"/>
      <c r="T436" s="5">
        <v>1</v>
      </c>
      <c r="U436" s="5"/>
      <c r="V436" s="6"/>
      <c r="W436" s="7">
        <v>1.4253000000000001E-4</v>
      </c>
      <c r="X436" s="7">
        <v>0.71199480343919508</v>
      </c>
      <c r="Y436" s="41" t="s">
        <v>116</v>
      </c>
    </row>
    <row r="437" spans="2:25" ht="17.100000000000001" customHeight="1">
      <c r="B437" s="5" t="s">
        <v>41</v>
      </c>
      <c r="C437" s="40" t="s">
        <v>307</v>
      </c>
      <c r="D437" s="5" t="str">
        <f>IFERROR(INDEX(회사별_교통수단매핑!$C$2:$C$1000,MATCH(1,INDEX(($C$14=회사별_교통수단매핑!$A$2:$A$1000)*($Y437=회사별_교통수단매핑!$B$2:$B$1000),0),0)),"")</f>
        <v>국내선 항공</v>
      </c>
      <c r="E437" s="5">
        <v>1</v>
      </c>
      <c r="F437" s="42" t="s">
        <v>120</v>
      </c>
      <c r="G437" s="8" t="s">
        <v>422</v>
      </c>
      <c r="H437" s="12"/>
      <c r="I437" s="5">
        <f t="shared" si="6"/>
        <v>4</v>
      </c>
      <c r="J437" s="5"/>
      <c r="K437" s="5"/>
      <c r="L437" s="5"/>
      <c r="M437" s="5"/>
      <c r="N437" s="5"/>
      <c r="O437" s="5"/>
      <c r="P437" s="5"/>
      <c r="Q437" s="5">
        <v>3</v>
      </c>
      <c r="R437" s="5"/>
      <c r="S437" s="5">
        <v>1</v>
      </c>
      <c r="T437" s="5"/>
      <c r="U437" s="5"/>
      <c r="V437" s="6"/>
      <c r="W437" s="7">
        <v>1.4253000000000001E-4</v>
      </c>
      <c r="X437" s="7">
        <v>0.569595842751356</v>
      </c>
      <c r="Y437" s="41" t="s">
        <v>116</v>
      </c>
    </row>
    <row r="438" spans="2:25" ht="17.100000000000001" customHeight="1">
      <c r="B438" s="5" t="s">
        <v>41</v>
      </c>
      <c r="C438" s="40" t="s">
        <v>307</v>
      </c>
      <c r="D438" s="5" t="str">
        <f>IFERROR(INDEX(회사별_교통수단매핑!$C$2:$C$1000,MATCH(1,INDEX(($C$14=회사별_교통수단매핑!$A$2:$A$1000)*($Y438=회사별_교통수단매핑!$B$2:$B$1000),0),0)),"")</f>
        <v>국내선 항공</v>
      </c>
      <c r="E438" s="5">
        <v>1</v>
      </c>
      <c r="F438" s="42" t="s">
        <v>120</v>
      </c>
      <c r="G438" s="8" t="s">
        <v>423</v>
      </c>
      <c r="H438" s="12"/>
      <c r="I438" s="5">
        <f t="shared" si="6"/>
        <v>6</v>
      </c>
      <c r="J438" s="5"/>
      <c r="K438" s="5"/>
      <c r="L438" s="5"/>
      <c r="M438" s="5"/>
      <c r="N438" s="5">
        <v>2</v>
      </c>
      <c r="O438" s="5">
        <v>3</v>
      </c>
      <c r="P438" s="5"/>
      <c r="Q438" s="5"/>
      <c r="R438" s="5"/>
      <c r="S438" s="5">
        <v>1</v>
      </c>
      <c r="T438" s="5"/>
      <c r="U438" s="5"/>
      <c r="V438" s="6"/>
      <c r="W438" s="7">
        <v>1.4253000000000001E-4</v>
      </c>
      <c r="X438" s="7">
        <v>0.85439376412703405</v>
      </c>
      <c r="Y438" s="41" t="s">
        <v>116</v>
      </c>
    </row>
    <row r="439" spans="2:25" ht="17.100000000000001" customHeight="1">
      <c r="B439" s="5" t="s">
        <v>41</v>
      </c>
      <c r="C439" s="40" t="s">
        <v>307</v>
      </c>
      <c r="D439" s="5" t="str">
        <f>IFERROR(INDEX(회사별_교통수단매핑!$C$2:$C$1000,MATCH(1,INDEX(($C$14=회사별_교통수단매핑!$A$2:$A$1000)*($Y439=회사별_교통수단매핑!$B$2:$B$1000),0),0)),"")</f>
        <v>국내선 항공</v>
      </c>
      <c r="E439" s="5">
        <v>1</v>
      </c>
      <c r="F439" s="42" t="s">
        <v>120</v>
      </c>
      <c r="G439" s="8" t="s">
        <v>424</v>
      </c>
      <c r="H439" s="12"/>
      <c r="I439" s="5">
        <f t="shared" si="6"/>
        <v>3</v>
      </c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>
        <v>3</v>
      </c>
      <c r="U439" s="5"/>
      <c r="V439" s="6"/>
      <c r="W439" s="7">
        <v>1.4253000000000001E-4</v>
      </c>
      <c r="X439" s="7">
        <v>0.42719688206351702</v>
      </c>
      <c r="Y439" s="41" t="s">
        <v>116</v>
      </c>
    </row>
    <row r="440" spans="2:25" ht="17.100000000000001" customHeight="1">
      <c r="B440" s="5" t="s">
        <v>41</v>
      </c>
      <c r="C440" s="40" t="s">
        <v>307</v>
      </c>
      <c r="D440" s="5" t="str">
        <f>IFERROR(INDEX(회사별_교통수단매핑!$C$2:$C$1000,MATCH(1,INDEX(($C$14=회사별_교통수단매핑!$A$2:$A$1000)*($Y440=회사별_교통수단매핑!$B$2:$B$1000),0),0)),"")</f>
        <v>국내선 항공</v>
      </c>
      <c r="E440" s="5">
        <v>1</v>
      </c>
      <c r="F440" s="42" t="s">
        <v>120</v>
      </c>
      <c r="G440" s="8" t="s">
        <v>425</v>
      </c>
      <c r="H440" s="12"/>
      <c r="I440" s="5">
        <f t="shared" si="6"/>
        <v>15</v>
      </c>
      <c r="J440" s="5"/>
      <c r="K440" s="5">
        <v>7</v>
      </c>
      <c r="L440" s="5"/>
      <c r="M440" s="5">
        <v>1</v>
      </c>
      <c r="N440" s="5">
        <v>1</v>
      </c>
      <c r="O440" s="5"/>
      <c r="P440" s="5">
        <v>3</v>
      </c>
      <c r="Q440" s="5"/>
      <c r="R440" s="5">
        <v>1</v>
      </c>
      <c r="S440" s="5">
        <v>1</v>
      </c>
      <c r="T440" s="5">
        <v>1</v>
      </c>
      <c r="U440" s="5"/>
      <c r="V440" s="6"/>
      <c r="W440" s="7">
        <v>1.4253000000000001E-4</v>
      </c>
      <c r="X440" s="7">
        <v>2.1359844103175849</v>
      </c>
      <c r="Y440" s="41" t="s">
        <v>116</v>
      </c>
    </row>
    <row r="441" spans="2:25" ht="17.100000000000001" customHeight="1">
      <c r="B441" s="5" t="s">
        <v>41</v>
      </c>
      <c r="C441" s="40" t="s">
        <v>307</v>
      </c>
      <c r="D441" s="5" t="str">
        <f>IFERROR(INDEX(회사별_교통수단매핑!$C$2:$C$1000,MATCH(1,INDEX(($C$14=회사별_교통수단매핑!$A$2:$A$1000)*($Y441=회사별_교통수단매핑!$B$2:$B$1000),0),0)),"")</f>
        <v>국내선 항공</v>
      </c>
      <c r="E441" s="5">
        <v>1</v>
      </c>
      <c r="F441" s="42" t="s">
        <v>120</v>
      </c>
      <c r="G441" s="8" t="s">
        <v>426</v>
      </c>
      <c r="H441" s="12"/>
      <c r="I441" s="5">
        <f t="shared" si="6"/>
        <v>2</v>
      </c>
      <c r="J441" s="5"/>
      <c r="K441" s="5"/>
      <c r="L441" s="5"/>
      <c r="M441" s="5"/>
      <c r="N441" s="5"/>
      <c r="O441" s="5"/>
      <c r="P441" s="5">
        <v>2</v>
      </c>
      <c r="Q441" s="5"/>
      <c r="R441" s="5"/>
      <c r="S441" s="5"/>
      <c r="T441" s="5"/>
      <c r="U441" s="5"/>
      <c r="V441" s="6"/>
      <c r="W441" s="7">
        <v>1.4253000000000001E-4</v>
      </c>
      <c r="X441" s="7">
        <v>0.284797921375678</v>
      </c>
      <c r="Y441" s="41" t="s">
        <v>116</v>
      </c>
    </row>
    <row r="442" spans="2:25" ht="17.100000000000001" customHeight="1">
      <c r="B442" s="5" t="s">
        <v>41</v>
      </c>
      <c r="C442" s="40" t="s">
        <v>307</v>
      </c>
      <c r="D442" s="5" t="str">
        <f>IFERROR(INDEX(회사별_교통수단매핑!$C$2:$C$1000,MATCH(1,INDEX(($C$14=회사별_교통수단매핑!$A$2:$A$1000)*($Y442=회사별_교통수단매핑!$B$2:$B$1000),0),0)),"")</f>
        <v>국내선 항공</v>
      </c>
      <c r="E442" s="5">
        <v>1</v>
      </c>
      <c r="F442" s="42" t="s">
        <v>120</v>
      </c>
      <c r="G442" s="8" t="s">
        <v>427</v>
      </c>
      <c r="H442" s="12"/>
      <c r="I442" s="5">
        <f t="shared" si="6"/>
        <v>1</v>
      </c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>
        <v>1</v>
      </c>
      <c r="U442" s="5"/>
      <c r="V442" s="6"/>
      <c r="W442" s="7">
        <v>1.4253000000000001E-4</v>
      </c>
      <c r="X442" s="7">
        <v>0.142398960687839</v>
      </c>
      <c r="Y442" s="41" t="s">
        <v>116</v>
      </c>
    </row>
    <row r="443" spans="2:25" ht="17.100000000000001" customHeight="1">
      <c r="B443" s="5" t="s">
        <v>41</v>
      </c>
      <c r="C443" s="40" t="s">
        <v>307</v>
      </c>
      <c r="D443" s="5" t="str">
        <f>IFERROR(INDEX(회사별_교통수단매핑!$C$2:$C$1000,MATCH(1,INDEX(($C$14=회사별_교통수단매핑!$A$2:$A$1000)*($Y443=회사별_교통수단매핑!$B$2:$B$1000),0),0)),"")</f>
        <v>국내선 항공</v>
      </c>
      <c r="E443" s="5">
        <v>1</v>
      </c>
      <c r="F443" s="42" t="s">
        <v>120</v>
      </c>
      <c r="G443" s="8" t="s">
        <v>428</v>
      </c>
      <c r="H443" s="12"/>
      <c r="I443" s="5">
        <f t="shared" si="6"/>
        <v>3</v>
      </c>
      <c r="J443" s="5"/>
      <c r="K443" s="5"/>
      <c r="L443" s="5"/>
      <c r="M443" s="5"/>
      <c r="N443" s="5"/>
      <c r="O443" s="5"/>
      <c r="P443" s="5"/>
      <c r="Q443" s="5"/>
      <c r="R443" s="5">
        <v>2</v>
      </c>
      <c r="S443" s="5"/>
      <c r="T443" s="5">
        <v>1</v>
      </c>
      <c r="U443" s="5"/>
      <c r="V443" s="6"/>
      <c r="W443" s="7">
        <v>1.4253000000000001E-4</v>
      </c>
      <c r="X443" s="7">
        <v>0.42719688206351702</v>
      </c>
      <c r="Y443" s="41" t="s">
        <v>116</v>
      </c>
    </row>
    <row r="444" spans="2:25" ht="17.100000000000001" customHeight="1">
      <c r="B444" s="5" t="s">
        <v>41</v>
      </c>
      <c r="C444" s="40" t="s">
        <v>307</v>
      </c>
      <c r="D444" s="5" t="str">
        <f>IFERROR(INDEX(회사별_교통수단매핑!$C$2:$C$1000,MATCH(1,INDEX(($C$14=회사별_교통수단매핑!$A$2:$A$1000)*($Y444=회사별_교통수단매핑!$B$2:$B$1000),0),0)),"")</f>
        <v>국내선 항공</v>
      </c>
      <c r="E444" s="5">
        <v>1</v>
      </c>
      <c r="F444" s="42" t="s">
        <v>120</v>
      </c>
      <c r="G444" s="8" t="s">
        <v>429</v>
      </c>
      <c r="H444" s="12"/>
      <c r="I444" s="5">
        <f t="shared" si="6"/>
        <v>1</v>
      </c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>
        <v>1</v>
      </c>
      <c r="U444" s="5"/>
      <c r="V444" s="6"/>
      <c r="W444" s="7">
        <v>1.4253000000000001E-4</v>
      </c>
      <c r="X444" s="7">
        <v>0.1412292177697945</v>
      </c>
      <c r="Y444" s="41" t="s">
        <v>116</v>
      </c>
    </row>
    <row r="445" spans="2:25" ht="17.100000000000001" customHeight="1">
      <c r="B445" s="5" t="s">
        <v>41</v>
      </c>
      <c r="C445" s="40" t="s">
        <v>307</v>
      </c>
      <c r="D445" s="5" t="str">
        <f>IFERROR(INDEX(회사별_교통수단매핑!$C$2:$C$1000,MATCH(1,INDEX(($C$14=회사별_교통수단매핑!$A$2:$A$1000)*($Y445=회사별_교통수단매핑!$B$2:$B$1000),0),0)),"")</f>
        <v>국내선 항공</v>
      </c>
      <c r="E445" s="5">
        <v>1</v>
      </c>
      <c r="F445" s="42" t="s">
        <v>120</v>
      </c>
      <c r="G445" s="8" t="s">
        <v>430</v>
      </c>
      <c r="H445" s="12"/>
      <c r="I445" s="5">
        <f t="shared" si="6"/>
        <v>1</v>
      </c>
      <c r="J445" s="5"/>
      <c r="K445" s="5"/>
      <c r="L445" s="5"/>
      <c r="M445" s="5"/>
      <c r="N445" s="5"/>
      <c r="O445" s="5">
        <v>1</v>
      </c>
      <c r="P445" s="5"/>
      <c r="Q445" s="5"/>
      <c r="R445" s="5"/>
      <c r="S445" s="5"/>
      <c r="T445" s="5"/>
      <c r="U445" s="5"/>
      <c r="V445" s="6"/>
      <c r="W445" s="7">
        <v>1.4253000000000001E-4</v>
      </c>
      <c r="X445" s="7">
        <v>0.142398960687839</v>
      </c>
      <c r="Y445" s="41" t="s">
        <v>116</v>
      </c>
    </row>
    <row r="446" spans="2:25" ht="17.100000000000001" customHeight="1">
      <c r="B446" s="5" t="s">
        <v>41</v>
      </c>
      <c r="C446" s="40" t="s">
        <v>307</v>
      </c>
      <c r="D446" s="5" t="str">
        <f>IFERROR(INDEX(회사별_교통수단매핑!$C$2:$C$1000,MATCH(1,INDEX(($C$14=회사별_교통수단매핑!$A$2:$A$1000)*($Y446=회사별_교통수단매핑!$B$2:$B$1000),0),0)),"")</f>
        <v>국내선 항공</v>
      </c>
      <c r="E446" s="5">
        <v>1</v>
      </c>
      <c r="F446" s="42" t="s">
        <v>120</v>
      </c>
      <c r="G446" s="8" t="s">
        <v>431</v>
      </c>
      <c r="H446" s="12"/>
      <c r="I446" s="5">
        <f t="shared" si="6"/>
        <v>2</v>
      </c>
      <c r="J446" s="5"/>
      <c r="K446" s="5"/>
      <c r="L446" s="5"/>
      <c r="M446" s="5">
        <v>1</v>
      </c>
      <c r="N446" s="5">
        <v>1</v>
      </c>
      <c r="O446" s="5"/>
      <c r="P446" s="5"/>
      <c r="Q446" s="5"/>
      <c r="R446" s="5"/>
      <c r="S446" s="5"/>
      <c r="T446" s="5"/>
      <c r="U446" s="5"/>
      <c r="V446" s="6"/>
      <c r="W446" s="7">
        <v>1.4253000000000001E-4</v>
      </c>
      <c r="X446" s="7">
        <v>0.284797921375678</v>
      </c>
      <c r="Y446" s="41" t="s">
        <v>116</v>
      </c>
    </row>
    <row r="447" spans="2:25" ht="17.100000000000001" customHeight="1">
      <c r="B447" s="5" t="s">
        <v>41</v>
      </c>
      <c r="C447" s="40" t="s">
        <v>307</v>
      </c>
      <c r="D447" s="5" t="str">
        <f>IFERROR(INDEX(회사별_교통수단매핑!$C$2:$C$1000,MATCH(1,INDEX(($C$14=회사별_교통수단매핑!$A$2:$A$1000)*($Y447=회사별_교통수단매핑!$B$2:$B$1000),0),0)),"")</f>
        <v>국내선 항공</v>
      </c>
      <c r="E447" s="5">
        <v>1</v>
      </c>
      <c r="F447" s="42" t="s">
        <v>120</v>
      </c>
      <c r="G447" s="8" t="s">
        <v>432</v>
      </c>
      <c r="H447" s="12"/>
      <c r="I447" s="5">
        <f t="shared" si="6"/>
        <v>1</v>
      </c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>
        <v>1</v>
      </c>
      <c r="V447" s="6"/>
      <c r="W447" s="7">
        <v>1.4253000000000001E-4</v>
      </c>
      <c r="X447" s="7">
        <v>0.142398960687839</v>
      </c>
      <c r="Y447" s="41" t="s">
        <v>116</v>
      </c>
    </row>
    <row r="448" spans="2:25" ht="17.100000000000001" customHeight="1">
      <c r="B448" s="5" t="s">
        <v>41</v>
      </c>
      <c r="C448" s="40" t="s">
        <v>307</v>
      </c>
      <c r="D448" s="5" t="str">
        <f>IFERROR(INDEX(회사별_교통수단매핑!$C$2:$C$1000,MATCH(1,INDEX(($C$14=회사별_교통수단매핑!$A$2:$A$1000)*($Y448=회사별_교통수단매핑!$B$2:$B$1000),0),0)),"")</f>
        <v>국내선 항공</v>
      </c>
      <c r="E448" s="5">
        <v>1</v>
      </c>
      <c r="F448" s="42" t="s">
        <v>120</v>
      </c>
      <c r="G448" s="8" t="s">
        <v>433</v>
      </c>
      <c r="H448" s="12"/>
      <c r="I448" s="5">
        <f t="shared" si="6"/>
        <v>3</v>
      </c>
      <c r="J448" s="5"/>
      <c r="K448" s="5"/>
      <c r="L448" s="5"/>
      <c r="M448" s="5"/>
      <c r="N448" s="5"/>
      <c r="O448" s="5"/>
      <c r="P448" s="5">
        <v>2</v>
      </c>
      <c r="Q448" s="5"/>
      <c r="R448" s="5">
        <v>1</v>
      </c>
      <c r="S448" s="5"/>
      <c r="T448" s="5"/>
      <c r="U448" s="5"/>
      <c r="V448" s="6"/>
      <c r="W448" s="7">
        <v>1.4253000000000001E-4</v>
      </c>
      <c r="X448" s="7">
        <v>0.42368765330938363</v>
      </c>
      <c r="Y448" s="41" t="s">
        <v>116</v>
      </c>
    </row>
    <row r="449" spans="2:25" ht="17.100000000000001" customHeight="1">
      <c r="B449" s="5" t="s">
        <v>41</v>
      </c>
      <c r="C449" s="40" t="s">
        <v>307</v>
      </c>
      <c r="D449" s="5" t="str">
        <f>IFERROR(INDEX(회사별_교통수단매핑!$C$2:$C$1000,MATCH(1,INDEX(($C$14=회사별_교통수단매핑!$A$2:$A$1000)*($Y449=회사별_교통수단매핑!$B$2:$B$1000),0),0)),"")</f>
        <v>국내선 항공</v>
      </c>
      <c r="E449" s="5">
        <v>1</v>
      </c>
      <c r="F449" s="42" t="s">
        <v>120</v>
      </c>
      <c r="G449" s="8" t="s">
        <v>434</v>
      </c>
      <c r="H449" s="12"/>
      <c r="I449" s="5">
        <f t="shared" si="6"/>
        <v>1</v>
      </c>
      <c r="J449" s="5"/>
      <c r="K449" s="5"/>
      <c r="L449" s="5"/>
      <c r="M449" s="5"/>
      <c r="N449" s="5"/>
      <c r="O449" s="5"/>
      <c r="P449" s="5">
        <v>1</v>
      </c>
      <c r="Q449" s="5"/>
      <c r="R449" s="5"/>
      <c r="S449" s="5"/>
      <c r="T449" s="5"/>
      <c r="U449" s="5"/>
      <c r="V449" s="6"/>
      <c r="W449" s="7">
        <v>1.4253000000000001E-4</v>
      </c>
      <c r="X449" s="7">
        <v>0.142398960687839</v>
      </c>
      <c r="Y449" s="41" t="s">
        <v>116</v>
      </c>
    </row>
    <row r="450" spans="2:25" ht="17.100000000000001" customHeight="1">
      <c r="B450" s="5" t="s">
        <v>41</v>
      </c>
      <c r="C450" s="40" t="s">
        <v>307</v>
      </c>
      <c r="D450" s="5" t="str">
        <f>IFERROR(INDEX(회사별_교통수단매핑!$C$2:$C$1000,MATCH(1,INDEX(($C$14=회사별_교통수단매핑!$A$2:$A$1000)*($Y450=회사별_교통수단매핑!$B$2:$B$1000),0),0)),"")</f>
        <v>국내선 항공</v>
      </c>
      <c r="E450" s="5">
        <v>1</v>
      </c>
      <c r="F450" s="42" t="s">
        <v>120</v>
      </c>
      <c r="G450" s="8" t="s">
        <v>435</v>
      </c>
      <c r="H450" s="12"/>
      <c r="I450" s="5">
        <f t="shared" si="6"/>
        <v>2</v>
      </c>
      <c r="J450" s="5"/>
      <c r="K450" s="5"/>
      <c r="L450" s="5"/>
      <c r="M450" s="5"/>
      <c r="N450" s="5">
        <v>2</v>
      </c>
      <c r="O450" s="5"/>
      <c r="P450" s="5"/>
      <c r="Q450" s="5"/>
      <c r="R450" s="5"/>
      <c r="S450" s="5"/>
      <c r="T450" s="5"/>
      <c r="U450" s="5"/>
      <c r="V450" s="6"/>
      <c r="W450" s="7">
        <v>1.4253000000000001E-4</v>
      </c>
      <c r="X450" s="7">
        <v>0.284797921375678</v>
      </c>
      <c r="Y450" s="41" t="s">
        <v>116</v>
      </c>
    </row>
    <row r="451" spans="2:25" ht="17.100000000000001" customHeight="1">
      <c r="B451" s="5" t="s">
        <v>41</v>
      </c>
      <c r="C451" s="40" t="s">
        <v>307</v>
      </c>
      <c r="D451" s="5" t="str">
        <f>IFERROR(INDEX(회사별_교통수단매핑!$C$2:$C$1000,MATCH(1,INDEX(($C$14=회사별_교통수단매핑!$A$2:$A$1000)*($Y451=회사별_교통수단매핑!$B$2:$B$1000),0),0)),"")</f>
        <v>국내선 항공</v>
      </c>
      <c r="E451" s="5">
        <v>1</v>
      </c>
      <c r="F451" s="42" t="s">
        <v>120</v>
      </c>
      <c r="G451" s="8" t="s">
        <v>436</v>
      </c>
      <c r="H451" s="12"/>
      <c r="I451" s="5">
        <f t="shared" si="6"/>
        <v>3</v>
      </c>
      <c r="J451" s="5"/>
      <c r="K451" s="5"/>
      <c r="L451" s="5"/>
      <c r="M451" s="5"/>
      <c r="N451" s="5"/>
      <c r="O451" s="5"/>
      <c r="P451" s="5">
        <v>3</v>
      </c>
      <c r="Q451" s="5"/>
      <c r="R451" s="5"/>
      <c r="S451" s="5"/>
      <c r="T451" s="5"/>
      <c r="U451" s="5"/>
      <c r="V451" s="6"/>
      <c r="W451" s="7">
        <v>1.4253000000000001E-4</v>
      </c>
      <c r="X451" s="7">
        <v>0.42368765330938363</v>
      </c>
      <c r="Y451" s="41" t="s">
        <v>116</v>
      </c>
    </row>
    <row r="452" spans="2:25" ht="17.100000000000001" customHeight="1">
      <c r="B452" s="5" t="s">
        <v>41</v>
      </c>
      <c r="C452" s="40" t="s">
        <v>307</v>
      </c>
      <c r="D452" s="5" t="str">
        <f>IFERROR(INDEX(회사별_교통수단매핑!$C$2:$C$1000,MATCH(1,INDEX(($C$14=회사별_교통수단매핑!$A$2:$A$1000)*($Y452=회사별_교통수단매핑!$B$2:$B$1000),0),0)),"")</f>
        <v>국내선 항공</v>
      </c>
      <c r="E452" s="5">
        <v>1</v>
      </c>
      <c r="F452" s="42" t="s">
        <v>120</v>
      </c>
      <c r="G452" s="8" t="s">
        <v>437</v>
      </c>
      <c r="H452" s="12"/>
      <c r="I452" s="5">
        <f t="shared" si="6"/>
        <v>8</v>
      </c>
      <c r="J452" s="5">
        <v>2</v>
      </c>
      <c r="K452" s="5"/>
      <c r="L452" s="5"/>
      <c r="M452" s="5">
        <v>1</v>
      </c>
      <c r="N452" s="5"/>
      <c r="O452" s="5">
        <v>2</v>
      </c>
      <c r="P452" s="5">
        <v>2</v>
      </c>
      <c r="Q452" s="5"/>
      <c r="R452" s="5">
        <v>1</v>
      </c>
      <c r="S452" s="5"/>
      <c r="T452" s="5"/>
      <c r="U452" s="5"/>
      <c r="V452" s="6"/>
      <c r="W452" s="7">
        <v>1.4253000000000001E-4</v>
      </c>
      <c r="X452" s="7">
        <v>1.129833742158356</v>
      </c>
      <c r="Y452" s="41" t="s">
        <v>116</v>
      </c>
    </row>
    <row r="453" spans="2:25" ht="17.100000000000001" customHeight="1">
      <c r="B453" s="5" t="s">
        <v>41</v>
      </c>
      <c r="C453" s="40" t="s">
        <v>307</v>
      </c>
      <c r="D453" s="5" t="str">
        <f>IFERROR(INDEX(회사별_교통수단매핑!$C$2:$C$1000,MATCH(1,INDEX(($C$14=회사별_교통수단매핑!$A$2:$A$1000)*($Y453=회사별_교통수단매핑!$B$2:$B$1000),0),0)),"")</f>
        <v>국내선 항공</v>
      </c>
      <c r="E453" s="5">
        <v>1</v>
      </c>
      <c r="F453" s="42" t="s">
        <v>120</v>
      </c>
      <c r="G453" s="8" t="s">
        <v>438</v>
      </c>
      <c r="H453" s="12"/>
      <c r="I453" s="5">
        <f t="shared" si="6"/>
        <v>2</v>
      </c>
      <c r="J453" s="5"/>
      <c r="K453" s="5"/>
      <c r="L453" s="5"/>
      <c r="M453" s="5"/>
      <c r="N453" s="5"/>
      <c r="O453" s="5"/>
      <c r="P453" s="5"/>
      <c r="Q453" s="5">
        <v>2</v>
      </c>
      <c r="R453" s="5"/>
      <c r="S453" s="5"/>
      <c r="T453" s="5"/>
      <c r="U453" s="5"/>
      <c r="V453" s="6"/>
      <c r="W453" s="7">
        <v>1.4253000000000001E-4</v>
      </c>
      <c r="X453" s="7">
        <v>0.284797921375678</v>
      </c>
      <c r="Y453" s="41" t="s">
        <v>116</v>
      </c>
    </row>
    <row r="454" spans="2:25" ht="17.100000000000001" customHeight="1">
      <c r="B454" s="5" t="s">
        <v>41</v>
      </c>
      <c r="C454" s="40" t="s">
        <v>307</v>
      </c>
      <c r="D454" s="5" t="str">
        <f>IFERROR(INDEX(회사별_교통수단매핑!$C$2:$C$1000,MATCH(1,INDEX(($C$14=회사별_교통수단매핑!$A$2:$A$1000)*($Y454=회사별_교통수단매핑!$B$2:$B$1000),0),0)),"")</f>
        <v>국내선 항공</v>
      </c>
      <c r="E454" s="5">
        <v>1</v>
      </c>
      <c r="F454" s="42" t="s">
        <v>120</v>
      </c>
      <c r="G454" s="8" t="s">
        <v>439</v>
      </c>
      <c r="H454" s="12"/>
      <c r="I454" s="5">
        <f t="shared" si="6"/>
        <v>3</v>
      </c>
      <c r="J454" s="5"/>
      <c r="K454" s="5">
        <v>2</v>
      </c>
      <c r="L454" s="5"/>
      <c r="M454" s="5"/>
      <c r="N454" s="5"/>
      <c r="O454" s="5"/>
      <c r="P454" s="5"/>
      <c r="Q454" s="5"/>
      <c r="R454" s="5"/>
      <c r="S454" s="5"/>
      <c r="T454" s="5">
        <v>1</v>
      </c>
      <c r="U454" s="5"/>
      <c r="V454" s="6"/>
      <c r="W454" s="7">
        <v>1.4253000000000001E-4</v>
      </c>
      <c r="X454" s="7">
        <v>0.42719688206351702</v>
      </c>
      <c r="Y454" s="41" t="s">
        <v>116</v>
      </c>
    </row>
    <row r="455" spans="2:25" ht="17.100000000000001" customHeight="1">
      <c r="B455" s="5" t="s">
        <v>41</v>
      </c>
      <c r="C455" s="40" t="s">
        <v>307</v>
      </c>
      <c r="D455" s="5" t="str">
        <f>IFERROR(INDEX(회사별_교통수단매핑!$C$2:$C$1000,MATCH(1,INDEX(($C$14=회사별_교통수단매핑!$A$2:$A$1000)*($Y455=회사별_교통수단매핑!$B$2:$B$1000),0),0)),"")</f>
        <v>국내선 항공</v>
      </c>
      <c r="E455" s="5">
        <v>1</v>
      </c>
      <c r="F455" s="42" t="s">
        <v>120</v>
      </c>
      <c r="G455" s="8" t="s">
        <v>440</v>
      </c>
      <c r="H455" s="12"/>
      <c r="I455" s="5">
        <f t="shared" si="6"/>
        <v>3</v>
      </c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>
        <v>3</v>
      </c>
      <c r="U455" s="5"/>
      <c r="V455" s="6"/>
      <c r="W455" s="7">
        <v>1.4253000000000001E-4</v>
      </c>
      <c r="X455" s="7">
        <v>0.42719688206351702</v>
      </c>
      <c r="Y455" s="41" t="s">
        <v>116</v>
      </c>
    </row>
    <row r="456" spans="2:25" ht="17.100000000000001" customHeight="1">
      <c r="B456" s="5" t="s">
        <v>41</v>
      </c>
      <c r="C456" s="40" t="s">
        <v>307</v>
      </c>
      <c r="D456" s="5" t="str">
        <f>IFERROR(INDEX(회사별_교통수단매핑!$C$2:$C$1000,MATCH(1,INDEX(($C$14=회사별_교통수단매핑!$A$2:$A$1000)*($Y456=회사별_교통수단매핑!$B$2:$B$1000),0),0)),"")</f>
        <v>국내선 항공</v>
      </c>
      <c r="E456" s="5">
        <v>1</v>
      </c>
      <c r="F456" s="42" t="s">
        <v>120</v>
      </c>
      <c r="G456" s="8" t="s">
        <v>441</v>
      </c>
      <c r="H456" s="12"/>
      <c r="I456" s="5">
        <f t="shared" si="6"/>
        <v>2</v>
      </c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>
        <v>2</v>
      </c>
      <c r="V456" s="6"/>
      <c r="W456" s="7">
        <v>1.4253000000000001E-4</v>
      </c>
      <c r="X456" s="7">
        <v>0.284797921375678</v>
      </c>
      <c r="Y456" s="41" t="s">
        <v>116</v>
      </c>
    </row>
    <row r="457" spans="2:25" ht="17.100000000000001" customHeight="1">
      <c r="B457" s="5" t="s">
        <v>41</v>
      </c>
      <c r="C457" s="40" t="s">
        <v>307</v>
      </c>
      <c r="D457" s="5" t="str">
        <f>IFERROR(INDEX(회사별_교통수단매핑!$C$2:$C$1000,MATCH(1,INDEX(($C$14=회사별_교통수단매핑!$A$2:$A$1000)*($Y457=회사별_교통수단매핑!$B$2:$B$1000),0),0)),"")</f>
        <v>국내선 항공</v>
      </c>
      <c r="E457" s="5">
        <v>1</v>
      </c>
      <c r="F457" s="42" t="s">
        <v>120</v>
      </c>
      <c r="G457" s="8" t="s">
        <v>442</v>
      </c>
      <c r="H457" s="12"/>
      <c r="I457" s="5">
        <f t="shared" si="6"/>
        <v>1</v>
      </c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>
        <v>1</v>
      </c>
      <c r="V457" s="6"/>
      <c r="W457" s="7">
        <v>1.4253000000000001E-4</v>
      </c>
      <c r="X457" s="7">
        <v>0.142398960687839</v>
      </c>
      <c r="Y457" s="41" t="s">
        <v>116</v>
      </c>
    </row>
    <row r="458" spans="2:25" ht="17.100000000000001" customHeight="1">
      <c r="B458" s="5" t="s">
        <v>41</v>
      </c>
      <c r="C458" s="40" t="s">
        <v>307</v>
      </c>
      <c r="D458" s="5" t="str">
        <f>IFERROR(INDEX(회사별_교통수단매핑!$C$2:$C$1000,MATCH(1,INDEX(($C$14=회사별_교통수단매핑!$A$2:$A$1000)*($Y458=회사별_교통수단매핑!$B$2:$B$1000),0),0)),"")</f>
        <v>국내선 항공</v>
      </c>
      <c r="E458" s="5">
        <v>1</v>
      </c>
      <c r="F458" s="42" t="s">
        <v>120</v>
      </c>
      <c r="G458" s="8" t="s">
        <v>443</v>
      </c>
      <c r="H458" s="12"/>
      <c r="I458" s="5">
        <f t="shared" si="6"/>
        <v>2</v>
      </c>
      <c r="J458" s="5"/>
      <c r="K458" s="5"/>
      <c r="L458" s="5"/>
      <c r="M458" s="5"/>
      <c r="N458" s="5">
        <v>2</v>
      </c>
      <c r="O458" s="5"/>
      <c r="P458" s="5"/>
      <c r="Q458" s="5"/>
      <c r="R458" s="5"/>
      <c r="S458" s="5"/>
      <c r="T458" s="5"/>
      <c r="U458" s="5"/>
      <c r="V458" s="6"/>
      <c r="W458" s="7">
        <v>1.4253000000000001E-4</v>
      </c>
      <c r="X458" s="7">
        <v>0.284797921375678</v>
      </c>
      <c r="Y458" s="41" t="s">
        <v>116</v>
      </c>
    </row>
    <row r="459" spans="2:25" ht="17.100000000000001" customHeight="1">
      <c r="B459" s="5" t="s">
        <v>41</v>
      </c>
      <c r="C459" s="40" t="s">
        <v>307</v>
      </c>
      <c r="D459" s="5" t="str">
        <f>IFERROR(INDEX(회사별_교통수단매핑!$C$2:$C$1000,MATCH(1,INDEX(($C$14=회사별_교통수단매핑!$A$2:$A$1000)*($Y459=회사별_교통수단매핑!$B$2:$B$1000),0),0)),"")</f>
        <v>국내선 항공</v>
      </c>
      <c r="E459" s="5">
        <v>1</v>
      </c>
      <c r="F459" s="42" t="s">
        <v>120</v>
      </c>
      <c r="G459" s="8" t="s">
        <v>444</v>
      </c>
      <c r="H459" s="12"/>
      <c r="I459" s="5">
        <f t="shared" si="6"/>
        <v>1</v>
      </c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>
        <v>1</v>
      </c>
      <c r="U459" s="5"/>
      <c r="V459" s="6"/>
      <c r="W459" s="7">
        <v>1.4253000000000001E-4</v>
      </c>
      <c r="X459" s="7">
        <v>0.142398960687839</v>
      </c>
      <c r="Y459" s="41" t="s">
        <v>116</v>
      </c>
    </row>
    <row r="460" spans="2:25" ht="17.100000000000001" customHeight="1">
      <c r="B460" s="5" t="s">
        <v>41</v>
      </c>
      <c r="C460" s="40" t="s">
        <v>307</v>
      </c>
      <c r="D460" s="5" t="str">
        <f>IFERROR(INDEX(회사별_교통수단매핑!$C$2:$C$1000,MATCH(1,INDEX(($C$14=회사별_교통수단매핑!$A$2:$A$1000)*($Y460=회사별_교통수단매핑!$B$2:$B$1000),0),0)),"")</f>
        <v>국내선 항공</v>
      </c>
      <c r="E460" s="5">
        <v>1</v>
      </c>
      <c r="F460" s="42" t="s">
        <v>120</v>
      </c>
      <c r="G460" s="8" t="s">
        <v>445</v>
      </c>
      <c r="H460" s="12"/>
      <c r="I460" s="5">
        <f t="shared" si="6"/>
        <v>4</v>
      </c>
      <c r="J460" s="5"/>
      <c r="K460" s="5"/>
      <c r="L460" s="5">
        <v>3</v>
      </c>
      <c r="M460" s="5"/>
      <c r="N460" s="5"/>
      <c r="O460" s="5"/>
      <c r="P460" s="5"/>
      <c r="Q460" s="5"/>
      <c r="R460" s="5"/>
      <c r="S460" s="5"/>
      <c r="T460" s="5">
        <v>1</v>
      </c>
      <c r="U460" s="5"/>
      <c r="V460" s="6"/>
      <c r="W460" s="7">
        <v>1.4253000000000001E-4</v>
      </c>
      <c r="X460" s="7">
        <v>0.569595842751356</v>
      </c>
      <c r="Y460" s="41" t="s">
        <v>116</v>
      </c>
    </row>
    <row r="461" spans="2:25" ht="17.100000000000001" customHeight="1">
      <c r="B461" s="5" t="s">
        <v>41</v>
      </c>
      <c r="C461" s="40" t="s">
        <v>307</v>
      </c>
      <c r="D461" s="5" t="str">
        <f>IFERROR(INDEX(회사별_교통수단매핑!$C$2:$C$1000,MATCH(1,INDEX(($C$14=회사별_교통수단매핑!$A$2:$A$1000)*($Y461=회사별_교통수단매핑!$B$2:$B$1000),0),0)),"")</f>
        <v>국내선 항공</v>
      </c>
      <c r="E461" s="5">
        <v>1</v>
      </c>
      <c r="F461" s="42" t="s">
        <v>120</v>
      </c>
      <c r="G461" s="8" t="s">
        <v>446</v>
      </c>
      <c r="H461" s="12"/>
      <c r="I461" s="5">
        <f t="shared" si="6"/>
        <v>1</v>
      </c>
      <c r="J461" s="5"/>
      <c r="K461" s="5"/>
      <c r="L461" s="5"/>
      <c r="M461" s="5">
        <v>1</v>
      </c>
      <c r="N461" s="5"/>
      <c r="O461" s="5"/>
      <c r="P461" s="5"/>
      <c r="Q461" s="5"/>
      <c r="R461" s="5"/>
      <c r="S461" s="5"/>
      <c r="T461" s="5"/>
      <c r="U461" s="5"/>
      <c r="V461" s="6"/>
      <c r="W461" s="7">
        <v>1.4253000000000001E-4</v>
      </c>
      <c r="X461" s="7">
        <v>0.142398960687839</v>
      </c>
      <c r="Y461" s="41" t="s">
        <v>116</v>
      </c>
    </row>
    <row r="462" spans="2:25" ht="17.100000000000001" customHeight="1">
      <c r="B462" s="5" t="s">
        <v>41</v>
      </c>
      <c r="C462" s="40" t="s">
        <v>307</v>
      </c>
      <c r="D462" s="5" t="str">
        <f>IFERROR(INDEX(회사별_교통수단매핑!$C$2:$C$1000,MATCH(1,INDEX(($C$14=회사별_교통수단매핑!$A$2:$A$1000)*($Y462=회사별_교통수단매핑!$B$2:$B$1000),0),0)),"")</f>
        <v>국내선 항공</v>
      </c>
      <c r="E462" s="5">
        <v>1</v>
      </c>
      <c r="F462" s="42" t="s">
        <v>120</v>
      </c>
      <c r="G462" s="8" t="s">
        <v>447</v>
      </c>
      <c r="H462" s="12"/>
      <c r="I462" s="5">
        <f t="shared" si="6"/>
        <v>3</v>
      </c>
      <c r="J462" s="5"/>
      <c r="K462" s="5">
        <v>1</v>
      </c>
      <c r="L462" s="5"/>
      <c r="M462" s="5"/>
      <c r="N462" s="5"/>
      <c r="O462" s="5">
        <v>1</v>
      </c>
      <c r="P462" s="5"/>
      <c r="Q462" s="5"/>
      <c r="R462" s="5"/>
      <c r="S462" s="5"/>
      <c r="T462" s="5"/>
      <c r="U462" s="5">
        <v>1</v>
      </c>
      <c r="V462" s="6"/>
      <c r="W462" s="7">
        <v>1.4253000000000001E-4</v>
      </c>
      <c r="X462" s="7">
        <v>0.42719688206351702</v>
      </c>
      <c r="Y462" s="41" t="s">
        <v>116</v>
      </c>
    </row>
    <row r="463" spans="2:25" ht="17.100000000000001" customHeight="1">
      <c r="B463" s="5" t="s">
        <v>41</v>
      </c>
      <c r="C463" s="40" t="s">
        <v>307</v>
      </c>
      <c r="D463" s="5" t="str">
        <f>IFERROR(INDEX(회사별_교통수단매핑!$C$2:$C$1000,MATCH(1,INDEX(($C$14=회사별_교통수단매핑!$A$2:$A$1000)*($Y463=회사별_교통수단매핑!$B$2:$B$1000),0),0)),"")</f>
        <v>국내선 항공</v>
      </c>
      <c r="E463" s="5">
        <v>1</v>
      </c>
      <c r="F463" s="42" t="s">
        <v>120</v>
      </c>
      <c r="G463" s="8" t="s">
        <v>448</v>
      </c>
      <c r="H463" s="12"/>
      <c r="I463" s="5">
        <f t="shared" si="6"/>
        <v>2</v>
      </c>
      <c r="J463" s="5"/>
      <c r="K463" s="5"/>
      <c r="L463" s="5"/>
      <c r="M463" s="5"/>
      <c r="N463" s="5"/>
      <c r="O463" s="5"/>
      <c r="P463" s="5"/>
      <c r="Q463" s="5"/>
      <c r="R463" s="5"/>
      <c r="S463" s="5">
        <v>2</v>
      </c>
      <c r="T463" s="5"/>
      <c r="U463" s="5"/>
      <c r="V463" s="6"/>
      <c r="W463" s="7">
        <v>1.4253000000000001E-4</v>
      </c>
      <c r="X463" s="7">
        <v>0.284797921375678</v>
      </c>
      <c r="Y463" s="41" t="s">
        <v>116</v>
      </c>
    </row>
    <row r="464" spans="2:25" ht="17.100000000000001" customHeight="1">
      <c r="B464" s="5" t="s">
        <v>41</v>
      </c>
      <c r="C464" s="40" t="s">
        <v>307</v>
      </c>
      <c r="D464" s="5" t="str">
        <f>IFERROR(INDEX(회사별_교통수단매핑!$C$2:$C$1000,MATCH(1,INDEX(($C$14=회사별_교통수단매핑!$A$2:$A$1000)*($Y464=회사별_교통수단매핑!$B$2:$B$1000),0),0)),"")</f>
        <v>국내선 항공</v>
      </c>
      <c r="E464" s="5">
        <v>1</v>
      </c>
      <c r="F464" s="42" t="s">
        <v>120</v>
      </c>
      <c r="G464" s="8" t="s">
        <v>449</v>
      </c>
      <c r="H464" s="12"/>
      <c r="I464" s="5">
        <f t="shared" si="6"/>
        <v>3</v>
      </c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>
        <v>3</v>
      </c>
      <c r="V464" s="6"/>
      <c r="W464" s="7">
        <v>1.4253000000000001E-4</v>
      </c>
      <c r="X464" s="7">
        <v>0.42719688206351702</v>
      </c>
      <c r="Y464" s="41" t="s">
        <v>116</v>
      </c>
    </row>
    <row r="465" spans="2:25" ht="17.100000000000001" customHeight="1">
      <c r="B465" s="5" t="s">
        <v>41</v>
      </c>
      <c r="C465" s="40" t="s">
        <v>307</v>
      </c>
      <c r="D465" s="5" t="str">
        <f>IFERROR(INDEX(회사별_교통수단매핑!$C$2:$C$1000,MATCH(1,INDEX(($C$14=회사별_교통수단매핑!$A$2:$A$1000)*($Y465=회사별_교통수단매핑!$B$2:$B$1000),0),0)),"")</f>
        <v>국내선 항공</v>
      </c>
      <c r="E465" s="5">
        <v>1</v>
      </c>
      <c r="F465" s="42" t="s">
        <v>120</v>
      </c>
      <c r="G465" s="8" t="s">
        <v>450</v>
      </c>
      <c r="H465" s="12"/>
      <c r="I465" s="5">
        <f t="shared" si="6"/>
        <v>1</v>
      </c>
      <c r="J465" s="5"/>
      <c r="K465" s="5"/>
      <c r="L465" s="5"/>
      <c r="M465" s="5"/>
      <c r="N465" s="5"/>
      <c r="O465" s="5"/>
      <c r="P465" s="5"/>
      <c r="Q465" s="5"/>
      <c r="R465" s="5">
        <v>1</v>
      </c>
      <c r="S465" s="5"/>
      <c r="T465" s="5"/>
      <c r="U465" s="5"/>
      <c r="V465" s="6"/>
      <c r="W465" s="7">
        <v>1.4253000000000001E-4</v>
      </c>
      <c r="X465" s="7">
        <v>0.142398960687839</v>
      </c>
      <c r="Y465" s="41" t="s">
        <v>116</v>
      </c>
    </row>
    <row r="466" spans="2:25" ht="17.100000000000001" customHeight="1">
      <c r="B466" s="5" t="s">
        <v>41</v>
      </c>
      <c r="C466" s="40" t="s">
        <v>307</v>
      </c>
      <c r="D466" s="5" t="str">
        <f>IFERROR(INDEX(회사별_교통수단매핑!$C$2:$C$1000,MATCH(1,INDEX(($C$14=회사별_교통수단매핑!$A$2:$A$1000)*($Y466=회사별_교통수단매핑!$B$2:$B$1000),0),0)),"")</f>
        <v>국내선 항공</v>
      </c>
      <c r="E466" s="5">
        <v>1</v>
      </c>
      <c r="F466" s="42" t="s">
        <v>120</v>
      </c>
      <c r="G466" s="8" t="s">
        <v>451</v>
      </c>
      <c r="H466" s="12"/>
      <c r="I466" s="5">
        <f t="shared" si="6"/>
        <v>2</v>
      </c>
      <c r="J466" s="5"/>
      <c r="K466" s="5"/>
      <c r="L466" s="5"/>
      <c r="M466" s="5"/>
      <c r="N466" s="5"/>
      <c r="O466" s="5">
        <v>1</v>
      </c>
      <c r="P466" s="5"/>
      <c r="Q466" s="5"/>
      <c r="R466" s="5"/>
      <c r="S466" s="5"/>
      <c r="T466" s="5"/>
      <c r="U466" s="5">
        <v>1</v>
      </c>
      <c r="V466" s="6"/>
      <c r="W466" s="7">
        <v>1.4253000000000001E-4</v>
      </c>
      <c r="X466" s="7">
        <v>0.284797921375678</v>
      </c>
      <c r="Y466" s="41" t="s">
        <v>116</v>
      </c>
    </row>
    <row r="467" spans="2:25" ht="17.100000000000001" customHeight="1">
      <c r="B467" s="5" t="s">
        <v>41</v>
      </c>
      <c r="C467" s="40" t="s">
        <v>307</v>
      </c>
      <c r="D467" s="5" t="str">
        <f>IFERROR(INDEX(회사별_교통수단매핑!$C$2:$C$1000,MATCH(1,INDEX(($C$14=회사별_교통수단매핑!$A$2:$A$1000)*($Y467=회사별_교통수단매핑!$B$2:$B$1000),0),0)),"")</f>
        <v>국내선 항공</v>
      </c>
      <c r="E467" s="5">
        <v>1</v>
      </c>
      <c r="F467" s="42" t="s">
        <v>120</v>
      </c>
      <c r="G467" s="8" t="s">
        <v>452</v>
      </c>
      <c r="H467" s="12"/>
      <c r="I467" s="5">
        <f t="shared" si="6"/>
        <v>2</v>
      </c>
      <c r="J467" s="5"/>
      <c r="K467" s="5"/>
      <c r="L467" s="5"/>
      <c r="M467" s="5"/>
      <c r="N467" s="5"/>
      <c r="O467" s="5"/>
      <c r="P467" s="5"/>
      <c r="Q467" s="5"/>
      <c r="R467" s="5">
        <v>1</v>
      </c>
      <c r="S467" s="5"/>
      <c r="T467" s="5"/>
      <c r="U467" s="5">
        <v>1</v>
      </c>
      <c r="V467" s="6"/>
      <c r="W467" s="7">
        <v>1.4253000000000001E-4</v>
      </c>
      <c r="X467" s="7">
        <v>0.284797921375678</v>
      </c>
      <c r="Y467" s="41" t="s">
        <v>116</v>
      </c>
    </row>
    <row r="468" spans="2:25" ht="17.100000000000001" customHeight="1">
      <c r="B468" s="5" t="s">
        <v>41</v>
      </c>
      <c r="C468" s="40" t="s">
        <v>307</v>
      </c>
      <c r="D468" s="5" t="str">
        <f>IFERROR(INDEX(회사별_교통수단매핑!$C$2:$C$1000,MATCH(1,INDEX(($C$14=회사별_교통수단매핑!$A$2:$A$1000)*($Y468=회사별_교통수단매핑!$B$2:$B$1000),0),0)),"")</f>
        <v>국내선 항공</v>
      </c>
      <c r="E468" s="5">
        <v>1</v>
      </c>
      <c r="F468" s="42" t="s">
        <v>120</v>
      </c>
      <c r="G468" s="8" t="s">
        <v>453</v>
      </c>
      <c r="H468" s="12"/>
      <c r="I468" s="5">
        <f t="shared" si="6"/>
        <v>1</v>
      </c>
      <c r="J468" s="5"/>
      <c r="K468" s="5">
        <v>1</v>
      </c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6"/>
      <c r="W468" s="7">
        <v>1.4253000000000001E-4</v>
      </c>
      <c r="X468" s="7">
        <v>0.142398960687839</v>
      </c>
      <c r="Y468" s="41" t="s">
        <v>116</v>
      </c>
    </row>
    <row r="469" spans="2:25" ht="17.100000000000001" customHeight="1">
      <c r="B469" s="5" t="s">
        <v>41</v>
      </c>
      <c r="C469" s="40" t="s">
        <v>307</v>
      </c>
      <c r="D469" s="5" t="str">
        <f>IFERROR(INDEX(회사별_교통수단매핑!$C$2:$C$1000,MATCH(1,INDEX(($C$14=회사별_교통수단매핑!$A$2:$A$1000)*($Y469=회사별_교통수단매핑!$B$2:$B$1000),0),0)),"")</f>
        <v>국내선 항공</v>
      </c>
      <c r="E469" s="5">
        <v>1</v>
      </c>
      <c r="F469" s="42" t="s">
        <v>120</v>
      </c>
      <c r="G469" s="8" t="s">
        <v>454</v>
      </c>
      <c r="H469" s="12"/>
      <c r="I469" s="5">
        <f t="shared" ref="I469:I532" si="7">IF(SUM(J469:U469)=0,"",SUM(J469:U469))</f>
        <v>1</v>
      </c>
      <c r="J469" s="5"/>
      <c r="K469" s="5"/>
      <c r="L469" s="5"/>
      <c r="M469" s="5"/>
      <c r="N469" s="5"/>
      <c r="O469" s="5"/>
      <c r="P469" s="5"/>
      <c r="Q469" s="5"/>
      <c r="R469" s="5">
        <v>1</v>
      </c>
      <c r="S469" s="5"/>
      <c r="T469" s="5"/>
      <c r="U469" s="5"/>
      <c r="V469" s="6"/>
      <c r="W469" s="7">
        <v>1.4253000000000001E-4</v>
      </c>
      <c r="X469" s="7">
        <v>0.142398960687839</v>
      </c>
      <c r="Y469" s="41" t="s">
        <v>116</v>
      </c>
    </row>
    <row r="470" spans="2:25" ht="17.100000000000001" customHeight="1">
      <c r="B470" s="5" t="s">
        <v>41</v>
      </c>
      <c r="C470" s="40" t="s">
        <v>307</v>
      </c>
      <c r="D470" s="5" t="str">
        <f>IFERROR(INDEX(회사별_교통수단매핑!$C$2:$C$1000,MATCH(1,INDEX(($C$14=회사별_교통수단매핑!$A$2:$A$1000)*($Y470=회사별_교통수단매핑!$B$2:$B$1000),0),0)),"")</f>
        <v>국내선 항공</v>
      </c>
      <c r="E470" s="5">
        <v>1</v>
      </c>
      <c r="F470" s="42" t="s">
        <v>120</v>
      </c>
      <c r="G470" s="8" t="s">
        <v>455</v>
      </c>
      <c r="H470" s="12"/>
      <c r="I470" s="5">
        <f t="shared" si="7"/>
        <v>1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>
        <v>1</v>
      </c>
      <c r="U470" s="5"/>
      <c r="V470" s="6"/>
      <c r="W470" s="7">
        <v>1.4253000000000001E-4</v>
      </c>
      <c r="X470" s="7">
        <v>0.142398960687839</v>
      </c>
      <c r="Y470" s="41" t="s">
        <v>116</v>
      </c>
    </row>
    <row r="471" spans="2:25" ht="17.100000000000001" customHeight="1">
      <c r="B471" s="5" t="s">
        <v>41</v>
      </c>
      <c r="C471" s="40" t="s">
        <v>307</v>
      </c>
      <c r="D471" s="5" t="str">
        <f>IFERROR(INDEX(회사별_교통수단매핑!$C$2:$C$1000,MATCH(1,INDEX(($C$14=회사별_교통수단매핑!$A$2:$A$1000)*($Y471=회사별_교통수단매핑!$B$2:$B$1000),0),0)),"")</f>
        <v>국내선 항공</v>
      </c>
      <c r="E471" s="5">
        <v>1</v>
      </c>
      <c r="F471" s="42" t="s">
        <v>120</v>
      </c>
      <c r="G471" s="8" t="s">
        <v>456</v>
      </c>
      <c r="H471" s="12"/>
      <c r="I471" s="5">
        <f t="shared" si="7"/>
        <v>1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>
        <v>1</v>
      </c>
      <c r="V471" s="6"/>
      <c r="W471" s="7">
        <v>1.4253000000000001E-4</v>
      </c>
      <c r="X471" s="7">
        <v>0.142398960687839</v>
      </c>
      <c r="Y471" s="41" t="s">
        <v>116</v>
      </c>
    </row>
    <row r="472" spans="2:25" ht="17.100000000000001" customHeight="1">
      <c r="B472" s="5" t="s">
        <v>41</v>
      </c>
      <c r="C472" s="40" t="s">
        <v>307</v>
      </c>
      <c r="D472" s="5" t="str">
        <f>IFERROR(INDEX(회사별_교통수단매핑!$C$2:$C$1000,MATCH(1,INDEX(($C$14=회사별_교통수단매핑!$A$2:$A$1000)*($Y472=회사별_교통수단매핑!$B$2:$B$1000),0),0)),"")</f>
        <v>국내선 항공</v>
      </c>
      <c r="E472" s="5">
        <v>1</v>
      </c>
      <c r="F472" s="42" t="s">
        <v>120</v>
      </c>
      <c r="G472" s="8" t="s">
        <v>457</v>
      </c>
      <c r="H472" s="12"/>
      <c r="I472" s="5">
        <f t="shared" si="7"/>
        <v>1</v>
      </c>
      <c r="J472" s="5"/>
      <c r="K472" s="5"/>
      <c r="L472" s="5"/>
      <c r="M472" s="5"/>
      <c r="N472" s="5"/>
      <c r="O472" s="5"/>
      <c r="P472" s="5">
        <v>1</v>
      </c>
      <c r="Q472" s="5"/>
      <c r="R472" s="5"/>
      <c r="S472" s="5"/>
      <c r="T472" s="5"/>
      <c r="U472" s="5"/>
      <c r="V472" s="6"/>
      <c r="W472" s="7">
        <v>1.4253000000000001E-4</v>
      </c>
      <c r="X472" s="7">
        <v>0.142398960687839</v>
      </c>
      <c r="Y472" s="41" t="s">
        <v>116</v>
      </c>
    </row>
    <row r="473" spans="2:25" ht="17.100000000000001" customHeight="1">
      <c r="B473" s="5" t="s">
        <v>41</v>
      </c>
      <c r="C473" s="40" t="s">
        <v>307</v>
      </c>
      <c r="D473" s="5" t="str">
        <f>IFERROR(INDEX(회사별_교통수단매핑!$C$2:$C$1000,MATCH(1,INDEX(($C$14=회사별_교통수단매핑!$A$2:$A$1000)*($Y473=회사별_교통수단매핑!$B$2:$B$1000),0),0)),"")</f>
        <v>국내선 항공</v>
      </c>
      <c r="E473" s="5">
        <v>1</v>
      </c>
      <c r="F473" s="42" t="s">
        <v>120</v>
      </c>
      <c r="G473" s="8" t="s">
        <v>458</v>
      </c>
      <c r="H473" s="12"/>
      <c r="I473" s="5">
        <f t="shared" si="7"/>
        <v>1</v>
      </c>
      <c r="J473" s="5"/>
      <c r="K473" s="5"/>
      <c r="L473" s="5"/>
      <c r="M473" s="5"/>
      <c r="N473" s="5"/>
      <c r="O473" s="5"/>
      <c r="P473" s="5"/>
      <c r="Q473" s="5"/>
      <c r="R473" s="5"/>
      <c r="S473" s="5">
        <v>1</v>
      </c>
      <c r="T473" s="5"/>
      <c r="U473" s="5"/>
      <c r="V473" s="6"/>
      <c r="W473" s="7">
        <v>1.4253000000000001E-4</v>
      </c>
      <c r="X473" s="7">
        <v>0.142398960687839</v>
      </c>
      <c r="Y473" s="41" t="s">
        <v>116</v>
      </c>
    </row>
    <row r="474" spans="2:25" ht="17.100000000000001" customHeight="1">
      <c r="B474" s="5" t="s">
        <v>41</v>
      </c>
      <c r="C474" s="40" t="s">
        <v>307</v>
      </c>
      <c r="D474" s="5" t="str">
        <f>IFERROR(INDEX(회사별_교통수단매핑!$C$2:$C$1000,MATCH(1,INDEX(($C$14=회사별_교통수단매핑!$A$2:$A$1000)*($Y474=회사별_교통수단매핑!$B$2:$B$1000),0),0)),"")</f>
        <v>국내선 항공</v>
      </c>
      <c r="E474" s="5">
        <v>1</v>
      </c>
      <c r="F474" s="42" t="s">
        <v>120</v>
      </c>
      <c r="G474" s="8" t="s">
        <v>459</v>
      </c>
      <c r="H474" s="12"/>
      <c r="I474" s="5">
        <f t="shared" si="7"/>
        <v>1</v>
      </c>
      <c r="J474" s="5"/>
      <c r="K474" s="5"/>
      <c r="L474" s="5"/>
      <c r="M474" s="5">
        <v>1</v>
      </c>
      <c r="N474" s="5"/>
      <c r="O474" s="5"/>
      <c r="P474" s="5"/>
      <c r="Q474" s="5"/>
      <c r="R474" s="5"/>
      <c r="S474" s="5"/>
      <c r="T474" s="5"/>
      <c r="U474" s="5"/>
      <c r="V474" s="6"/>
      <c r="W474" s="7">
        <v>1.4253000000000001E-4</v>
      </c>
      <c r="X474" s="7">
        <v>0.142398960687839</v>
      </c>
      <c r="Y474" s="41" t="s">
        <v>116</v>
      </c>
    </row>
    <row r="475" spans="2:25" ht="17.100000000000001" customHeight="1">
      <c r="B475" s="5" t="s">
        <v>41</v>
      </c>
      <c r="C475" s="40" t="s">
        <v>307</v>
      </c>
      <c r="D475" s="5" t="str">
        <f>IFERROR(INDEX(회사별_교통수단매핑!$C$2:$C$1000,MATCH(1,INDEX(($C$14=회사별_교통수단매핑!$A$2:$A$1000)*($Y475=회사별_교통수단매핑!$B$2:$B$1000),0),0)),"")</f>
        <v>국내선 항공</v>
      </c>
      <c r="E475" s="5">
        <v>1</v>
      </c>
      <c r="F475" s="42" t="s">
        <v>120</v>
      </c>
      <c r="G475" s="8" t="s">
        <v>460</v>
      </c>
      <c r="H475" s="12"/>
      <c r="I475" s="5">
        <f t="shared" si="7"/>
        <v>4</v>
      </c>
      <c r="J475" s="5"/>
      <c r="K475" s="5"/>
      <c r="L475" s="5"/>
      <c r="M475" s="5"/>
      <c r="N475" s="5"/>
      <c r="O475" s="5"/>
      <c r="P475" s="5"/>
      <c r="Q475" s="5"/>
      <c r="R475" s="5"/>
      <c r="S475" s="5">
        <v>4</v>
      </c>
      <c r="T475" s="5"/>
      <c r="U475" s="5"/>
      <c r="V475" s="6"/>
      <c r="W475" s="7">
        <v>1.4253000000000001E-4</v>
      </c>
      <c r="X475" s="7">
        <v>0.569595842751356</v>
      </c>
      <c r="Y475" s="41" t="s">
        <v>116</v>
      </c>
    </row>
    <row r="476" spans="2:25" ht="17.100000000000001" customHeight="1">
      <c r="B476" s="5" t="s">
        <v>41</v>
      </c>
      <c r="C476" s="40" t="s">
        <v>307</v>
      </c>
      <c r="D476" s="5" t="str">
        <f>IFERROR(INDEX(회사별_교통수단매핑!$C$2:$C$1000,MATCH(1,INDEX(($C$14=회사별_교통수단매핑!$A$2:$A$1000)*($Y476=회사별_교통수단매핑!$B$2:$B$1000),0),0)),"")</f>
        <v>국내선 항공</v>
      </c>
      <c r="E476" s="5">
        <v>1</v>
      </c>
      <c r="F476" s="42" t="s">
        <v>120</v>
      </c>
      <c r="G476" s="8" t="s">
        <v>207</v>
      </c>
      <c r="H476" s="12"/>
      <c r="I476" s="5">
        <f t="shared" si="7"/>
        <v>9</v>
      </c>
      <c r="J476" s="5"/>
      <c r="K476" s="5">
        <v>6</v>
      </c>
      <c r="L476" s="5"/>
      <c r="M476" s="5"/>
      <c r="N476" s="5"/>
      <c r="O476" s="5"/>
      <c r="P476" s="5">
        <v>1</v>
      </c>
      <c r="Q476" s="5"/>
      <c r="R476" s="5"/>
      <c r="S476" s="5"/>
      <c r="T476" s="5">
        <v>2</v>
      </c>
      <c r="U476" s="5"/>
      <c r="V476" s="6"/>
      <c r="W476" s="7">
        <v>1.4253000000000001E-4</v>
      </c>
      <c r="X476" s="7">
        <v>1.2815906461905511</v>
      </c>
      <c r="Y476" s="41" t="s">
        <v>116</v>
      </c>
    </row>
    <row r="477" spans="2:25" ht="17.100000000000001" customHeight="1">
      <c r="B477" s="5" t="s">
        <v>41</v>
      </c>
      <c r="C477" s="40" t="s">
        <v>307</v>
      </c>
      <c r="D477" s="5" t="str">
        <f>IFERROR(INDEX(회사별_교통수단매핑!$C$2:$C$1000,MATCH(1,INDEX(($C$14=회사별_교통수단매핑!$A$2:$A$1000)*($Y477=회사별_교통수단매핑!$B$2:$B$1000),0),0)),"")</f>
        <v>국내선 항공</v>
      </c>
      <c r="E477" s="5">
        <v>1</v>
      </c>
      <c r="F477" s="42" t="s">
        <v>120</v>
      </c>
      <c r="G477" s="8" t="s">
        <v>461</v>
      </c>
      <c r="H477" s="12"/>
      <c r="I477" s="5">
        <f t="shared" si="7"/>
        <v>3</v>
      </c>
      <c r="J477" s="5"/>
      <c r="K477" s="5"/>
      <c r="L477" s="5"/>
      <c r="M477" s="5"/>
      <c r="N477" s="5"/>
      <c r="O477" s="5">
        <v>1</v>
      </c>
      <c r="P477" s="5"/>
      <c r="Q477" s="5"/>
      <c r="R477" s="5"/>
      <c r="S477" s="5"/>
      <c r="T477" s="5"/>
      <c r="U477" s="5">
        <v>2</v>
      </c>
      <c r="V477" s="6"/>
      <c r="W477" s="7">
        <v>1.4253000000000001E-4</v>
      </c>
      <c r="X477" s="7">
        <v>0.42719688206351702</v>
      </c>
      <c r="Y477" s="41" t="s">
        <v>116</v>
      </c>
    </row>
    <row r="478" spans="2:25" ht="17.100000000000001" customHeight="1">
      <c r="B478" s="5" t="s">
        <v>41</v>
      </c>
      <c r="C478" s="40" t="s">
        <v>307</v>
      </c>
      <c r="D478" s="5" t="str">
        <f>IFERROR(INDEX(회사별_교통수단매핑!$C$2:$C$1000,MATCH(1,INDEX(($C$14=회사별_교통수단매핑!$A$2:$A$1000)*($Y478=회사별_교통수단매핑!$B$2:$B$1000),0),0)),"")</f>
        <v>국내선 항공</v>
      </c>
      <c r="E478" s="5">
        <v>1</v>
      </c>
      <c r="F478" s="42" t="s">
        <v>120</v>
      </c>
      <c r="G478" s="8" t="s">
        <v>462</v>
      </c>
      <c r="H478" s="12"/>
      <c r="I478" s="5">
        <f t="shared" si="7"/>
        <v>1</v>
      </c>
      <c r="J478" s="5"/>
      <c r="K478" s="5">
        <v>1</v>
      </c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6"/>
      <c r="W478" s="7">
        <v>1.4253000000000001E-4</v>
      </c>
      <c r="X478" s="7">
        <v>0.142398960687839</v>
      </c>
      <c r="Y478" s="41" t="s">
        <v>116</v>
      </c>
    </row>
    <row r="479" spans="2:25" ht="17.100000000000001" customHeight="1">
      <c r="B479" s="5" t="s">
        <v>41</v>
      </c>
      <c r="C479" s="40" t="s">
        <v>307</v>
      </c>
      <c r="D479" s="5" t="str">
        <f>IFERROR(INDEX(회사별_교통수단매핑!$C$2:$C$1000,MATCH(1,INDEX(($C$14=회사별_교통수단매핑!$A$2:$A$1000)*($Y479=회사별_교통수단매핑!$B$2:$B$1000),0),0)),"")</f>
        <v>국내선 항공</v>
      </c>
      <c r="E479" s="5">
        <v>1</v>
      </c>
      <c r="F479" s="42" t="s">
        <v>120</v>
      </c>
      <c r="G479" s="8" t="s">
        <v>463</v>
      </c>
      <c r="H479" s="12"/>
      <c r="I479" s="5">
        <f t="shared" si="7"/>
        <v>2</v>
      </c>
      <c r="J479" s="5">
        <v>1</v>
      </c>
      <c r="K479" s="5"/>
      <c r="L479" s="5"/>
      <c r="M479" s="5"/>
      <c r="N479" s="5"/>
      <c r="O479" s="5"/>
      <c r="P479" s="5"/>
      <c r="Q479" s="5">
        <v>1</v>
      </c>
      <c r="R479" s="5"/>
      <c r="S479" s="5"/>
      <c r="T479" s="5"/>
      <c r="U479" s="5"/>
      <c r="V479" s="6"/>
      <c r="W479" s="7">
        <v>1.4253000000000001E-4</v>
      </c>
      <c r="X479" s="7">
        <v>0.284797921375678</v>
      </c>
      <c r="Y479" s="41" t="s">
        <v>116</v>
      </c>
    </row>
    <row r="480" spans="2:25" ht="17.100000000000001" customHeight="1">
      <c r="B480" s="5" t="s">
        <v>41</v>
      </c>
      <c r="C480" s="40" t="s">
        <v>307</v>
      </c>
      <c r="D480" s="5" t="str">
        <f>IFERROR(INDEX(회사별_교통수단매핑!$C$2:$C$1000,MATCH(1,INDEX(($C$14=회사별_교통수단매핑!$A$2:$A$1000)*($Y480=회사별_교통수단매핑!$B$2:$B$1000),0),0)),"")</f>
        <v>국내선 항공</v>
      </c>
      <c r="E480" s="5">
        <v>1</v>
      </c>
      <c r="F480" s="42" t="s">
        <v>120</v>
      </c>
      <c r="G480" s="8" t="s">
        <v>464</v>
      </c>
      <c r="H480" s="12"/>
      <c r="I480" s="5">
        <f t="shared" si="7"/>
        <v>2</v>
      </c>
      <c r="J480" s="5"/>
      <c r="K480" s="5"/>
      <c r="L480" s="5"/>
      <c r="M480" s="5">
        <v>2</v>
      </c>
      <c r="N480" s="5"/>
      <c r="O480" s="5"/>
      <c r="P480" s="5"/>
      <c r="Q480" s="5"/>
      <c r="R480" s="5"/>
      <c r="S480" s="5"/>
      <c r="T480" s="5"/>
      <c r="U480" s="5"/>
      <c r="V480" s="6"/>
      <c r="W480" s="7">
        <v>1.4253000000000001E-4</v>
      </c>
      <c r="X480" s="7">
        <v>0.284797921375678</v>
      </c>
      <c r="Y480" s="41" t="s">
        <v>116</v>
      </c>
    </row>
    <row r="481" spans="2:25" ht="17.100000000000001" customHeight="1">
      <c r="B481" s="5" t="s">
        <v>41</v>
      </c>
      <c r="C481" s="40" t="s">
        <v>307</v>
      </c>
      <c r="D481" s="5" t="str">
        <f>IFERROR(INDEX(회사별_교통수단매핑!$C$2:$C$1000,MATCH(1,INDEX(($C$14=회사별_교통수단매핑!$A$2:$A$1000)*($Y481=회사별_교통수단매핑!$B$2:$B$1000),0),0)),"")</f>
        <v>국내선 항공</v>
      </c>
      <c r="E481" s="5">
        <v>1</v>
      </c>
      <c r="F481" s="42" t="s">
        <v>120</v>
      </c>
      <c r="G481" s="8" t="s">
        <v>465</v>
      </c>
      <c r="H481" s="12"/>
      <c r="I481" s="5">
        <f t="shared" si="7"/>
        <v>1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>
        <v>1</v>
      </c>
      <c r="U481" s="5"/>
      <c r="V481" s="6"/>
      <c r="W481" s="7">
        <v>1.4253000000000001E-4</v>
      </c>
      <c r="X481" s="7">
        <v>0.142398960687839</v>
      </c>
      <c r="Y481" s="41" t="s">
        <v>116</v>
      </c>
    </row>
    <row r="482" spans="2:25" ht="17.100000000000001" customHeight="1">
      <c r="B482" s="5" t="s">
        <v>41</v>
      </c>
      <c r="C482" s="40" t="s">
        <v>307</v>
      </c>
      <c r="D482" s="5" t="str">
        <f>IFERROR(INDEX(회사별_교통수단매핑!$C$2:$C$1000,MATCH(1,INDEX(($C$14=회사별_교통수단매핑!$A$2:$A$1000)*($Y482=회사별_교통수단매핑!$B$2:$B$1000),0),0)),"")</f>
        <v>국내선 항공</v>
      </c>
      <c r="E482" s="5">
        <v>1</v>
      </c>
      <c r="F482" s="42" t="s">
        <v>120</v>
      </c>
      <c r="G482" s="8" t="s">
        <v>49</v>
      </c>
      <c r="H482" s="12"/>
      <c r="I482" s="5">
        <f t="shared" si="7"/>
        <v>546</v>
      </c>
      <c r="J482" s="5">
        <v>29</v>
      </c>
      <c r="K482" s="5">
        <v>42</v>
      </c>
      <c r="L482" s="5">
        <v>48</v>
      </c>
      <c r="M482" s="5">
        <v>90</v>
      </c>
      <c r="N482" s="5">
        <v>57</v>
      </c>
      <c r="O482" s="5">
        <v>39</v>
      </c>
      <c r="P482" s="5">
        <v>51</v>
      </c>
      <c r="Q482" s="5">
        <v>39</v>
      </c>
      <c r="R482" s="5">
        <v>49</v>
      </c>
      <c r="S482" s="5">
        <v>38</v>
      </c>
      <c r="T482" s="5">
        <v>20</v>
      </c>
      <c r="U482" s="5">
        <v>44</v>
      </c>
      <c r="V482" s="6"/>
      <c r="W482" s="7">
        <v>1.4253000000000001E-4</v>
      </c>
      <c r="X482" s="7">
        <v>77.749832535560103</v>
      </c>
      <c r="Y482" s="41" t="s">
        <v>116</v>
      </c>
    </row>
    <row r="483" spans="2:25" ht="17.100000000000001" customHeight="1">
      <c r="B483" s="5" t="s">
        <v>41</v>
      </c>
      <c r="C483" s="40" t="s">
        <v>307</v>
      </c>
      <c r="D483" s="5" t="str">
        <f>IFERROR(INDEX(회사별_교통수단매핑!$C$2:$C$1000,MATCH(1,INDEX(($C$14=회사별_교통수단매핑!$A$2:$A$1000)*($Y483=회사별_교통수단매핑!$B$2:$B$1000),0),0)),"")</f>
        <v>국내선 항공</v>
      </c>
      <c r="E483" s="5">
        <v>1</v>
      </c>
      <c r="F483" s="42" t="s">
        <v>120</v>
      </c>
      <c r="G483" s="8" t="s">
        <v>306</v>
      </c>
      <c r="H483" s="12"/>
      <c r="I483" s="5">
        <f t="shared" si="7"/>
        <v>2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>
        <v>2</v>
      </c>
      <c r="V483" s="6"/>
      <c r="W483" s="7">
        <v>1.4253000000000001E-4</v>
      </c>
      <c r="X483" s="7">
        <v>0.28245843553958899</v>
      </c>
      <c r="Y483" s="41" t="s">
        <v>116</v>
      </c>
    </row>
    <row r="484" spans="2:25" ht="17.100000000000001" customHeight="1">
      <c r="B484" s="5" t="s">
        <v>41</v>
      </c>
      <c r="C484" s="40" t="s">
        <v>307</v>
      </c>
      <c r="D484" s="5" t="str">
        <f>IFERROR(INDEX(회사별_교통수단매핑!$C$2:$C$1000,MATCH(1,INDEX(($C$14=회사별_교통수단매핑!$A$2:$A$1000)*($Y484=회사별_교통수단매핑!$B$2:$B$1000),0),0)),"")</f>
        <v>국내선 항공</v>
      </c>
      <c r="E484" s="5">
        <v>1</v>
      </c>
      <c r="F484" s="42" t="s">
        <v>120</v>
      </c>
      <c r="G484" s="8" t="s">
        <v>466</v>
      </c>
      <c r="H484" s="12"/>
      <c r="I484" s="5">
        <f t="shared" si="7"/>
        <v>18</v>
      </c>
      <c r="J484" s="5">
        <v>3</v>
      </c>
      <c r="K484" s="5"/>
      <c r="L484" s="5"/>
      <c r="M484" s="5"/>
      <c r="N484" s="5"/>
      <c r="O484" s="5"/>
      <c r="P484" s="5">
        <v>5</v>
      </c>
      <c r="Q484" s="5">
        <v>1</v>
      </c>
      <c r="R484" s="5">
        <v>2</v>
      </c>
      <c r="S484" s="5"/>
      <c r="T484" s="5">
        <v>7</v>
      </c>
      <c r="U484" s="5"/>
      <c r="V484" s="6"/>
      <c r="W484" s="7">
        <v>1.4253000000000001E-4</v>
      </c>
      <c r="X484" s="7">
        <v>2.5631812923811021</v>
      </c>
      <c r="Y484" s="41" t="s">
        <v>116</v>
      </c>
    </row>
    <row r="485" spans="2:25" ht="17.100000000000001" customHeight="1">
      <c r="B485" s="5" t="s">
        <v>41</v>
      </c>
      <c r="C485" s="40" t="s">
        <v>307</v>
      </c>
      <c r="D485" s="5" t="str">
        <f>IFERROR(INDEX(회사별_교통수단매핑!$C$2:$C$1000,MATCH(1,INDEX(($C$14=회사별_교통수단매핑!$A$2:$A$1000)*($Y485=회사별_교통수단매핑!$B$2:$B$1000),0),0)),"")</f>
        <v>국내선 항공</v>
      </c>
      <c r="E485" s="5">
        <v>1</v>
      </c>
      <c r="F485" s="42" t="s">
        <v>120</v>
      </c>
      <c r="G485" s="8" t="s">
        <v>467</v>
      </c>
      <c r="H485" s="12"/>
      <c r="I485" s="5">
        <f t="shared" si="7"/>
        <v>2</v>
      </c>
      <c r="J485" s="5"/>
      <c r="K485" s="5"/>
      <c r="L485" s="5"/>
      <c r="M485" s="5"/>
      <c r="N485" s="5"/>
      <c r="O485" s="5"/>
      <c r="P485" s="5"/>
      <c r="Q485" s="5"/>
      <c r="R485" s="5">
        <v>2</v>
      </c>
      <c r="S485" s="5"/>
      <c r="T485" s="5"/>
      <c r="U485" s="5"/>
      <c r="V485" s="6"/>
      <c r="W485" s="7">
        <v>1.4253000000000001E-4</v>
      </c>
      <c r="X485" s="7">
        <v>0.284797921375678</v>
      </c>
      <c r="Y485" s="41" t="s">
        <v>116</v>
      </c>
    </row>
    <row r="486" spans="2:25" ht="17.100000000000001" customHeight="1">
      <c r="B486" s="5" t="s">
        <v>41</v>
      </c>
      <c r="C486" s="40" t="s">
        <v>307</v>
      </c>
      <c r="D486" s="5" t="str">
        <f>IFERROR(INDEX(회사별_교통수단매핑!$C$2:$C$1000,MATCH(1,INDEX(($C$14=회사별_교통수단매핑!$A$2:$A$1000)*($Y486=회사별_교통수단매핑!$B$2:$B$1000),0),0)),"")</f>
        <v>국내선 항공</v>
      </c>
      <c r="E486" s="5">
        <v>1</v>
      </c>
      <c r="F486" s="42" t="s">
        <v>120</v>
      </c>
      <c r="G486" s="8" t="s">
        <v>468</v>
      </c>
      <c r="H486" s="12"/>
      <c r="I486" s="5">
        <f t="shared" si="7"/>
        <v>12</v>
      </c>
      <c r="J486" s="5">
        <v>1</v>
      </c>
      <c r="K486" s="5"/>
      <c r="L486" s="5">
        <v>4</v>
      </c>
      <c r="M486" s="5">
        <v>1</v>
      </c>
      <c r="N486" s="5"/>
      <c r="O486" s="5"/>
      <c r="P486" s="5">
        <v>1</v>
      </c>
      <c r="Q486" s="5"/>
      <c r="R486" s="5"/>
      <c r="S486" s="5"/>
      <c r="T486" s="5">
        <v>1</v>
      </c>
      <c r="U486" s="5">
        <v>4</v>
      </c>
      <c r="V486" s="6"/>
      <c r="W486" s="7">
        <v>1.4253000000000001E-4</v>
      </c>
      <c r="X486" s="7">
        <v>1.7087875282540681</v>
      </c>
      <c r="Y486" s="41" t="s">
        <v>116</v>
      </c>
    </row>
    <row r="487" spans="2:25" ht="17.100000000000001" customHeight="1">
      <c r="B487" s="5" t="s">
        <v>41</v>
      </c>
      <c r="C487" s="40" t="s">
        <v>307</v>
      </c>
      <c r="D487" s="5" t="str">
        <f>IFERROR(INDEX(회사별_교통수단매핑!$C$2:$C$1000,MATCH(1,INDEX(($C$14=회사별_교통수단매핑!$A$2:$A$1000)*($Y487=회사별_교통수단매핑!$B$2:$B$1000),0),0)),"")</f>
        <v>국내선 항공</v>
      </c>
      <c r="E487" s="5">
        <v>1</v>
      </c>
      <c r="F487" s="42" t="s">
        <v>120</v>
      </c>
      <c r="G487" s="8" t="s">
        <v>469</v>
      </c>
      <c r="H487" s="12"/>
      <c r="I487" s="5">
        <f t="shared" si="7"/>
        <v>8</v>
      </c>
      <c r="J487" s="5"/>
      <c r="K487" s="5"/>
      <c r="L487" s="5">
        <v>1</v>
      </c>
      <c r="M487" s="5">
        <v>1</v>
      </c>
      <c r="N487" s="5">
        <v>2</v>
      </c>
      <c r="O487" s="5"/>
      <c r="P487" s="5"/>
      <c r="Q487" s="5"/>
      <c r="R487" s="5"/>
      <c r="S487" s="5"/>
      <c r="T487" s="5">
        <v>3</v>
      </c>
      <c r="U487" s="5">
        <v>1</v>
      </c>
      <c r="V487" s="6"/>
      <c r="W487" s="7">
        <v>1.4253000000000001E-4</v>
      </c>
      <c r="X487" s="7">
        <v>1.139191685502712</v>
      </c>
      <c r="Y487" s="41" t="s">
        <v>116</v>
      </c>
    </row>
    <row r="488" spans="2:25" ht="17.100000000000001" customHeight="1">
      <c r="B488" s="5" t="s">
        <v>41</v>
      </c>
      <c r="C488" s="40" t="s">
        <v>307</v>
      </c>
      <c r="D488" s="5" t="str">
        <f>IFERROR(INDEX(회사별_교통수단매핑!$C$2:$C$1000,MATCH(1,INDEX(($C$14=회사별_교통수단매핑!$A$2:$A$1000)*($Y488=회사별_교통수단매핑!$B$2:$B$1000),0),0)),"")</f>
        <v>국내선 항공</v>
      </c>
      <c r="E488" s="5">
        <v>1</v>
      </c>
      <c r="F488" s="42" t="s">
        <v>120</v>
      </c>
      <c r="G488" s="8" t="s">
        <v>470</v>
      </c>
      <c r="H488" s="12"/>
      <c r="I488" s="5">
        <f t="shared" si="7"/>
        <v>2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>
        <v>2</v>
      </c>
      <c r="V488" s="6"/>
      <c r="W488" s="7">
        <v>1.4253000000000001E-4</v>
      </c>
      <c r="X488" s="7">
        <v>0.28245843553958899</v>
      </c>
      <c r="Y488" s="41" t="s">
        <v>116</v>
      </c>
    </row>
    <row r="489" spans="2:25" ht="17.100000000000001" customHeight="1">
      <c r="B489" s="5" t="s">
        <v>41</v>
      </c>
      <c r="C489" s="40" t="s">
        <v>307</v>
      </c>
      <c r="D489" s="5" t="str">
        <f>IFERROR(INDEX(회사별_교통수단매핑!$C$2:$C$1000,MATCH(1,INDEX(($C$14=회사별_교통수단매핑!$A$2:$A$1000)*($Y489=회사별_교통수단매핑!$B$2:$B$1000),0),0)),"")</f>
        <v>국내선 항공</v>
      </c>
      <c r="E489" s="5">
        <v>1</v>
      </c>
      <c r="F489" s="42" t="s">
        <v>120</v>
      </c>
      <c r="G489" s="8" t="s">
        <v>471</v>
      </c>
      <c r="H489" s="12"/>
      <c r="I489" s="5">
        <f t="shared" si="7"/>
        <v>2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>
        <v>1</v>
      </c>
      <c r="U489" s="5">
        <v>1</v>
      </c>
      <c r="V489" s="6"/>
      <c r="W489" s="7">
        <v>1.4253000000000001E-4</v>
      </c>
      <c r="X489" s="7">
        <v>0.284797921375678</v>
      </c>
      <c r="Y489" s="41" t="s">
        <v>116</v>
      </c>
    </row>
    <row r="490" spans="2:25" ht="17.100000000000001" customHeight="1">
      <c r="B490" s="5" t="s">
        <v>41</v>
      </c>
      <c r="C490" s="40" t="s">
        <v>307</v>
      </c>
      <c r="D490" s="5" t="str">
        <f>IFERROR(INDEX(회사별_교통수단매핑!$C$2:$C$1000,MATCH(1,INDEX(($C$14=회사별_교통수단매핑!$A$2:$A$1000)*($Y490=회사별_교통수단매핑!$B$2:$B$1000),0),0)),"")</f>
        <v>국내선 항공</v>
      </c>
      <c r="E490" s="5">
        <v>1</v>
      </c>
      <c r="F490" s="42" t="s">
        <v>120</v>
      </c>
      <c r="G490" s="8" t="s">
        <v>472</v>
      </c>
      <c r="H490" s="12"/>
      <c r="I490" s="5">
        <f t="shared" si="7"/>
        <v>105</v>
      </c>
      <c r="J490" s="5">
        <v>2</v>
      </c>
      <c r="K490" s="5">
        <v>1</v>
      </c>
      <c r="L490" s="5">
        <v>11</v>
      </c>
      <c r="M490" s="5">
        <v>6</v>
      </c>
      <c r="N490" s="5">
        <v>13</v>
      </c>
      <c r="O490" s="5">
        <v>2</v>
      </c>
      <c r="P490" s="5">
        <v>13</v>
      </c>
      <c r="Q490" s="5">
        <v>11</v>
      </c>
      <c r="R490" s="5">
        <v>21</v>
      </c>
      <c r="S490" s="5">
        <v>15</v>
      </c>
      <c r="T490" s="5">
        <v>9</v>
      </c>
      <c r="U490" s="5">
        <v>1</v>
      </c>
      <c r="V490" s="6"/>
      <c r="W490" s="7">
        <v>1.4253000000000001E-4</v>
      </c>
      <c r="X490" s="7">
        <v>14.9518908722231</v>
      </c>
      <c r="Y490" s="41" t="s">
        <v>116</v>
      </c>
    </row>
    <row r="491" spans="2:25" ht="17.100000000000001" customHeight="1">
      <c r="B491" s="5" t="s">
        <v>41</v>
      </c>
      <c r="C491" s="40" t="s">
        <v>307</v>
      </c>
      <c r="D491" s="5" t="str">
        <f>IFERROR(INDEX(회사별_교통수단매핑!$C$2:$C$1000,MATCH(1,INDEX(($C$14=회사별_교통수단매핑!$A$2:$A$1000)*($Y491=회사별_교통수단매핑!$B$2:$B$1000),0),0)),"")</f>
        <v>국내선 항공</v>
      </c>
      <c r="E491" s="5">
        <v>1</v>
      </c>
      <c r="F491" s="42" t="s">
        <v>120</v>
      </c>
      <c r="G491" s="8" t="s">
        <v>473</v>
      </c>
      <c r="H491" s="12"/>
      <c r="I491" s="5">
        <f t="shared" si="7"/>
        <v>2</v>
      </c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>
        <v>2</v>
      </c>
      <c r="V491" s="6"/>
      <c r="W491" s="7">
        <v>1.4253000000000001E-4</v>
      </c>
      <c r="X491" s="7">
        <v>0.284797921375678</v>
      </c>
      <c r="Y491" s="41" t="s">
        <v>116</v>
      </c>
    </row>
    <row r="492" spans="2:25" ht="17.100000000000001" customHeight="1">
      <c r="B492" s="5" t="s">
        <v>41</v>
      </c>
      <c r="C492" s="40" t="s">
        <v>307</v>
      </c>
      <c r="D492" s="5" t="str">
        <f>IFERROR(INDEX(회사별_교통수단매핑!$C$2:$C$1000,MATCH(1,INDEX(($C$14=회사별_교통수단매핑!$A$2:$A$1000)*($Y492=회사별_교통수단매핑!$B$2:$B$1000),0),0)),"")</f>
        <v>국내선 항공</v>
      </c>
      <c r="E492" s="5">
        <v>1</v>
      </c>
      <c r="F492" s="42" t="s">
        <v>120</v>
      </c>
      <c r="G492" s="8" t="s">
        <v>474</v>
      </c>
      <c r="H492" s="12"/>
      <c r="I492" s="5">
        <f t="shared" si="7"/>
        <v>2</v>
      </c>
      <c r="J492" s="5"/>
      <c r="K492" s="5"/>
      <c r="L492" s="5"/>
      <c r="M492" s="5"/>
      <c r="N492" s="5">
        <v>2</v>
      </c>
      <c r="O492" s="5"/>
      <c r="P492" s="5"/>
      <c r="Q492" s="5"/>
      <c r="R492" s="5"/>
      <c r="S492" s="5"/>
      <c r="T492" s="5"/>
      <c r="U492" s="5"/>
      <c r="V492" s="6"/>
      <c r="W492" s="7">
        <v>1.4253000000000001E-4</v>
      </c>
      <c r="X492" s="7">
        <v>0.284797921375678</v>
      </c>
      <c r="Y492" s="41" t="s">
        <v>116</v>
      </c>
    </row>
    <row r="493" spans="2:25" ht="17.100000000000001" customHeight="1">
      <c r="B493" s="5" t="s">
        <v>41</v>
      </c>
      <c r="C493" s="40" t="s">
        <v>307</v>
      </c>
      <c r="D493" s="5" t="str">
        <f>IFERROR(INDEX(회사별_교통수단매핑!$C$2:$C$1000,MATCH(1,INDEX(($C$14=회사별_교통수단매핑!$A$2:$A$1000)*($Y493=회사별_교통수단매핑!$B$2:$B$1000),0),0)),"")</f>
        <v>국내선 항공</v>
      </c>
      <c r="E493" s="5">
        <v>1</v>
      </c>
      <c r="F493" s="42" t="s">
        <v>120</v>
      </c>
      <c r="G493" s="8" t="s">
        <v>143</v>
      </c>
      <c r="H493" s="12"/>
      <c r="I493" s="5">
        <f t="shared" si="7"/>
        <v>2</v>
      </c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>
        <v>2</v>
      </c>
      <c r="U493" s="5"/>
      <c r="V493" s="6"/>
      <c r="W493" s="7">
        <v>1.4253000000000001E-4</v>
      </c>
      <c r="X493" s="7">
        <v>0.284797921375678</v>
      </c>
      <c r="Y493" s="41" t="s">
        <v>116</v>
      </c>
    </row>
    <row r="494" spans="2:25" ht="17.100000000000001" customHeight="1">
      <c r="B494" s="5" t="s">
        <v>41</v>
      </c>
      <c r="C494" s="40" t="s">
        <v>307</v>
      </c>
      <c r="D494" s="5" t="str">
        <f>IFERROR(INDEX(회사별_교통수단매핑!$C$2:$C$1000,MATCH(1,INDEX(($C$14=회사별_교통수단매핑!$A$2:$A$1000)*($Y494=회사별_교통수단매핑!$B$2:$B$1000),0),0)),"")</f>
        <v>국내선 항공</v>
      </c>
      <c r="E494" s="5">
        <v>1</v>
      </c>
      <c r="F494" s="42" t="s">
        <v>120</v>
      </c>
      <c r="G494" s="8" t="s">
        <v>475</v>
      </c>
      <c r="H494" s="12"/>
      <c r="I494" s="5">
        <f t="shared" si="7"/>
        <v>5</v>
      </c>
      <c r="J494" s="5"/>
      <c r="K494" s="5">
        <v>1</v>
      </c>
      <c r="L494" s="5"/>
      <c r="M494" s="5"/>
      <c r="N494" s="5">
        <v>2</v>
      </c>
      <c r="O494" s="5"/>
      <c r="P494" s="5"/>
      <c r="Q494" s="5"/>
      <c r="R494" s="5"/>
      <c r="S494" s="5"/>
      <c r="T494" s="5">
        <v>2</v>
      </c>
      <c r="U494" s="5"/>
      <c r="V494" s="6"/>
      <c r="W494" s="7">
        <v>1.4253000000000001E-4</v>
      </c>
      <c r="X494" s="7">
        <v>0.71199480343919508</v>
      </c>
      <c r="Y494" s="41" t="s">
        <v>116</v>
      </c>
    </row>
    <row r="495" spans="2:25" ht="17.100000000000001" customHeight="1">
      <c r="B495" s="5" t="s">
        <v>41</v>
      </c>
      <c r="C495" s="40" t="s">
        <v>307</v>
      </c>
      <c r="D495" s="5" t="str">
        <f>IFERROR(INDEX(회사별_교통수단매핑!$C$2:$C$1000,MATCH(1,INDEX(($C$14=회사별_교통수단매핑!$A$2:$A$1000)*($Y495=회사별_교통수단매핑!$B$2:$B$1000),0),0)),"")</f>
        <v>국내선 항공</v>
      </c>
      <c r="E495" s="5">
        <v>1</v>
      </c>
      <c r="F495" s="42" t="s">
        <v>120</v>
      </c>
      <c r="G495" s="8" t="s">
        <v>476</v>
      </c>
      <c r="H495" s="12"/>
      <c r="I495" s="5">
        <f t="shared" si="7"/>
        <v>6</v>
      </c>
      <c r="J495" s="5"/>
      <c r="K495" s="5">
        <v>1</v>
      </c>
      <c r="L495" s="5"/>
      <c r="M495" s="5">
        <v>2</v>
      </c>
      <c r="N495" s="5">
        <v>1</v>
      </c>
      <c r="O495" s="5">
        <v>2</v>
      </c>
      <c r="P495" s="5"/>
      <c r="Q495" s="5"/>
      <c r="R495" s="5"/>
      <c r="S495" s="5"/>
      <c r="T495" s="5"/>
      <c r="U495" s="5"/>
      <c r="V495" s="6"/>
      <c r="W495" s="7">
        <v>1.4253000000000001E-4</v>
      </c>
      <c r="X495" s="7">
        <v>0.85439376412703405</v>
      </c>
      <c r="Y495" s="41" t="s">
        <v>116</v>
      </c>
    </row>
    <row r="496" spans="2:25" ht="17.100000000000001" customHeight="1">
      <c r="B496" s="5" t="s">
        <v>41</v>
      </c>
      <c r="C496" s="40" t="s">
        <v>307</v>
      </c>
      <c r="D496" s="5" t="str">
        <f>IFERROR(INDEX(회사별_교통수단매핑!$C$2:$C$1000,MATCH(1,INDEX(($C$14=회사별_교통수단매핑!$A$2:$A$1000)*($Y496=회사별_교통수단매핑!$B$2:$B$1000),0),0)),"")</f>
        <v>국내선 항공</v>
      </c>
      <c r="E496" s="5">
        <v>1</v>
      </c>
      <c r="F496" s="42" t="s">
        <v>120</v>
      </c>
      <c r="G496" s="8" t="s">
        <v>477</v>
      </c>
      <c r="H496" s="12"/>
      <c r="I496" s="5">
        <f t="shared" si="7"/>
        <v>2</v>
      </c>
      <c r="J496" s="5"/>
      <c r="K496" s="5"/>
      <c r="L496" s="5"/>
      <c r="M496" s="5"/>
      <c r="N496" s="5"/>
      <c r="O496" s="5"/>
      <c r="P496" s="5"/>
      <c r="Q496" s="5">
        <v>2</v>
      </c>
      <c r="R496" s="5"/>
      <c r="S496" s="5"/>
      <c r="T496" s="5"/>
      <c r="U496" s="5"/>
      <c r="V496" s="6"/>
      <c r="W496" s="7">
        <v>1.4253000000000001E-4</v>
      </c>
      <c r="X496" s="7">
        <v>0.284797921375678</v>
      </c>
      <c r="Y496" s="41" t="s">
        <v>116</v>
      </c>
    </row>
    <row r="497" spans="2:25" ht="17.100000000000001" customHeight="1">
      <c r="B497" s="5" t="s">
        <v>41</v>
      </c>
      <c r="C497" s="40" t="s">
        <v>307</v>
      </c>
      <c r="D497" s="5" t="str">
        <f>IFERROR(INDEX(회사별_교통수단매핑!$C$2:$C$1000,MATCH(1,INDEX(($C$14=회사별_교통수단매핑!$A$2:$A$1000)*($Y497=회사별_교통수단매핑!$B$2:$B$1000),0),0)),"")</f>
        <v>국내선 항공</v>
      </c>
      <c r="E497" s="5">
        <v>1</v>
      </c>
      <c r="F497" s="42" t="s">
        <v>120</v>
      </c>
      <c r="G497" s="8" t="s">
        <v>478</v>
      </c>
      <c r="H497" s="12"/>
      <c r="I497" s="5">
        <f t="shared" si="7"/>
        <v>3</v>
      </c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>
        <v>3</v>
      </c>
      <c r="U497" s="5"/>
      <c r="V497" s="6"/>
      <c r="W497" s="7">
        <v>1.4253000000000001E-4</v>
      </c>
      <c r="X497" s="7">
        <v>0.42719688206351702</v>
      </c>
      <c r="Y497" s="41" t="s">
        <v>116</v>
      </c>
    </row>
    <row r="498" spans="2:25" ht="17.100000000000001" customHeight="1">
      <c r="B498" s="5" t="s">
        <v>41</v>
      </c>
      <c r="C498" s="40" t="s">
        <v>307</v>
      </c>
      <c r="D498" s="5" t="str">
        <f>IFERROR(INDEX(회사별_교통수단매핑!$C$2:$C$1000,MATCH(1,INDEX(($C$14=회사별_교통수단매핑!$A$2:$A$1000)*($Y498=회사별_교통수단매핑!$B$2:$B$1000),0),0)),"")</f>
        <v>국내선 항공</v>
      </c>
      <c r="E498" s="5">
        <v>1</v>
      </c>
      <c r="F498" s="42" t="s">
        <v>120</v>
      </c>
      <c r="G498" s="8" t="s">
        <v>479</v>
      </c>
      <c r="H498" s="12"/>
      <c r="I498" s="5">
        <f t="shared" si="7"/>
        <v>5</v>
      </c>
      <c r="J498" s="5"/>
      <c r="K498" s="5"/>
      <c r="L498" s="5">
        <v>1</v>
      </c>
      <c r="M498" s="5"/>
      <c r="N498" s="5">
        <v>1</v>
      </c>
      <c r="O498" s="5">
        <v>3</v>
      </c>
      <c r="P498" s="5"/>
      <c r="Q498" s="5"/>
      <c r="R498" s="5"/>
      <c r="S498" s="5"/>
      <c r="T498" s="5"/>
      <c r="U498" s="5"/>
      <c r="V498" s="6"/>
      <c r="W498" s="7">
        <v>1.4253000000000001E-4</v>
      </c>
      <c r="X498" s="7">
        <v>0.56132021226206974</v>
      </c>
      <c r="Y498" s="41" t="s">
        <v>116</v>
      </c>
    </row>
    <row r="499" spans="2:25" ht="17.100000000000001" customHeight="1">
      <c r="B499" s="5" t="s">
        <v>41</v>
      </c>
      <c r="C499" s="40" t="s">
        <v>307</v>
      </c>
      <c r="D499" s="5" t="str">
        <f>IFERROR(INDEX(회사별_교통수단매핑!$C$2:$C$1000,MATCH(1,INDEX(($C$14=회사별_교통수단매핑!$A$2:$A$1000)*($Y499=회사별_교통수단매핑!$B$2:$B$1000),0),0)),"")</f>
        <v>국내선 항공</v>
      </c>
      <c r="E499" s="5">
        <v>1</v>
      </c>
      <c r="F499" s="42" t="s">
        <v>120</v>
      </c>
      <c r="G499" s="8" t="s">
        <v>480</v>
      </c>
      <c r="H499" s="12"/>
      <c r="I499" s="5">
        <f t="shared" si="7"/>
        <v>4</v>
      </c>
      <c r="J499" s="5"/>
      <c r="K499" s="5"/>
      <c r="L499" s="5"/>
      <c r="M499" s="5">
        <v>1</v>
      </c>
      <c r="N499" s="5"/>
      <c r="O499" s="5"/>
      <c r="P499" s="5"/>
      <c r="Q499" s="5">
        <v>1</v>
      </c>
      <c r="R499" s="5"/>
      <c r="S499" s="5">
        <v>1</v>
      </c>
      <c r="T499" s="5">
        <v>1</v>
      </c>
      <c r="U499" s="5"/>
      <c r="V499" s="6"/>
      <c r="W499" s="7">
        <v>1.4253000000000001E-4</v>
      </c>
      <c r="X499" s="7">
        <v>0.44905616980965579</v>
      </c>
      <c r="Y499" s="41" t="s">
        <v>116</v>
      </c>
    </row>
    <row r="500" spans="2:25" ht="17.100000000000001" customHeight="1">
      <c r="B500" s="5" t="s">
        <v>41</v>
      </c>
      <c r="C500" s="40" t="s">
        <v>307</v>
      </c>
      <c r="D500" s="5" t="str">
        <f>IFERROR(INDEX(회사별_교통수단매핑!$C$2:$C$1000,MATCH(1,INDEX(($C$14=회사별_교통수단매핑!$A$2:$A$1000)*($Y500=회사별_교통수단매핑!$B$2:$B$1000),0),0)),"")</f>
        <v>국내선 항공</v>
      </c>
      <c r="E500" s="5">
        <v>1</v>
      </c>
      <c r="F500" s="42" t="s">
        <v>120</v>
      </c>
      <c r="G500" s="8" t="s">
        <v>481</v>
      </c>
      <c r="H500" s="12"/>
      <c r="I500" s="5">
        <f t="shared" si="7"/>
        <v>1</v>
      </c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>
        <v>1</v>
      </c>
      <c r="V500" s="6"/>
      <c r="W500" s="7">
        <v>1.4253000000000001E-4</v>
      </c>
      <c r="X500" s="7">
        <v>0.11226404245241391</v>
      </c>
      <c r="Y500" s="41" t="s">
        <v>116</v>
      </c>
    </row>
    <row r="501" spans="2:25" ht="17.100000000000001" customHeight="1">
      <c r="B501" s="5" t="s">
        <v>41</v>
      </c>
      <c r="C501" s="40" t="s">
        <v>307</v>
      </c>
      <c r="D501" s="5" t="str">
        <f>IFERROR(INDEX(회사별_교통수단매핑!$C$2:$C$1000,MATCH(1,INDEX(($C$14=회사별_교통수단매핑!$A$2:$A$1000)*($Y501=회사별_교통수단매핑!$B$2:$B$1000),0),0)),"")</f>
        <v>국내선 항공</v>
      </c>
      <c r="E501" s="5">
        <v>1</v>
      </c>
      <c r="F501" s="42" t="s">
        <v>120</v>
      </c>
      <c r="G501" s="8" t="s">
        <v>482</v>
      </c>
      <c r="H501" s="12"/>
      <c r="I501" s="5">
        <f t="shared" si="7"/>
        <v>2</v>
      </c>
      <c r="J501" s="5"/>
      <c r="K501" s="5">
        <v>2</v>
      </c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6"/>
      <c r="W501" s="7">
        <v>1.4253000000000001E-4</v>
      </c>
      <c r="X501" s="7">
        <v>0.2245280849048279</v>
      </c>
      <c r="Y501" s="41" t="s">
        <v>116</v>
      </c>
    </row>
    <row r="502" spans="2:25" ht="17.100000000000001" customHeight="1">
      <c r="B502" s="5" t="s">
        <v>41</v>
      </c>
      <c r="C502" s="40" t="s">
        <v>307</v>
      </c>
      <c r="D502" s="5" t="str">
        <f>IFERROR(INDEX(회사별_교통수단매핑!$C$2:$C$1000,MATCH(1,INDEX(($C$14=회사별_교통수단매핑!$A$2:$A$1000)*($Y502=회사별_교통수단매핑!$B$2:$B$1000),0),0)),"")</f>
        <v>국내선 항공</v>
      </c>
      <c r="E502" s="5">
        <v>1</v>
      </c>
      <c r="F502" s="42" t="s">
        <v>120</v>
      </c>
      <c r="G502" s="8" t="s">
        <v>483</v>
      </c>
      <c r="H502" s="12"/>
      <c r="I502" s="5">
        <f t="shared" si="7"/>
        <v>2</v>
      </c>
      <c r="J502" s="5"/>
      <c r="K502" s="5"/>
      <c r="L502" s="5">
        <v>2</v>
      </c>
      <c r="M502" s="5"/>
      <c r="N502" s="5"/>
      <c r="O502" s="5"/>
      <c r="P502" s="5"/>
      <c r="Q502" s="5"/>
      <c r="R502" s="5"/>
      <c r="S502" s="5"/>
      <c r="T502" s="5"/>
      <c r="U502" s="5"/>
      <c r="V502" s="6"/>
      <c r="W502" s="7">
        <v>1.4253000000000001E-4</v>
      </c>
      <c r="X502" s="7">
        <v>0.2245280849048279</v>
      </c>
      <c r="Y502" s="41" t="s">
        <v>116</v>
      </c>
    </row>
    <row r="503" spans="2:25" ht="17.100000000000001" customHeight="1">
      <c r="B503" s="5" t="s">
        <v>41</v>
      </c>
      <c r="C503" s="40" t="s">
        <v>307</v>
      </c>
      <c r="D503" s="5" t="str">
        <f>IFERROR(INDEX(회사별_교통수단매핑!$C$2:$C$1000,MATCH(1,INDEX(($C$14=회사별_교통수단매핑!$A$2:$A$1000)*($Y503=회사별_교통수단매핑!$B$2:$B$1000),0),0)),"")</f>
        <v>국내선 항공</v>
      </c>
      <c r="E503" s="5">
        <v>1</v>
      </c>
      <c r="F503" s="42" t="s">
        <v>120</v>
      </c>
      <c r="G503" s="8" t="s">
        <v>484</v>
      </c>
      <c r="H503" s="12"/>
      <c r="I503" s="5">
        <f t="shared" si="7"/>
        <v>1</v>
      </c>
      <c r="J503" s="5"/>
      <c r="K503" s="5"/>
      <c r="L503" s="5"/>
      <c r="M503" s="5"/>
      <c r="N503" s="5"/>
      <c r="O503" s="5"/>
      <c r="P503" s="5">
        <v>1</v>
      </c>
      <c r="Q503" s="5"/>
      <c r="R503" s="5"/>
      <c r="S503" s="5"/>
      <c r="T503" s="5"/>
      <c r="U503" s="5"/>
      <c r="V503" s="6"/>
      <c r="W503" s="7">
        <v>1.4253000000000001E-4</v>
      </c>
      <c r="X503" s="7">
        <v>0.11226404245241391</v>
      </c>
      <c r="Y503" s="41" t="s">
        <v>116</v>
      </c>
    </row>
    <row r="504" spans="2:25" ht="17.100000000000001" customHeight="1">
      <c r="B504" s="5" t="s">
        <v>41</v>
      </c>
      <c r="C504" s="40" t="s">
        <v>307</v>
      </c>
      <c r="D504" s="5" t="str">
        <f>IFERROR(INDEX(회사별_교통수단매핑!$C$2:$C$1000,MATCH(1,INDEX(($C$14=회사별_교통수단매핑!$A$2:$A$1000)*($Y504=회사별_교통수단매핑!$B$2:$B$1000),0),0)),"")</f>
        <v>국내선 항공</v>
      </c>
      <c r="E504" s="5">
        <v>1</v>
      </c>
      <c r="F504" s="42" t="s">
        <v>120</v>
      </c>
      <c r="G504" s="8" t="s">
        <v>485</v>
      </c>
      <c r="H504" s="12"/>
      <c r="I504" s="5">
        <f t="shared" si="7"/>
        <v>1</v>
      </c>
      <c r="J504" s="5"/>
      <c r="K504" s="5"/>
      <c r="L504" s="5"/>
      <c r="M504" s="5">
        <v>1</v>
      </c>
      <c r="N504" s="5"/>
      <c r="O504" s="5"/>
      <c r="P504" s="5"/>
      <c r="Q504" s="5"/>
      <c r="R504" s="5"/>
      <c r="S504" s="5"/>
      <c r="T504" s="5"/>
      <c r="U504" s="5"/>
      <c r="V504" s="6"/>
      <c r="W504" s="7">
        <v>1.4253000000000001E-4</v>
      </c>
      <c r="X504" s="7">
        <v>0.11226404245241391</v>
      </c>
      <c r="Y504" s="41" t="s">
        <v>116</v>
      </c>
    </row>
    <row r="505" spans="2:25" ht="17.100000000000001" customHeight="1">
      <c r="B505" s="5" t="s">
        <v>41</v>
      </c>
      <c r="C505" s="40" t="s">
        <v>307</v>
      </c>
      <c r="D505" s="5" t="str">
        <f>IFERROR(INDEX(회사별_교통수단매핑!$C$2:$C$1000,MATCH(1,INDEX(($C$14=회사별_교통수단매핑!$A$2:$A$1000)*($Y505=회사별_교통수단매핑!$B$2:$B$1000),0),0)),"")</f>
        <v>국내선 항공</v>
      </c>
      <c r="E505" s="5">
        <v>1</v>
      </c>
      <c r="F505" s="42" t="s">
        <v>120</v>
      </c>
      <c r="G505" s="8" t="s">
        <v>486</v>
      </c>
      <c r="H505" s="12"/>
      <c r="I505" s="5">
        <f t="shared" si="7"/>
        <v>1</v>
      </c>
      <c r="J505" s="5"/>
      <c r="K505" s="5">
        <v>1</v>
      </c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6"/>
      <c r="W505" s="7">
        <v>1.4253000000000001E-4</v>
      </c>
      <c r="X505" s="7">
        <v>0.11226404245241391</v>
      </c>
      <c r="Y505" s="41" t="s">
        <v>116</v>
      </c>
    </row>
    <row r="506" spans="2:25" ht="17.100000000000001" customHeight="1">
      <c r="B506" s="5" t="s">
        <v>41</v>
      </c>
      <c r="C506" s="40" t="s">
        <v>307</v>
      </c>
      <c r="D506" s="5" t="str">
        <f>IFERROR(INDEX(회사별_교통수단매핑!$C$2:$C$1000,MATCH(1,INDEX(($C$14=회사별_교통수단매핑!$A$2:$A$1000)*($Y506=회사별_교통수단매핑!$B$2:$B$1000),0),0)),"")</f>
        <v>국내선 항공</v>
      </c>
      <c r="E506" s="5">
        <v>1</v>
      </c>
      <c r="F506" s="42" t="s">
        <v>120</v>
      </c>
      <c r="G506" s="8" t="s">
        <v>487</v>
      </c>
      <c r="H506" s="12"/>
      <c r="I506" s="5">
        <f t="shared" si="7"/>
        <v>1</v>
      </c>
      <c r="J506" s="5"/>
      <c r="K506" s="5"/>
      <c r="L506" s="5"/>
      <c r="M506" s="5"/>
      <c r="N506" s="5"/>
      <c r="O506" s="5"/>
      <c r="P506" s="5"/>
      <c r="Q506" s="5"/>
      <c r="R506" s="5"/>
      <c r="S506" s="5">
        <v>1</v>
      </c>
      <c r="T506" s="5"/>
      <c r="U506" s="5"/>
      <c r="V506" s="6"/>
      <c r="W506" s="7">
        <v>1.4253000000000001E-4</v>
      </c>
      <c r="X506" s="7">
        <v>0.11226404245241391</v>
      </c>
      <c r="Y506" s="41" t="s">
        <v>116</v>
      </c>
    </row>
    <row r="507" spans="2:25" ht="17.100000000000001" customHeight="1">
      <c r="B507" s="5" t="s">
        <v>41</v>
      </c>
      <c r="C507" s="40" t="s">
        <v>307</v>
      </c>
      <c r="D507" s="5" t="str">
        <f>IFERROR(INDEX(회사별_교통수단매핑!$C$2:$C$1000,MATCH(1,INDEX(($C$14=회사별_교통수단매핑!$A$2:$A$1000)*($Y507=회사별_교통수단매핑!$B$2:$B$1000),0),0)),"")</f>
        <v>국내선 항공</v>
      </c>
      <c r="E507" s="5">
        <v>1</v>
      </c>
      <c r="F507" s="42" t="s">
        <v>120</v>
      </c>
      <c r="G507" s="8" t="s">
        <v>488</v>
      </c>
      <c r="H507" s="12"/>
      <c r="I507" s="5">
        <f t="shared" si="7"/>
        <v>6</v>
      </c>
      <c r="J507" s="5"/>
      <c r="K507" s="5"/>
      <c r="L507" s="5"/>
      <c r="M507" s="5">
        <v>1</v>
      </c>
      <c r="N507" s="5"/>
      <c r="O507" s="5"/>
      <c r="P507" s="5">
        <v>2</v>
      </c>
      <c r="Q507" s="5">
        <v>1</v>
      </c>
      <c r="R507" s="5"/>
      <c r="S507" s="5"/>
      <c r="T507" s="5">
        <v>1</v>
      </c>
      <c r="U507" s="5">
        <v>1</v>
      </c>
      <c r="V507" s="6"/>
      <c r="W507" s="7">
        <v>1.4253000000000001E-4</v>
      </c>
      <c r="X507" s="7">
        <v>0.67358425471448369</v>
      </c>
      <c r="Y507" s="41" t="s">
        <v>116</v>
      </c>
    </row>
    <row r="508" spans="2:25" ht="17.100000000000001" customHeight="1">
      <c r="B508" s="5" t="s">
        <v>41</v>
      </c>
      <c r="C508" s="40" t="s">
        <v>307</v>
      </c>
      <c r="D508" s="5" t="str">
        <f>IFERROR(INDEX(회사별_교통수단매핑!$C$2:$C$1000,MATCH(1,INDEX(($C$14=회사별_교통수단매핑!$A$2:$A$1000)*($Y508=회사별_교통수단매핑!$B$2:$B$1000),0),0)),"")</f>
        <v>국내선 항공</v>
      </c>
      <c r="E508" s="5">
        <v>1</v>
      </c>
      <c r="F508" s="42" t="s">
        <v>120</v>
      </c>
      <c r="G508" s="8" t="s">
        <v>208</v>
      </c>
      <c r="H508" s="12"/>
      <c r="I508" s="5">
        <f t="shared" si="7"/>
        <v>24</v>
      </c>
      <c r="J508" s="5">
        <v>1</v>
      </c>
      <c r="K508" s="5">
        <v>2</v>
      </c>
      <c r="L508" s="5">
        <v>4</v>
      </c>
      <c r="M508" s="5">
        <v>5</v>
      </c>
      <c r="N508" s="5">
        <v>1</v>
      </c>
      <c r="O508" s="5">
        <v>5</v>
      </c>
      <c r="P508" s="5">
        <v>1</v>
      </c>
      <c r="Q508" s="5">
        <v>1</v>
      </c>
      <c r="R508" s="5"/>
      <c r="S508" s="5">
        <v>2</v>
      </c>
      <c r="T508" s="5">
        <v>2</v>
      </c>
      <c r="U508" s="5"/>
      <c r="V508" s="6"/>
      <c r="W508" s="7">
        <v>1.4253000000000001E-4</v>
      </c>
      <c r="X508" s="7">
        <v>2.6943370188579352</v>
      </c>
      <c r="Y508" s="41" t="s">
        <v>116</v>
      </c>
    </row>
    <row r="509" spans="2:25" ht="17.100000000000001" customHeight="1">
      <c r="B509" s="5" t="s">
        <v>41</v>
      </c>
      <c r="C509" s="40" t="s">
        <v>307</v>
      </c>
      <c r="D509" s="5" t="str">
        <f>IFERROR(INDEX(회사별_교통수단매핑!$C$2:$C$1000,MATCH(1,INDEX(($C$14=회사별_교통수단매핑!$A$2:$A$1000)*($Y509=회사별_교통수단매핑!$B$2:$B$1000),0),0)),"")</f>
        <v>국내선 항공</v>
      </c>
      <c r="E509" s="5">
        <v>1</v>
      </c>
      <c r="F509" s="42" t="s">
        <v>120</v>
      </c>
      <c r="G509" s="8" t="s">
        <v>489</v>
      </c>
      <c r="H509" s="12"/>
      <c r="I509" s="5">
        <f t="shared" si="7"/>
        <v>1</v>
      </c>
      <c r="J509" s="5"/>
      <c r="K509" s="5"/>
      <c r="L509" s="5"/>
      <c r="M509" s="5">
        <v>1</v>
      </c>
      <c r="N509" s="5"/>
      <c r="O509" s="5"/>
      <c r="P509" s="5"/>
      <c r="Q509" s="5"/>
      <c r="R509" s="5"/>
      <c r="S509" s="5"/>
      <c r="T509" s="5"/>
      <c r="U509" s="5"/>
      <c r="V509" s="6"/>
      <c r="W509" s="7">
        <v>1.4253000000000001E-4</v>
      </c>
      <c r="X509" s="7">
        <v>0.11226404245241391</v>
      </c>
      <c r="Y509" s="41" t="s">
        <v>116</v>
      </c>
    </row>
    <row r="510" spans="2:25" ht="17.100000000000001" customHeight="1">
      <c r="B510" s="5" t="s">
        <v>41</v>
      </c>
      <c r="C510" s="40" t="s">
        <v>307</v>
      </c>
      <c r="D510" s="5" t="str">
        <f>IFERROR(INDEX(회사별_교통수단매핑!$C$2:$C$1000,MATCH(1,INDEX(($C$14=회사별_교통수단매핑!$A$2:$A$1000)*($Y510=회사별_교통수단매핑!$B$2:$B$1000),0),0)),"")</f>
        <v>국내선 항공</v>
      </c>
      <c r="E510" s="5">
        <v>1</v>
      </c>
      <c r="F510" s="42" t="s">
        <v>120</v>
      </c>
      <c r="G510" s="8" t="s">
        <v>490</v>
      </c>
      <c r="H510" s="12"/>
      <c r="I510" s="5">
        <f t="shared" si="7"/>
        <v>5</v>
      </c>
      <c r="J510" s="5"/>
      <c r="K510" s="5">
        <v>3</v>
      </c>
      <c r="L510" s="5"/>
      <c r="M510" s="5">
        <v>1</v>
      </c>
      <c r="N510" s="5"/>
      <c r="O510" s="5"/>
      <c r="P510" s="5"/>
      <c r="Q510" s="5"/>
      <c r="R510" s="5"/>
      <c r="S510" s="5"/>
      <c r="T510" s="5"/>
      <c r="U510" s="5">
        <v>1</v>
      </c>
      <c r="V510" s="6"/>
      <c r="W510" s="7">
        <v>1.4253000000000001E-4</v>
      </c>
      <c r="X510" s="7">
        <v>0.56132021226206974</v>
      </c>
      <c r="Y510" s="41" t="s">
        <v>116</v>
      </c>
    </row>
    <row r="511" spans="2:25" ht="17.100000000000001" customHeight="1">
      <c r="B511" s="5" t="s">
        <v>41</v>
      </c>
      <c r="C511" s="40" t="s">
        <v>307</v>
      </c>
      <c r="D511" s="5" t="str">
        <f>IFERROR(INDEX(회사별_교통수단매핑!$C$2:$C$1000,MATCH(1,INDEX(($C$14=회사별_교통수단매핑!$A$2:$A$1000)*($Y511=회사별_교통수단매핑!$B$2:$B$1000),0),0)),"")</f>
        <v>국내선 항공</v>
      </c>
      <c r="E511" s="5">
        <v>1</v>
      </c>
      <c r="F511" s="42" t="s">
        <v>120</v>
      </c>
      <c r="G511" s="8" t="s">
        <v>491</v>
      </c>
      <c r="H511" s="12"/>
      <c r="I511" s="5">
        <f t="shared" si="7"/>
        <v>1</v>
      </c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>
        <v>1</v>
      </c>
      <c r="U511" s="5"/>
      <c r="V511" s="6"/>
      <c r="W511" s="7">
        <v>1.4253000000000001E-4</v>
      </c>
      <c r="X511" s="7">
        <v>0.11226404245241391</v>
      </c>
      <c r="Y511" s="41" t="s">
        <v>116</v>
      </c>
    </row>
    <row r="512" spans="2:25" ht="17.100000000000001" customHeight="1">
      <c r="B512" s="5" t="s">
        <v>41</v>
      </c>
      <c r="C512" s="40" t="s">
        <v>307</v>
      </c>
      <c r="D512" s="5" t="str">
        <f>IFERROR(INDEX(회사별_교통수단매핑!$C$2:$C$1000,MATCH(1,INDEX(($C$14=회사별_교통수단매핑!$A$2:$A$1000)*($Y512=회사별_교통수단매핑!$B$2:$B$1000),0),0)),"")</f>
        <v>국내선 항공</v>
      </c>
      <c r="E512" s="5">
        <v>1</v>
      </c>
      <c r="F512" s="42" t="s">
        <v>120</v>
      </c>
      <c r="G512" s="8" t="s">
        <v>492</v>
      </c>
      <c r="H512" s="12"/>
      <c r="I512" s="5">
        <f t="shared" si="7"/>
        <v>2</v>
      </c>
      <c r="J512" s="5"/>
      <c r="K512" s="5"/>
      <c r="L512" s="5"/>
      <c r="M512" s="5"/>
      <c r="N512" s="5"/>
      <c r="O512" s="5"/>
      <c r="P512" s="5">
        <v>2</v>
      </c>
      <c r="Q512" s="5"/>
      <c r="R512" s="5"/>
      <c r="S512" s="5"/>
      <c r="T512" s="5"/>
      <c r="U512" s="5"/>
      <c r="V512" s="6"/>
      <c r="W512" s="7">
        <v>1.4253000000000001E-4</v>
      </c>
      <c r="X512" s="7">
        <v>0.2245280849048279</v>
      </c>
      <c r="Y512" s="41" t="s">
        <v>116</v>
      </c>
    </row>
    <row r="513" spans="2:25" ht="17.100000000000001" customHeight="1">
      <c r="B513" s="5" t="s">
        <v>41</v>
      </c>
      <c r="C513" s="40" t="s">
        <v>307</v>
      </c>
      <c r="D513" s="5" t="str">
        <f>IFERROR(INDEX(회사별_교통수단매핑!$C$2:$C$1000,MATCH(1,INDEX(($C$14=회사별_교통수단매핑!$A$2:$A$1000)*($Y513=회사별_교통수단매핑!$B$2:$B$1000),0),0)),"")</f>
        <v>국내선 항공</v>
      </c>
      <c r="E513" s="5">
        <v>1</v>
      </c>
      <c r="F513" s="42" t="s">
        <v>120</v>
      </c>
      <c r="G513" s="8" t="s">
        <v>493</v>
      </c>
      <c r="H513" s="12"/>
      <c r="I513" s="5">
        <f t="shared" si="7"/>
        <v>2</v>
      </c>
      <c r="J513" s="5"/>
      <c r="K513" s="5"/>
      <c r="L513" s="5"/>
      <c r="M513" s="5"/>
      <c r="N513" s="5"/>
      <c r="O513" s="5"/>
      <c r="P513" s="5"/>
      <c r="Q513" s="5"/>
      <c r="R513" s="5"/>
      <c r="S513" s="5">
        <v>2</v>
      </c>
      <c r="T513" s="5"/>
      <c r="U513" s="5"/>
      <c r="V513" s="6"/>
      <c r="W513" s="7">
        <v>1.4253000000000001E-4</v>
      </c>
      <c r="X513" s="7">
        <v>0.2245280849048279</v>
      </c>
      <c r="Y513" s="41" t="s">
        <v>116</v>
      </c>
    </row>
    <row r="514" spans="2:25" ht="17.100000000000001" customHeight="1">
      <c r="B514" s="5" t="s">
        <v>41</v>
      </c>
      <c r="C514" s="40" t="s">
        <v>307</v>
      </c>
      <c r="D514" s="5" t="str">
        <f>IFERROR(INDEX(회사별_교통수단매핑!$C$2:$C$1000,MATCH(1,INDEX(($C$14=회사별_교통수단매핑!$A$2:$A$1000)*($Y514=회사별_교통수단매핑!$B$2:$B$1000),0),0)),"")</f>
        <v>국내선 항공</v>
      </c>
      <c r="E514" s="5">
        <v>1</v>
      </c>
      <c r="F514" s="42" t="s">
        <v>120</v>
      </c>
      <c r="G514" s="8" t="s">
        <v>196</v>
      </c>
      <c r="H514" s="12"/>
      <c r="I514" s="5">
        <f t="shared" si="7"/>
        <v>5</v>
      </c>
      <c r="J514" s="5">
        <v>1</v>
      </c>
      <c r="K514" s="5"/>
      <c r="L514" s="5"/>
      <c r="M514" s="5"/>
      <c r="N514" s="5"/>
      <c r="O514" s="5"/>
      <c r="P514" s="5">
        <v>1</v>
      </c>
      <c r="Q514" s="5"/>
      <c r="R514" s="5">
        <v>1</v>
      </c>
      <c r="S514" s="5">
        <v>1</v>
      </c>
      <c r="T514" s="5">
        <v>1</v>
      </c>
      <c r="U514" s="5"/>
      <c r="V514" s="6"/>
      <c r="W514" s="7">
        <v>1.4253000000000001E-4</v>
      </c>
      <c r="X514" s="7">
        <v>0.56132021226206974</v>
      </c>
      <c r="Y514" s="41" t="s">
        <v>116</v>
      </c>
    </row>
    <row r="515" spans="2:25" ht="17.100000000000001" customHeight="1">
      <c r="B515" s="5" t="s">
        <v>41</v>
      </c>
      <c r="C515" s="40" t="s">
        <v>307</v>
      </c>
      <c r="D515" s="5" t="str">
        <f>IFERROR(INDEX(회사별_교통수단매핑!$C$2:$C$1000,MATCH(1,INDEX(($C$14=회사별_교통수단매핑!$A$2:$A$1000)*($Y515=회사별_교통수단매핑!$B$2:$B$1000),0),0)),"")</f>
        <v>국내선 항공</v>
      </c>
      <c r="E515" s="5">
        <v>1</v>
      </c>
      <c r="F515" s="42" t="s">
        <v>120</v>
      </c>
      <c r="G515" s="8" t="s">
        <v>278</v>
      </c>
      <c r="H515" s="12"/>
      <c r="I515" s="5">
        <f t="shared" si="7"/>
        <v>29</v>
      </c>
      <c r="J515" s="5">
        <v>2</v>
      </c>
      <c r="K515" s="5">
        <v>4</v>
      </c>
      <c r="L515" s="5"/>
      <c r="M515" s="5">
        <v>5</v>
      </c>
      <c r="N515" s="5">
        <v>2</v>
      </c>
      <c r="O515" s="5">
        <v>3</v>
      </c>
      <c r="P515" s="5">
        <v>10</v>
      </c>
      <c r="Q515" s="5"/>
      <c r="R515" s="5"/>
      <c r="S515" s="5"/>
      <c r="T515" s="5">
        <v>3</v>
      </c>
      <c r="U515" s="5"/>
      <c r="V515" s="6"/>
      <c r="W515" s="7">
        <v>1.4253000000000001E-4</v>
      </c>
      <c r="X515" s="7">
        <v>3.2556572311200038</v>
      </c>
      <c r="Y515" s="41" t="s">
        <v>116</v>
      </c>
    </row>
    <row r="516" spans="2:25" ht="17.100000000000001" customHeight="1">
      <c r="B516" s="5" t="s">
        <v>41</v>
      </c>
      <c r="C516" s="40" t="s">
        <v>307</v>
      </c>
      <c r="D516" s="5" t="str">
        <f>IFERROR(INDEX(회사별_교통수단매핑!$C$2:$C$1000,MATCH(1,INDEX(($C$14=회사별_교통수단매핑!$A$2:$A$1000)*($Y516=회사별_교통수단매핑!$B$2:$B$1000),0),0)),"")</f>
        <v>국내선 항공</v>
      </c>
      <c r="E516" s="5">
        <v>1</v>
      </c>
      <c r="F516" s="42" t="s">
        <v>120</v>
      </c>
      <c r="G516" s="8" t="s">
        <v>494</v>
      </c>
      <c r="H516" s="12"/>
      <c r="I516" s="5">
        <f t="shared" si="7"/>
        <v>6</v>
      </c>
      <c r="J516" s="5"/>
      <c r="K516" s="5"/>
      <c r="L516" s="5"/>
      <c r="M516" s="5"/>
      <c r="N516" s="5"/>
      <c r="O516" s="5">
        <v>2</v>
      </c>
      <c r="P516" s="5"/>
      <c r="Q516" s="5"/>
      <c r="R516" s="5"/>
      <c r="S516" s="5"/>
      <c r="T516" s="5">
        <v>1</v>
      </c>
      <c r="U516" s="5">
        <v>3</v>
      </c>
      <c r="V516" s="6"/>
      <c r="W516" s="7">
        <v>1.4253000000000001E-4</v>
      </c>
      <c r="X516" s="7">
        <v>0.67358425471448369</v>
      </c>
      <c r="Y516" s="41" t="s">
        <v>116</v>
      </c>
    </row>
    <row r="517" spans="2:25" ht="17.100000000000001" customHeight="1">
      <c r="B517" s="5" t="s">
        <v>41</v>
      </c>
      <c r="C517" s="40" t="s">
        <v>307</v>
      </c>
      <c r="D517" s="5" t="str">
        <f>IFERROR(INDEX(회사별_교통수단매핑!$C$2:$C$1000,MATCH(1,INDEX(($C$14=회사별_교통수단매핑!$A$2:$A$1000)*($Y517=회사별_교통수단매핑!$B$2:$B$1000),0),0)),"")</f>
        <v>국내선 항공</v>
      </c>
      <c r="E517" s="5">
        <v>1</v>
      </c>
      <c r="F517" s="42" t="s">
        <v>120</v>
      </c>
      <c r="G517" s="8" t="s">
        <v>279</v>
      </c>
      <c r="H517" s="12"/>
      <c r="I517" s="5">
        <f t="shared" si="7"/>
        <v>5</v>
      </c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>
        <v>3</v>
      </c>
      <c r="U517" s="5">
        <v>2</v>
      </c>
      <c r="V517" s="6"/>
      <c r="W517" s="7">
        <v>1.4253000000000001E-4</v>
      </c>
      <c r="X517" s="7">
        <v>0.56132021226206974</v>
      </c>
      <c r="Y517" s="41" t="s">
        <v>116</v>
      </c>
    </row>
    <row r="518" spans="2:25" ht="17.100000000000001" customHeight="1">
      <c r="B518" s="5" t="s">
        <v>41</v>
      </c>
      <c r="C518" s="40" t="s">
        <v>307</v>
      </c>
      <c r="D518" s="5" t="str">
        <f>IFERROR(INDEX(회사별_교통수단매핑!$C$2:$C$1000,MATCH(1,INDEX(($C$14=회사별_교통수단매핑!$A$2:$A$1000)*($Y518=회사별_교통수단매핑!$B$2:$B$1000),0),0)),"")</f>
        <v>국내선 항공</v>
      </c>
      <c r="E518" s="5">
        <v>1</v>
      </c>
      <c r="F518" s="42" t="s">
        <v>120</v>
      </c>
      <c r="G518" s="8" t="s">
        <v>280</v>
      </c>
      <c r="H518" s="12"/>
      <c r="I518" s="5">
        <f t="shared" si="7"/>
        <v>1</v>
      </c>
      <c r="J518" s="5"/>
      <c r="K518" s="5"/>
      <c r="L518" s="5"/>
      <c r="M518" s="5"/>
      <c r="N518" s="5"/>
      <c r="O518" s="5"/>
      <c r="P518" s="5"/>
      <c r="Q518" s="5"/>
      <c r="R518" s="5">
        <v>1</v>
      </c>
      <c r="S518" s="5"/>
      <c r="T518" s="5"/>
      <c r="U518" s="5"/>
      <c r="V518" s="6"/>
      <c r="W518" s="7">
        <v>1.4253000000000001E-4</v>
      </c>
      <c r="X518" s="7">
        <v>0.11226404245241391</v>
      </c>
      <c r="Y518" s="41" t="s">
        <v>116</v>
      </c>
    </row>
    <row r="519" spans="2:25" ht="17.100000000000001" customHeight="1">
      <c r="B519" s="5" t="s">
        <v>41</v>
      </c>
      <c r="C519" s="40" t="s">
        <v>307</v>
      </c>
      <c r="D519" s="5" t="str">
        <f>IFERROR(INDEX(회사별_교통수단매핑!$C$2:$C$1000,MATCH(1,INDEX(($C$14=회사별_교통수단매핑!$A$2:$A$1000)*($Y519=회사별_교통수단매핑!$B$2:$B$1000),0),0)),"")</f>
        <v>국내선 항공</v>
      </c>
      <c r="E519" s="5">
        <v>1</v>
      </c>
      <c r="F519" s="42" t="s">
        <v>120</v>
      </c>
      <c r="G519" s="8" t="s">
        <v>495</v>
      </c>
      <c r="H519" s="12"/>
      <c r="I519" s="5">
        <f t="shared" si="7"/>
        <v>4</v>
      </c>
      <c r="J519" s="5"/>
      <c r="K519" s="5"/>
      <c r="L519" s="5"/>
      <c r="M519" s="5"/>
      <c r="N519" s="5"/>
      <c r="O519" s="5"/>
      <c r="P519" s="5"/>
      <c r="Q519" s="5">
        <v>2</v>
      </c>
      <c r="R519" s="5"/>
      <c r="S519" s="5">
        <v>2</v>
      </c>
      <c r="T519" s="5"/>
      <c r="U519" s="5"/>
      <c r="V519" s="6"/>
      <c r="W519" s="7">
        <v>1.4253000000000001E-4</v>
      </c>
      <c r="X519" s="7">
        <v>0.44905616980965579</v>
      </c>
      <c r="Y519" s="41" t="s">
        <v>116</v>
      </c>
    </row>
    <row r="520" spans="2:25" ht="17.100000000000001" customHeight="1">
      <c r="B520" s="5" t="s">
        <v>41</v>
      </c>
      <c r="C520" s="40" t="s">
        <v>307</v>
      </c>
      <c r="D520" s="5" t="str">
        <f>IFERROR(INDEX(회사별_교통수단매핑!$C$2:$C$1000,MATCH(1,INDEX(($C$14=회사별_교통수단매핑!$A$2:$A$1000)*($Y520=회사별_교통수단매핑!$B$2:$B$1000),0),0)),"")</f>
        <v>국내선 항공</v>
      </c>
      <c r="E520" s="5">
        <v>1</v>
      </c>
      <c r="F520" s="42" t="s">
        <v>120</v>
      </c>
      <c r="G520" s="8" t="s">
        <v>198</v>
      </c>
      <c r="H520" s="12"/>
      <c r="I520" s="5">
        <f t="shared" si="7"/>
        <v>12</v>
      </c>
      <c r="J520" s="5">
        <v>2</v>
      </c>
      <c r="K520" s="5"/>
      <c r="L520" s="5"/>
      <c r="M520" s="5">
        <v>7</v>
      </c>
      <c r="N520" s="5"/>
      <c r="O520" s="5"/>
      <c r="P520" s="5">
        <v>2</v>
      </c>
      <c r="Q520" s="5"/>
      <c r="R520" s="5"/>
      <c r="S520" s="5"/>
      <c r="T520" s="5">
        <v>1</v>
      </c>
      <c r="U520" s="5"/>
      <c r="V520" s="6"/>
      <c r="W520" s="7">
        <v>1.4253000000000001E-4</v>
      </c>
      <c r="X520" s="7">
        <v>1.3471685094289669</v>
      </c>
      <c r="Y520" s="41" t="s">
        <v>116</v>
      </c>
    </row>
    <row r="521" spans="2:25" ht="17.100000000000001" customHeight="1">
      <c r="B521" s="5" t="s">
        <v>41</v>
      </c>
      <c r="C521" s="40" t="s">
        <v>307</v>
      </c>
      <c r="D521" s="5" t="str">
        <f>IFERROR(INDEX(회사별_교통수단매핑!$C$2:$C$1000,MATCH(1,INDEX(($C$14=회사별_교통수단매핑!$A$2:$A$1000)*($Y521=회사별_교통수단매핑!$B$2:$B$1000),0),0)),"")</f>
        <v>국내선 항공</v>
      </c>
      <c r="E521" s="5">
        <v>1</v>
      </c>
      <c r="F521" s="42" t="s">
        <v>120</v>
      </c>
      <c r="G521" s="8" t="s">
        <v>496</v>
      </c>
      <c r="H521" s="12"/>
      <c r="I521" s="5">
        <f t="shared" si="7"/>
        <v>2</v>
      </c>
      <c r="J521" s="5"/>
      <c r="K521" s="5">
        <v>1</v>
      </c>
      <c r="L521" s="5"/>
      <c r="M521" s="5"/>
      <c r="N521" s="5"/>
      <c r="O521" s="5">
        <v>1</v>
      </c>
      <c r="P521" s="5"/>
      <c r="Q521" s="5"/>
      <c r="R521" s="5"/>
      <c r="S521" s="5"/>
      <c r="T521" s="5"/>
      <c r="U521" s="5"/>
      <c r="V521" s="6"/>
      <c r="W521" s="7">
        <v>1.4253000000000001E-4</v>
      </c>
      <c r="X521" s="7">
        <v>0.2245280849048279</v>
      </c>
      <c r="Y521" s="41" t="s">
        <v>116</v>
      </c>
    </row>
    <row r="522" spans="2:25" ht="17.100000000000001" customHeight="1">
      <c r="B522" s="5" t="s">
        <v>41</v>
      </c>
      <c r="C522" s="40" t="s">
        <v>307</v>
      </c>
      <c r="D522" s="5" t="str">
        <f>IFERROR(INDEX(회사별_교통수단매핑!$C$2:$C$1000,MATCH(1,INDEX(($C$14=회사별_교통수단매핑!$A$2:$A$1000)*($Y522=회사별_교통수단매핑!$B$2:$B$1000),0),0)),"")</f>
        <v>국내선 항공</v>
      </c>
      <c r="E522" s="5">
        <v>1</v>
      </c>
      <c r="F522" s="42" t="s">
        <v>120</v>
      </c>
      <c r="G522" s="8" t="s">
        <v>497</v>
      </c>
      <c r="H522" s="12"/>
      <c r="I522" s="5">
        <f t="shared" si="7"/>
        <v>13</v>
      </c>
      <c r="J522" s="5"/>
      <c r="K522" s="5"/>
      <c r="L522" s="5"/>
      <c r="M522" s="5"/>
      <c r="N522" s="5">
        <v>5</v>
      </c>
      <c r="O522" s="5">
        <v>1</v>
      </c>
      <c r="P522" s="5">
        <v>3</v>
      </c>
      <c r="Q522" s="5">
        <v>2</v>
      </c>
      <c r="R522" s="5">
        <v>1</v>
      </c>
      <c r="S522" s="5"/>
      <c r="T522" s="5">
        <v>1</v>
      </c>
      <c r="U522" s="5"/>
      <c r="V522" s="6"/>
      <c r="W522" s="7">
        <v>1.4253000000000001E-4</v>
      </c>
      <c r="X522" s="7">
        <v>1.4594325518813811</v>
      </c>
      <c r="Y522" s="41" t="s">
        <v>116</v>
      </c>
    </row>
    <row r="523" spans="2:25" ht="17.100000000000001" customHeight="1">
      <c r="B523" s="5" t="s">
        <v>41</v>
      </c>
      <c r="C523" s="40" t="s">
        <v>307</v>
      </c>
      <c r="D523" s="5" t="str">
        <f>IFERROR(INDEX(회사별_교통수단매핑!$C$2:$C$1000,MATCH(1,INDEX(($C$14=회사별_교통수단매핑!$A$2:$A$1000)*($Y523=회사별_교통수단매핑!$B$2:$B$1000),0),0)),"")</f>
        <v>국내선 항공</v>
      </c>
      <c r="E523" s="5">
        <v>1</v>
      </c>
      <c r="F523" s="42" t="s">
        <v>120</v>
      </c>
      <c r="G523" s="8" t="s">
        <v>498</v>
      </c>
      <c r="H523" s="12"/>
      <c r="I523" s="5">
        <f t="shared" si="7"/>
        <v>6</v>
      </c>
      <c r="J523" s="5"/>
      <c r="K523" s="5"/>
      <c r="L523" s="5"/>
      <c r="M523" s="5"/>
      <c r="N523" s="5"/>
      <c r="O523" s="5"/>
      <c r="P523" s="5"/>
      <c r="Q523" s="5">
        <v>2</v>
      </c>
      <c r="R523" s="5"/>
      <c r="S523" s="5"/>
      <c r="T523" s="5">
        <v>4</v>
      </c>
      <c r="U523" s="5"/>
      <c r="V523" s="6"/>
      <c r="W523" s="7">
        <v>1.4253000000000001E-4</v>
      </c>
      <c r="X523" s="7">
        <v>0.67358425471448369</v>
      </c>
      <c r="Y523" s="41" t="s">
        <v>116</v>
      </c>
    </row>
    <row r="524" spans="2:25" ht="17.100000000000001" customHeight="1">
      <c r="B524" s="5" t="s">
        <v>41</v>
      </c>
      <c r="C524" s="40" t="s">
        <v>307</v>
      </c>
      <c r="D524" s="5" t="str">
        <f>IFERROR(INDEX(회사별_교통수단매핑!$C$2:$C$1000,MATCH(1,INDEX(($C$14=회사별_교통수단매핑!$A$2:$A$1000)*($Y524=회사별_교통수단매핑!$B$2:$B$1000),0),0)),"")</f>
        <v>국내선 항공</v>
      </c>
      <c r="E524" s="5">
        <v>1</v>
      </c>
      <c r="F524" s="42" t="s">
        <v>120</v>
      </c>
      <c r="G524" s="8" t="s">
        <v>499</v>
      </c>
      <c r="H524" s="12"/>
      <c r="I524" s="5">
        <f t="shared" si="7"/>
        <v>5</v>
      </c>
      <c r="J524" s="5"/>
      <c r="K524" s="5">
        <v>1</v>
      </c>
      <c r="L524" s="5">
        <v>1</v>
      </c>
      <c r="M524" s="5">
        <v>3</v>
      </c>
      <c r="N524" s="5"/>
      <c r="O524" s="5"/>
      <c r="P524" s="5"/>
      <c r="Q524" s="5"/>
      <c r="R524" s="5"/>
      <c r="S524" s="5"/>
      <c r="T524" s="5"/>
      <c r="U524" s="5"/>
      <c r="V524" s="6"/>
      <c r="W524" s="7">
        <v>1.4253000000000001E-4</v>
      </c>
      <c r="X524" s="7">
        <v>0.56132021226206974</v>
      </c>
      <c r="Y524" s="41" t="s">
        <v>116</v>
      </c>
    </row>
    <row r="525" spans="2:25" ht="17.100000000000001" customHeight="1">
      <c r="B525" s="5" t="s">
        <v>41</v>
      </c>
      <c r="C525" s="40" t="s">
        <v>307</v>
      </c>
      <c r="D525" s="5" t="str">
        <f>IFERROR(INDEX(회사별_교통수단매핑!$C$2:$C$1000,MATCH(1,INDEX(($C$14=회사별_교통수단매핑!$A$2:$A$1000)*($Y525=회사별_교통수단매핑!$B$2:$B$1000),0),0)),"")</f>
        <v>국내선 항공</v>
      </c>
      <c r="E525" s="5">
        <v>1</v>
      </c>
      <c r="F525" s="42" t="s">
        <v>120</v>
      </c>
      <c r="G525" s="8" t="s">
        <v>199</v>
      </c>
      <c r="H525" s="12"/>
      <c r="I525" s="5">
        <f t="shared" si="7"/>
        <v>11</v>
      </c>
      <c r="J525" s="5">
        <v>1</v>
      </c>
      <c r="K525" s="5"/>
      <c r="L525" s="5"/>
      <c r="M525" s="5"/>
      <c r="N525" s="5"/>
      <c r="O525" s="5"/>
      <c r="P525" s="5"/>
      <c r="Q525" s="5"/>
      <c r="R525" s="5">
        <v>10</v>
      </c>
      <c r="S525" s="5"/>
      <c r="T525" s="5"/>
      <c r="U525" s="5"/>
      <c r="V525" s="6"/>
      <c r="W525" s="7">
        <v>1.4253000000000001E-4</v>
      </c>
      <c r="X525" s="7">
        <v>1.234904466976553</v>
      </c>
      <c r="Y525" s="41" t="s">
        <v>116</v>
      </c>
    </row>
    <row r="526" spans="2:25" ht="17.100000000000001" customHeight="1">
      <c r="B526" s="5" t="s">
        <v>41</v>
      </c>
      <c r="C526" s="40" t="s">
        <v>307</v>
      </c>
      <c r="D526" s="5" t="str">
        <f>IFERROR(INDEX(회사별_교통수단매핑!$C$2:$C$1000,MATCH(1,INDEX(($C$14=회사별_교통수단매핑!$A$2:$A$1000)*($Y526=회사별_교통수단매핑!$B$2:$B$1000),0),0)),"")</f>
        <v>국내선 항공</v>
      </c>
      <c r="E526" s="5">
        <v>1</v>
      </c>
      <c r="F526" s="42" t="s">
        <v>120</v>
      </c>
      <c r="G526" s="8" t="s">
        <v>200</v>
      </c>
      <c r="H526" s="12"/>
      <c r="I526" s="5">
        <f t="shared" si="7"/>
        <v>14</v>
      </c>
      <c r="J526" s="5"/>
      <c r="K526" s="5"/>
      <c r="L526" s="5"/>
      <c r="M526" s="5">
        <v>5</v>
      </c>
      <c r="N526" s="5"/>
      <c r="O526" s="5"/>
      <c r="P526" s="5"/>
      <c r="Q526" s="5">
        <v>4</v>
      </c>
      <c r="R526" s="5">
        <v>1</v>
      </c>
      <c r="S526" s="5"/>
      <c r="T526" s="5">
        <v>4</v>
      </c>
      <c r="U526" s="5"/>
      <c r="V526" s="6"/>
      <c r="W526" s="7">
        <v>1.4253000000000001E-4</v>
      </c>
      <c r="X526" s="7">
        <v>1.571696594333795</v>
      </c>
      <c r="Y526" s="41" t="s">
        <v>116</v>
      </c>
    </row>
    <row r="527" spans="2:25" ht="17.100000000000001" customHeight="1">
      <c r="B527" s="5" t="s">
        <v>41</v>
      </c>
      <c r="C527" s="40" t="s">
        <v>307</v>
      </c>
      <c r="D527" s="5" t="str">
        <f>IFERROR(INDEX(회사별_교통수단매핑!$C$2:$C$1000,MATCH(1,INDEX(($C$14=회사별_교통수단매핑!$A$2:$A$1000)*($Y527=회사별_교통수단매핑!$B$2:$B$1000),0),0)),"")</f>
        <v>국내선 항공</v>
      </c>
      <c r="E527" s="5">
        <v>1</v>
      </c>
      <c r="F527" s="42" t="s">
        <v>120</v>
      </c>
      <c r="G527" s="8" t="s">
        <v>500</v>
      </c>
      <c r="H527" s="12"/>
      <c r="I527" s="5">
        <f t="shared" si="7"/>
        <v>3</v>
      </c>
      <c r="J527" s="5"/>
      <c r="K527" s="5"/>
      <c r="L527" s="5">
        <v>3</v>
      </c>
      <c r="M527" s="5"/>
      <c r="N527" s="5"/>
      <c r="O527" s="5"/>
      <c r="P527" s="5"/>
      <c r="Q527" s="5"/>
      <c r="R527" s="5"/>
      <c r="S527" s="5"/>
      <c r="T527" s="5"/>
      <c r="U527" s="5"/>
      <c r="V527" s="6"/>
      <c r="W527" s="7">
        <v>1.4253000000000001E-4</v>
      </c>
      <c r="X527" s="7">
        <v>0.32080436611200469</v>
      </c>
      <c r="Y527" s="41" t="s">
        <v>116</v>
      </c>
    </row>
    <row r="528" spans="2:25" ht="17.100000000000001" customHeight="1">
      <c r="B528" s="5" t="s">
        <v>41</v>
      </c>
      <c r="C528" s="40" t="s">
        <v>307</v>
      </c>
      <c r="D528" s="5" t="str">
        <f>IFERROR(INDEX(회사별_교통수단매핑!$C$2:$C$1000,MATCH(1,INDEX(($C$14=회사별_교통수단매핑!$A$2:$A$1000)*($Y528=회사별_교통수단매핑!$B$2:$B$1000),0),0)),"")</f>
        <v>국내선 항공</v>
      </c>
      <c r="E528" s="5">
        <v>1</v>
      </c>
      <c r="F528" s="42" t="s">
        <v>120</v>
      </c>
      <c r="G528" s="8" t="s">
        <v>501</v>
      </c>
      <c r="H528" s="12"/>
      <c r="I528" s="5">
        <f t="shared" si="7"/>
        <v>5</v>
      </c>
      <c r="J528" s="5"/>
      <c r="K528" s="5"/>
      <c r="L528" s="5"/>
      <c r="M528" s="5">
        <v>5</v>
      </c>
      <c r="N528" s="5"/>
      <c r="O528" s="5"/>
      <c r="P528" s="5"/>
      <c r="Q528" s="5"/>
      <c r="R528" s="5"/>
      <c r="S528" s="5"/>
      <c r="T528" s="5"/>
      <c r="U528" s="5"/>
      <c r="V528" s="6"/>
      <c r="W528" s="7">
        <v>1.4253000000000001E-4</v>
      </c>
      <c r="X528" s="7">
        <v>0.53467394352000797</v>
      </c>
      <c r="Y528" s="41" t="s">
        <v>116</v>
      </c>
    </row>
    <row r="529" spans="2:25" ht="17.100000000000001" customHeight="1">
      <c r="B529" s="5" t="s">
        <v>41</v>
      </c>
      <c r="C529" s="40" t="s">
        <v>307</v>
      </c>
      <c r="D529" s="5" t="str">
        <f>IFERROR(INDEX(회사별_교통수단매핑!$C$2:$C$1000,MATCH(1,INDEX(($C$14=회사별_교통수단매핑!$A$2:$A$1000)*($Y529=회사별_교통수단매핑!$B$2:$B$1000),0),0)),"")</f>
        <v>국내선 항공</v>
      </c>
      <c r="E529" s="5">
        <v>1</v>
      </c>
      <c r="F529" s="42" t="s">
        <v>120</v>
      </c>
      <c r="G529" s="8" t="s">
        <v>502</v>
      </c>
      <c r="H529" s="12"/>
      <c r="I529" s="5">
        <f t="shared" si="7"/>
        <v>1</v>
      </c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>
        <v>1</v>
      </c>
      <c r="U529" s="5"/>
      <c r="V529" s="6"/>
      <c r="W529" s="7">
        <v>1.4253000000000001E-4</v>
      </c>
      <c r="X529" s="7">
        <v>0.1069347887040016</v>
      </c>
      <c r="Y529" s="41" t="s">
        <v>116</v>
      </c>
    </row>
    <row r="530" spans="2:25" ht="17.100000000000001" customHeight="1">
      <c r="B530" s="5" t="s">
        <v>41</v>
      </c>
      <c r="C530" s="40" t="s">
        <v>307</v>
      </c>
      <c r="D530" s="5" t="str">
        <f>IFERROR(INDEX(회사별_교통수단매핑!$C$2:$C$1000,MATCH(1,INDEX(($C$14=회사별_교통수단매핑!$A$2:$A$1000)*($Y530=회사별_교통수단매핑!$B$2:$B$1000),0),0)),"")</f>
        <v>국내선 항공</v>
      </c>
      <c r="E530" s="5">
        <v>1</v>
      </c>
      <c r="F530" s="42" t="s">
        <v>120</v>
      </c>
      <c r="G530" s="8" t="s">
        <v>503</v>
      </c>
      <c r="H530" s="12"/>
      <c r="I530" s="5">
        <f t="shared" si="7"/>
        <v>1</v>
      </c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>
        <v>1</v>
      </c>
      <c r="V530" s="6"/>
      <c r="W530" s="7">
        <v>1.4253000000000001E-4</v>
      </c>
      <c r="X530" s="7">
        <v>0.1069347887040016</v>
      </c>
      <c r="Y530" s="41" t="s">
        <v>116</v>
      </c>
    </row>
    <row r="531" spans="2:25" ht="17.100000000000001" customHeight="1">
      <c r="B531" s="5" t="s">
        <v>41</v>
      </c>
      <c r="C531" s="40" t="s">
        <v>307</v>
      </c>
      <c r="D531" s="5" t="str">
        <f>IFERROR(INDEX(회사별_교통수단매핑!$C$2:$C$1000,MATCH(1,INDEX(($C$14=회사별_교통수단매핑!$A$2:$A$1000)*($Y531=회사별_교통수단매핑!$B$2:$B$1000),0),0)),"")</f>
        <v>국내선 항공</v>
      </c>
      <c r="E531" s="5">
        <v>1</v>
      </c>
      <c r="F531" s="42" t="s">
        <v>120</v>
      </c>
      <c r="G531" s="8" t="s">
        <v>169</v>
      </c>
      <c r="H531" s="12"/>
      <c r="I531" s="5">
        <f t="shared" si="7"/>
        <v>4</v>
      </c>
      <c r="J531" s="5"/>
      <c r="K531" s="5"/>
      <c r="L531" s="5">
        <v>2</v>
      </c>
      <c r="M531" s="5"/>
      <c r="N531" s="5"/>
      <c r="O531" s="5"/>
      <c r="P531" s="5">
        <v>2</v>
      </c>
      <c r="Q531" s="5"/>
      <c r="R531" s="5"/>
      <c r="S531" s="5"/>
      <c r="T531" s="5"/>
      <c r="U531" s="5"/>
      <c r="V531" s="6"/>
      <c r="W531" s="7">
        <v>1.4253000000000001E-4</v>
      </c>
      <c r="X531" s="7">
        <v>0.42773915481600638</v>
      </c>
      <c r="Y531" s="41" t="s">
        <v>116</v>
      </c>
    </row>
    <row r="532" spans="2:25" ht="17.100000000000001" customHeight="1">
      <c r="B532" s="5" t="s">
        <v>41</v>
      </c>
      <c r="C532" s="40" t="s">
        <v>307</v>
      </c>
      <c r="D532" s="5" t="str">
        <f>IFERROR(INDEX(회사별_교통수단매핑!$C$2:$C$1000,MATCH(1,INDEX(($C$14=회사별_교통수단매핑!$A$2:$A$1000)*($Y532=회사별_교통수단매핑!$B$2:$B$1000),0),0)),"")</f>
        <v>국내선 항공</v>
      </c>
      <c r="E532" s="5">
        <v>1</v>
      </c>
      <c r="F532" s="42" t="s">
        <v>120</v>
      </c>
      <c r="G532" s="8" t="s">
        <v>504</v>
      </c>
      <c r="H532" s="12"/>
      <c r="I532" s="5">
        <f t="shared" si="7"/>
        <v>1</v>
      </c>
      <c r="J532" s="5"/>
      <c r="K532" s="5"/>
      <c r="L532" s="5"/>
      <c r="M532" s="5"/>
      <c r="N532" s="5"/>
      <c r="O532" s="5"/>
      <c r="P532" s="5"/>
      <c r="Q532" s="5"/>
      <c r="R532" s="5"/>
      <c r="S532" s="5">
        <v>1</v>
      </c>
      <c r="T532" s="5"/>
      <c r="U532" s="5"/>
      <c r="V532" s="6"/>
      <c r="W532" s="7">
        <v>1.4253000000000001E-4</v>
      </c>
      <c r="X532" s="7">
        <v>0.13875292709734971</v>
      </c>
      <c r="Y532" s="41" t="s">
        <v>116</v>
      </c>
    </row>
    <row r="533" spans="2:25" ht="17.100000000000001" customHeight="1">
      <c r="B533" s="5" t="s">
        <v>41</v>
      </c>
      <c r="C533" s="40" t="s">
        <v>307</v>
      </c>
      <c r="D533" s="5" t="str">
        <f>IFERROR(INDEX(회사별_교통수단매핑!$C$2:$C$1000,MATCH(1,INDEX(($C$14=회사별_교통수단매핑!$A$2:$A$1000)*($Y533=회사별_교통수단매핑!$B$2:$B$1000),0),0)),"")</f>
        <v>국내선 항공</v>
      </c>
      <c r="E533" s="5">
        <v>1</v>
      </c>
      <c r="F533" s="42" t="s">
        <v>120</v>
      </c>
      <c r="G533" s="8" t="s">
        <v>505</v>
      </c>
      <c r="H533" s="12"/>
      <c r="I533" s="5">
        <f t="shared" ref="I533:I596" si="8">IF(SUM(J533:U533)=0,"",SUM(J533:U533))</f>
        <v>5</v>
      </c>
      <c r="J533" s="5"/>
      <c r="K533" s="5">
        <v>2</v>
      </c>
      <c r="L533" s="5"/>
      <c r="M533" s="5"/>
      <c r="N533" s="5">
        <v>3</v>
      </c>
      <c r="O533" s="5"/>
      <c r="P533" s="5"/>
      <c r="Q533" s="5"/>
      <c r="R533" s="5"/>
      <c r="S533" s="5"/>
      <c r="T533" s="5"/>
      <c r="U533" s="5"/>
      <c r="V533" s="6"/>
      <c r="W533" s="7">
        <v>1.4253000000000001E-4</v>
      </c>
      <c r="X533" s="7">
        <v>0.68444353709044004</v>
      </c>
      <c r="Y533" s="41" t="s">
        <v>116</v>
      </c>
    </row>
    <row r="534" spans="2:25" ht="17.100000000000001" customHeight="1">
      <c r="B534" s="5" t="s">
        <v>41</v>
      </c>
      <c r="C534" s="40" t="s">
        <v>307</v>
      </c>
      <c r="D534" s="5" t="str">
        <f>IFERROR(INDEX(회사별_교통수단매핑!$C$2:$C$1000,MATCH(1,INDEX(($C$14=회사별_교통수단매핑!$A$2:$A$1000)*($Y534=회사별_교통수단매핑!$B$2:$B$1000),0),0)),"")</f>
        <v>국내선 항공</v>
      </c>
      <c r="E534" s="5">
        <v>1</v>
      </c>
      <c r="F534" s="42" t="s">
        <v>120</v>
      </c>
      <c r="G534" s="8" t="s">
        <v>506</v>
      </c>
      <c r="H534" s="12"/>
      <c r="I534" s="5">
        <f t="shared" si="8"/>
        <v>1</v>
      </c>
      <c r="J534" s="5"/>
      <c r="K534" s="5">
        <v>1</v>
      </c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6"/>
      <c r="W534" s="7">
        <v>1.4253000000000001E-4</v>
      </c>
      <c r="X534" s="7">
        <v>0.13688870741808801</v>
      </c>
      <c r="Y534" s="41" t="s">
        <v>116</v>
      </c>
    </row>
    <row r="535" spans="2:25" ht="17.100000000000001" customHeight="1">
      <c r="B535" s="5" t="s">
        <v>41</v>
      </c>
      <c r="C535" s="40" t="s">
        <v>307</v>
      </c>
      <c r="D535" s="5" t="str">
        <f>IFERROR(INDEX(회사별_교통수단매핑!$C$2:$C$1000,MATCH(1,INDEX(($C$14=회사별_교통수단매핑!$A$2:$A$1000)*($Y535=회사별_교통수단매핑!$B$2:$B$1000),0),0)),"")</f>
        <v>국내선 항공</v>
      </c>
      <c r="E535" s="5">
        <v>1</v>
      </c>
      <c r="F535" s="42" t="s">
        <v>120</v>
      </c>
      <c r="G535" s="8" t="s">
        <v>53</v>
      </c>
      <c r="H535" s="12"/>
      <c r="I535" s="5">
        <f t="shared" si="8"/>
        <v>2</v>
      </c>
      <c r="J535" s="5"/>
      <c r="K535" s="5"/>
      <c r="L535" s="5">
        <v>2</v>
      </c>
      <c r="M535" s="5"/>
      <c r="N535" s="5"/>
      <c r="O535" s="5"/>
      <c r="P535" s="5"/>
      <c r="Q535" s="5"/>
      <c r="R535" s="5"/>
      <c r="S535" s="5"/>
      <c r="T535" s="5"/>
      <c r="U535" s="5"/>
      <c r="V535" s="6"/>
      <c r="W535" s="7">
        <v>1.4253000000000001E-4</v>
      </c>
      <c r="X535" s="7">
        <v>0.10161483236680061</v>
      </c>
      <c r="Y535" s="41" t="s">
        <v>116</v>
      </c>
    </row>
    <row r="536" spans="2:25" ht="17.100000000000001" customHeight="1">
      <c r="B536" s="5" t="s">
        <v>41</v>
      </c>
      <c r="C536" s="40" t="s">
        <v>307</v>
      </c>
      <c r="D536" s="5" t="str">
        <f>IFERROR(INDEX(회사별_교통수단매핑!$C$2:$C$1000,MATCH(1,INDEX(($C$14=회사별_교통수단매핑!$A$2:$A$1000)*($Y536=회사별_교통수단매핑!$B$2:$B$1000),0),0)),"")</f>
        <v>국내선 항공</v>
      </c>
      <c r="E536" s="5">
        <v>1</v>
      </c>
      <c r="F536" s="42" t="s">
        <v>120</v>
      </c>
      <c r="G536" s="8" t="s">
        <v>507</v>
      </c>
      <c r="H536" s="12"/>
      <c r="I536" s="5">
        <f t="shared" si="8"/>
        <v>3</v>
      </c>
      <c r="J536" s="5"/>
      <c r="K536" s="5"/>
      <c r="L536" s="5"/>
      <c r="M536" s="5"/>
      <c r="N536" s="5"/>
      <c r="O536" s="5">
        <v>1</v>
      </c>
      <c r="P536" s="5"/>
      <c r="Q536" s="5"/>
      <c r="R536" s="5">
        <v>1</v>
      </c>
      <c r="S536" s="5"/>
      <c r="T536" s="5"/>
      <c r="U536" s="5">
        <v>1</v>
      </c>
      <c r="V536" s="6"/>
      <c r="W536" s="7">
        <v>1.4253000000000001E-4</v>
      </c>
      <c r="X536" s="7">
        <v>0.1524222485502009</v>
      </c>
      <c r="Y536" s="41" t="s">
        <v>116</v>
      </c>
    </row>
    <row r="537" spans="2:25" ht="17.100000000000001" customHeight="1">
      <c r="B537" s="5" t="s">
        <v>41</v>
      </c>
      <c r="C537" s="40" t="s">
        <v>307</v>
      </c>
      <c r="D537" s="5" t="str">
        <f>IFERROR(INDEX(회사별_교통수단매핑!$C$2:$C$1000,MATCH(1,INDEX(($C$14=회사별_교통수단매핑!$A$2:$A$1000)*($Y537=회사별_교통수단매핑!$B$2:$B$1000),0),0)),"")</f>
        <v>국내선 항공</v>
      </c>
      <c r="E537" s="5">
        <v>1</v>
      </c>
      <c r="F537" s="42" t="s">
        <v>120</v>
      </c>
      <c r="G537" s="8" t="s">
        <v>284</v>
      </c>
      <c r="H537" s="12"/>
      <c r="I537" s="5">
        <f t="shared" si="8"/>
        <v>1</v>
      </c>
      <c r="J537" s="5"/>
      <c r="K537" s="5"/>
      <c r="L537" s="5"/>
      <c r="M537" s="5"/>
      <c r="N537" s="5"/>
      <c r="O537" s="5"/>
      <c r="P537" s="5">
        <v>1</v>
      </c>
      <c r="Q537" s="5"/>
      <c r="R537" s="5"/>
      <c r="S537" s="5"/>
      <c r="T537" s="5"/>
      <c r="U537" s="5"/>
      <c r="V537" s="6"/>
      <c r="W537" s="7">
        <v>1.4253000000000001E-4</v>
      </c>
      <c r="X537" s="7">
        <v>5.0807416183400282E-2</v>
      </c>
      <c r="Y537" s="41" t="s">
        <v>116</v>
      </c>
    </row>
    <row r="538" spans="2:25" ht="17.100000000000001" customHeight="1">
      <c r="B538" s="5" t="s">
        <v>41</v>
      </c>
      <c r="C538" s="40" t="s">
        <v>307</v>
      </c>
      <c r="D538" s="5" t="str">
        <f>IFERROR(INDEX(회사별_교통수단매핑!$C$2:$C$1000,MATCH(1,INDEX(($C$14=회사별_교통수단매핑!$A$2:$A$1000)*($Y538=회사별_교통수단매핑!$B$2:$B$1000),0),0)),"")</f>
        <v>국내선 항공</v>
      </c>
      <c r="E538" s="5">
        <v>1</v>
      </c>
      <c r="F538" s="42" t="s">
        <v>120</v>
      </c>
      <c r="G538" s="8" t="s">
        <v>508</v>
      </c>
      <c r="H538" s="12"/>
      <c r="I538" s="5">
        <f t="shared" si="8"/>
        <v>2</v>
      </c>
      <c r="J538" s="5"/>
      <c r="K538" s="5"/>
      <c r="L538" s="5"/>
      <c r="M538" s="5"/>
      <c r="N538" s="5"/>
      <c r="O538" s="5"/>
      <c r="P538" s="5"/>
      <c r="Q538" s="5">
        <v>2</v>
      </c>
      <c r="R538" s="5"/>
      <c r="S538" s="5"/>
      <c r="T538" s="5"/>
      <c r="U538" s="5"/>
      <c r="V538" s="6"/>
      <c r="W538" s="7">
        <v>1.4253000000000001E-4</v>
      </c>
      <c r="X538" s="7">
        <v>0.10161483236680061</v>
      </c>
      <c r="Y538" s="41" t="s">
        <v>116</v>
      </c>
    </row>
    <row r="539" spans="2:25" ht="17.100000000000001" customHeight="1">
      <c r="B539" s="5" t="s">
        <v>41</v>
      </c>
      <c r="C539" s="40" t="s">
        <v>307</v>
      </c>
      <c r="D539" s="5" t="str">
        <f>IFERROR(INDEX(회사별_교통수단매핑!$C$2:$C$1000,MATCH(1,INDEX(($C$14=회사별_교통수단매핑!$A$2:$A$1000)*($Y539=회사별_교통수단매핑!$B$2:$B$1000),0),0)),"")</f>
        <v>국내선 항공</v>
      </c>
      <c r="E539" s="5">
        <v>1</v>
      </c>
      <c r="F539" s="42" t="s">
        <v>120</v>
      </c>
      <c r="G539" s="8" t="s">
        <v>509</v>
      </c>
      <c r="H539" s="12"/>
      <c r="I539" s="5">
        <f t="shared" si="8"/>
        <v>3</v>
      </c>
      <c r="J539" s="5"/>
      <c r="K539" s="5"/>
      <c r="L539" s="5"/>
      <c r="M539" s="5"/>
      <c r="N539" s="5">
        <v>3</v>
      </c>
      <c r="O539" s="5"/>
      <c r="P539" s="5"/>
      <c r="Q539" s="5"/>
      <c r="R539" s="5"/>
      <c r="S539" s="5"/>
      <c r="T539" s="5"/>
      <c r="U539" s="5"/>
      <c r="V539" s="6"/>
      <c r="W539" s="7">
        <v>1.4253000000000001E-4</v>
      </c>
      <c r="X539" s="7">
        <v>0.1524222485502009</v>
      </c>
      <c r="Y539" s="41" t="s">
        <v>116</v>
      </c>
    </row>
    <row r="540" spans="2:25" ht="17.100000000000001" customHeight="1">
      <c r="B540" s="5" t="s">
        <v>41</v>
      </c>
      <c r="C540" s="40" t="s">
        <v>307</v>
      </c>
      <c r="D540" s="5" t="str">
        <f>IFERROR(INDEX(회사별_교통수단매핑!$C$2:$C$1000,MATCH(1,INDEX(($C$14=회사별_교통수단매핑!$A$2:$A$1000)*($Y540=회사별_교통수단매핑!$B$2:$B$1000),0),0)),"")</f>
        <v>국내선 항공</v>
      </c>
      <c r="E540" s="5">
        <v>1</v>
      </c>
      <c r="F540" s="42" t="s">
        <v>120</v>
      </c>
      <c r="G540" s="8" t="s">
        <v>510</v>
      </c>
      <c r="H540" s="12"/>
      <c r="I540" s="5">
        <f t="shared" si="8"/>
        <v>2</v>
      </c>
      <c r="J540" s="5">
        <v>2</v>
      </c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6"/>
      <c r="W540" s="7">
        <v>1.4253000000000001E-4</v>
      </c>
      <c r="X540" s="7">
        <v>0.1035292487009313</v>
      </c>
      <c r="Y540" s="41" t="s">
        <v>116</v>
      </c>
    </row>
    <row r="541" spans="2:25" ht="17.100000000000001" customHeight="1">
      <c r="B541" s="5" t="s">
        <v>41</v>
      </c>
      <c r="C541" s="40" t="s">
        <v>307</v>
      </c>
      <c r="D541" s="5" t="str">
        <f>IFERROR(INDEX(회사별_교통수단매핑!$C$2:$C$1000,MATCH(1,INDEX(($C$14=회사별_교통수단매핑!$A$2:$A$1000)*($Y541=회사별_교통수단매핑!$B$2:$B$1000),0),0)),"")</f>
        <v>국내선 항공</v>
      </c>
      <c r="E541" s="5">
        <v>1</v>
      </c>
      <c r="F541" s="42" t="s">
        <v>120</v>
      </c>
      <c r="G541" s="8" t="s">
        <v>124</v>
      </c>
      <c r="H541" s="12"/>
      <c r="I541" s="5">
        <f t="shared" si="8"/>
        <v>4</v>
      </c>
      <c r="J541" s="5"/>
      <c r="K541" s="5"/>
      <c r="L541" s="5"/>
      <c r="M541" s="5"/>
      <c r="N541" s="5"/>
      <c r="O541" s="5"/>
      <c r="P541" s="5"/>
      <c r="Q541" s="5">
        <v>2</v>
      </c>
      <c r="R541" s="5"/>
      <c r="S541" s="5"/>
      <c r="T541" s="5">
        <v>2</v>
      </c>
      <c r="U541" s="5"/>
      <c r="V541" s="6"/>
      <c r="W541" s="7">
        <v>1.4253000000000001E-4</v>
      </c>
      <c r="X541" s="7">
        <v>0.2032296647336011</v>
      </c>
      <c r="Y541" s="41" t="s">
        <v>116</v>
      </c>
    </row>
    <row r="542" spans="2:25" ht="17.100000000000001" customHeight="1">
      <c r="B542" s="5" t="s">
        <v>41</v>
      </c>
      <c r="C542" s="40" t="s">
        <v>307</v>
      </c>
      <c r="D542" s="5" t="str">
        <f>IFERROR(INDEX(회사별_교통수단매핑!$C$2:$C$1000,MATCH(1,INDEX(($C$14=회사별_교통수단매핑!$A$2:$A$1000)*($Y542=회사별_교통수단매핑!$B$2:$B$1000),0),0)),"")</f>
        <v>국내선 항공</v>
      </c>
      <c r="E542" s="5">
        <v>1</v>
      </c>
      <c r="F542" s="42" t="s">
        <v>120</v>
      </c>
      <c r="G542" s="8" t="s">
        <v>511</v>
      </c>
      <c r="H542" s="12"/>
      <c r="I542" s="5">
        <f t="shared" si="8"/>
        <v>1</v>
      </c>
      <c r="J542" s="5"/>
      <c r="K542" s="5"/>
      <c r="L542" s="5"/>
      <c r="M542" s="5"/>
      <c r="N542" s="5"/>
      <c r="O542" s="5"/>
      <c r="P542" s="5"/>
      <c r="Q542" s="5"/>
      <c r="R542" s="5">
        <v>1</v>
      </c>
      <c r="S542" s="5"/>
      <c r="T542" s="5"/>
      <c r="U542" s="5"/>
      <c r="V542" s="6"/>
      <c r="W542" s="7">
        <v>1.4253000000000001E-4</v>
      </c>
      <c r="X542" s="7">
        <v>5.4874017856203668E-2</v>
      </c>
      <c r="Y542" s="41" t="s">
        <v>116</v>
      </c>
    </row>
    <row r="543" spans="2:25" ht="17.100000000000001" customHeight="1">
      <c r="B543" s="5" t="s">
        <v>41</v>
      </c>
      <c r="C543" s="40" t="s">
        <v>307</v>
      </c>
      <c r="D543" s="5" t="str">
        <f>IFERROR(INDEX(회사별_교통수단매핑!$C$2:$C$1000,MATCH(1,INDEX(($C$14=회사별_교통수단매핑!$A$2:$A$1000)*($Y543=회사별_교통수단매핑!$B$2:$B$1000),0),0)),"")</f>
        <v>국내선 항공</v>
      </c>
      <c r="E543" s="5">
        <v>1</v>
      </c>
      <c r="F543" s="42" t="s">
        <v>120</v>
      </c>
      <c r="G543" s="8" t="s">
        <v>286</v>
      </c>
      <c r="H543" s="12"/>
      <c r="I543" s="5">
        <f t="shared" si="8"/>
        <v>5</v>
      </c>
      <c r="J543" s="5"/>
      <c r="K543" s="5"/>
      <c r="L543" s="5"/>
      <c r="M543" s="5"/>
      <c r="N543" s="5"/>
      <c r="O543" s="5">
        <v>1</v>
      </c>
      <c r="P543" s="5">
        <v>4</v>
      </c>
      <c r="Q543" s="5"/>
      <c r="R543" s="5"/>
      <c r="S543" s="5"/>
      <c r="T543" s="5"/>
      <c r="U543" s="5"/>
      <c r="V543" s="6"/>
      <c r="W543" s="7">
        <v>1.4253000000000001E-4</v>
      </c>
      <c r="X543" s="7">
        <v>0.25403708091700139</v>
      </c>
      <c r="Y543" s="41" t="s">
        <v>116</v>
      </c>
    </row>
    <row r="544" spans="2:25" ht="17.100000000000001" customHeight="1">
      <c r="B544" s="5" t="s">
        <v>41</v>
      </c>
      <c r="C544" s="40" t="s">
        <v>307</v>
      </c>
      <c r="D544" s="5" t="str">
        <f>IFERROR(INDEX(회사별_교통수단매핑!$C$2:$C$1000,MATCH(1,INDEX(($C$14=회사별_교통수단매핑!$A$2:$A$1000)*($Y544=회사별_교통수단매핑!$B$2:$B$1000),0),0)),"")</f>
        <v>국내선 항공</v>
      </c>
      <c r="E544" s="5">
        <v>1</v>
      </c>
      <c r="F544" s="42" t="s">
        <v>120</v>
      </c>
      <c r="G544" s="8" t="s">
        <v>512</v>
      </c>
      <c r="H544" s="12"/>
      <c r="I544" s="5">
        <f t="shared" si="8"/>
        <v>1</v>
      </c>
      <c r="J544" s="5"/>
      <c r="K544" s="5"/>
      <c r="L544" s="5"/>
      <c r="M544" s="5"/>
      <c r="N544" s="5"/>
      <c r="O544" s="5"/>
      <c r="P544" s="5"/>
      <c r="Q544" s="5">
        <v>1</v>
      </c>
      <c r="R544" s="5"/>
      <c r="S544" s="5"/>
      <c r="T544" s="5"/>
      <c r="U544" s="5"/>
      <c r="V544" s="6"/>
      <c r="W544" s="7">
        <v>1.4253000000000001E-4</v>
      </c>
      <c r="X544" s="7">
        <v>5.0807416183400282E-2</v>
      </c>
      <c r="Y544" s="41" t="s">
        <v>116</v>
      </c>
    </row>
    <row r="545" spans="2:25" ht="17.100000000000001" customHeight="1">
      <c r="B545" s="5" t="s">
        <v>41</v>
      </c>
      <c r="C545" s="40" t="s">
        <v>307</v>
      </c>
      <c r="D545" s="5" t="str">
        <f>IFERROR(INDEX(회사별_교통수단매핑!$C$2:$C$1000,MATCH(1,INDEX(($C$14=회사별_교통수단매핑!$A$2:$A$1000)*($Y545=회사별_교통수단매핑!$B$2:$B$1000),0),0)),"")</f>
        <v>국내선 항공</v>
      </c>
      <c r="E545" s="5">
        <v>1</v>
      </c>
      <c r="F545" s="42" t="s">
        <v>120</v>
      </c>
      <c r="G545" s="8" t="s">
        <v>126</v>
      </c>
      <c r="H545" s="12"/>
      <c r="I545" s="5">
        <f t="shared" si="8"/>
        <v>3</v>
      </c>
      <c r="J545" s="5">
        <v>3</v>
      </c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6"/>
      <c r="W545" s="7">
        <v>1.4253000000000001E-4</v>
      </c>
      <c r="X545" s="7">
        <v>0.1524222485502009</v>
      </c>
      <c r="Y545" s="41" t="s">
        <v>116</v>
      </c>
    </row>
    <row r="546" spans="2:25" ht="17.100000000000001" customHeight="1">
      <c r="B546" s="5" t="s">
        <v>41</v>
      </c>
      <c r="C546" s="40" t="s">
        <v>307</v>
      </c>
      <c r="D546" s="5" t="str">
        <f>IFERROR(INDEX(회사별_교통수단매핑!$C$2:$C$1000,MATCH(1,INDEX(($C$14=회사별_교통수단매핑!$A$2:$A$1000)*($Y546=회사별_교통수단매핑!$B$2:$B$1000),0),0)),"")</f>
        <v>국내선 항공</v>
      </c>
      <c r="E546" s="5">
        <v>1</v>
      </c>
      <c r="F546" s="42" t="s">
        <v>120</v>
      </c>
      <c r="G546" s="8" t="s">
        <v>513</v>
      </c>
      <c r="H546" s="12"/>
      <c r="I546" s="5">
        <f t="shared" si="8"/>
        <v>6</v>
      </c>
      <c r="J546" s="5"/>
      <c r="K546" s="5"/>
      <c r="L546" s="5"/>
      <c r="M546" s="5">
        <v>2</v>
      </c>
      <c r="N546" s="5">
        <v>1</v>
      </c>
      <c r="O546" s="5">
        <v>3</v>
      </c>
      <c r="P546" s="5"/>
      <c r="Q546" s="5"/>
      <c r="R546" s="5"/>
      <c r="S546" s="5"/>
      <c r="T546" s="5"/>
      <c r="U546" s="5"/>
      <c r="V546" s="6"/>
      <c r="W546" s="7">
        <v>1.4253000000000001E-4</v>
      </c>
      <c r="X546" s="7">
        <v>0.32924410713722202</v>
      </c>
      <c r="Y546" s="41" t="s">
        <v>116</v>
      </c>
    </row>
    <row r="547" spans="2:25" ht="17.100000000000001" customHeight="1">
      <c r="B547" s="5" t="s">
        <v>41</v>
      </c>
      <c r="C547" s="40" t="s">
        <v>307</v>
      </c>
      <c r="D547" s="5" t="str">
        <f>IFERROR(INDEX(회사별_교통수단매핑!$C$2:$C$1000,MATCH(1,INDEX(($C$14=회사별_교통수단매핑!$A$2:$A$1000)*($Y547=회사별_교통수단매핑!$B$2:$B$1000),0),0)),"")</f>
        <v>국내선 항공</v>
      </c>
      <c r="E547" s="5">
        <v>1</v>
      </c>
      <c r="F547" s="42" t="s">
        <v>120</v>
      </c>
      <c r="G547" s="8" t="s">
        <v>514</v>
      </c>
      <c r="H547" s="12"/>
      <c r="I547" s="5">
        <f t="shared" si="8"/>
        <v>1</v>
      </c>
      <c r="J547" s="5"/>
      <c r="K547" s="5"/>
      <c r="L547" s="5">
        <v>1</v>
      </c>
      <c r="M547" s="5"/>
      <c r="N547" s="5"/>
      <c r="O547" s="5"/>
      <c r="P547" s="5"/>
      <c r="Q547" s="5"/>
      <c r="R547" s="5"/>
      <c r="S547" s="5"/>
      <c r="T547" s="5"/>
      <c r="U547" s="5"/>
      <c r="V547" s="6"/>
      <c r="W547" s="7">
        <v>1.4253000000000001E-4</v>
      </c>
      <c r="X547" s="7">
        <v>8.5725759752346753E-2</v>
      </c>
      <c r="Y547" s="41" t="s">
        <v>116</v>
      </c>
    </row>
    <row r="548" spans="2:25" ht="17.100000000000001" customHeight="1">
      <c r="B548" s="5" t="s">
        <v>41</v>
      </c>
      <c r="C548" s="40" t="s">
        <v>307</v>
      </c>
      <c r="D548" s="5" t="str">
        <f>IFERROR(INDEX(회사별_교통수단매핑!$C$2:$C$1000,MATCH(1,INDEX(($C$14=회사별_교통수단매핑!$A$2:$A$1000)*($Y548=회사별_교통수단매핑!$B$2:$B$1000),0),0)),"")</f>
        <v>국내선 항공</v>
      </c>
      <c r="E548" s="5">
        <v>1</v>
      </c>
      <c r="F548" s="42" t="s">
        <v>120</v>
      </c>
      <c r="G548" s="8" t="s">
        <v>515</v>
      </c>
      <c r="H548" s="12"/>
      <c r="I548" s="5">
        <f t="shared" si="8"/>
        <v>3</v>
      </c>
      <c r="J548" s="5"/>
      <c r="K548" s="5"/>
      <c r="L548" s="5"/>
      <c r="M548" s="5"/>
      <c r="N548" s="5">
        <v>1</v>
      </c>
      <c r="O548" s="5"/>
      <c r="P548" s="5"/>
      <c r="Q548" s="5">
        <v>2</v>
      </c>
      <c r="R548" s="5"/>
      <c r="S548" s="5"/>
      <c r="T548" s="5"/>
      <c r="U548" s="5"/>
      <c r="V548" s="6"/>
      <c r="W548" s="7">
        <v>1.4253000000000001E-4</v>
      </c>
      <c r="X548" s="7">
        <v>0.25717727925704031</v>
      </c>
      <c r="Y548" s="41" t="s">
        <v>116</v>
      </c>
    </row>
    <row r="549" spans="2:25" ht="17.100000000000001" customHeight="1">
      <c r="B549" s="5" t="s">
        <v>41</v>
      </c>
      <c r="C549" s="40" t="s">
        <v>307</v>
      </c>
      <c r="D549" s="5" t="str">
        <f>IFERROR(INDEX(회사별_교통수단매핑!$C$2:$C$1000,MATCH(1,INDEX(($C$14=회사별_교통수단매핑!$A$2:$A$1000)*($Y549=회사별_교통수단매핑!$B$2:$B$1000),0),0)),"")</f>
        <v>국내선 항공</v>
      </c>
      <c r="E549" s="5">
        <v>1</v>
      </c>
      <c r="F549" s="42" t="s">
        <v>120</v>
      </c>
      <c r="G549" s="8" t="s">
        <v>89</v>
      </c>
      <c r="H549" s="12"/>
      <c r="I549" s="5">
        <f t="shared" si="8"/>
        <v>3</v>
      </c>
      <c r="J549" s="5"/>
      <c r="K549" s="5"/>
      <c r="L549" s="5"/>
      <c r="M549" s="5">
        <v>2</v>
      </c>
      <c r="N549" s="5"/>
      <c r="O549" s="5"/>
      <c r="P549" s="5">
        <v>1</v>
      </c>
      <c r="Q549" s="5"/>
      <c r="R549" s="5"/>
      <c r="S549" s="5"/>
      <c r="T549" s="5"/>
      <c r="U549" s="5"/>
      <c r="V549" s="6"/>
      <c r="W549" s="7">
        <v>1.4253000000000001E-4</v>
      </c>
      <c r="X549" s="7">
        <v>0.25717727925704031</v>
      </c>
      <c r="Y549" s="41" t="s">
        <v>116</v>
      </c>
    </row>
    <row r="550" spans="2:25" ht="17.100000000000001" customHeight="1">
      <c r="B550" s="5" t="s">
        <v>41</v>
      </c>
      <c r="C550" s="40" t="s">
        <v>307</v>
      </c>
      <c r="D550" s="5" t="str">
        <f>IFERROR(INDEX(회사별_교통수단매핑!$C$2:$C$1000,MATCH(1,INDEX(($C$14=회사별_교통수단매핑!$A$2:$A$1000)*($Y550=회사별_교통수단매핑!$B$2:$B$1000),0),0)),"")</f>
        <v>국내선 항공</v>
      </c>
      <c r="E550" s="5">
        <v>1</v>
      </c>
      <c r="F550" s="42" t="s">
        <v>120</v>
      </c>
      <c r="G550" s="8" t="s">
        <v>95</v>
      </c>
      <c r="H550" s="12"/>
      <c r="I550" s="5">
        <f t="shared" si="8"/>
        <v>4</v>
      </c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>
        <v>4</v>
      </c>
      <c r="U550" s="5"/>
      <c r="V550" s="6"/>
      <c r="W550" s="7">
        <v>1.4253000000000001E-4</v>
      </c>
      <c r="X550" s="7">
        <v>0.34290303900938701</v>
      </c>
      <c r="Y550" s="41" t="s">
        <v>116</v>
      </c>
    </row>
    <row r="551" spans="2:25" ht="17.100000000000001" customHeight="1">
      <c r="B551" s="5" t="s">
        <v>41</v>
      </c>
      <c r="C551" s="40" t="s">
        <v>307</v>
      </c>
      <c r="D551" s="5" t="str">
        <f>IFERROR(INDEX(회사별_교통수단매핑!$C$2:$C$1000,MATCH(1,INDEX(($C$14=회사별_교통수단매핑!$A$2:$A$1000)*($Y551=회사별_교통수단매핑!$B$2:$B$1000),0),0)),"")</f>
        <v>국내선 항공</v>
      </c>
      <c r="E551" s="5">
        <v>1</v>
      </c>
      <c r="F551" s="42" t="s">
        <v>120</v>
      </c>
      <c r="G551" s="8" t="s">
        <v>288</v>
      </c>
      <c r="H551" s="12"/>
      <c r="I551" s="5">
        <f t="shared" si="8"/>
        <v>7</v>
      </c>
      <c r="J551" s="5"/>
      <c r="K551" s="5"/>
      <c r="L551" s="5"/>
      <c r="M551" s="5"/>
      <c r="N551" s="5">
        <v>4</v>
      </c>
      <c r="O551" s="5"/>
      <c r="P551" s="5">
        <v>3</v>
      </c>
      <c r="Q551" s="5"/>
      <c r="R551" s="5"/>
      <c r="S551" s="5"/>
      <c r="T551" s="5"/>
      <c r="U551" s="5"/>
      <c r="V551" s="6"/>
      <c r="W551" s="7">
        <v>1.4253000000000001E-4</v>
      </c>
      <c r="X551" s="7">
        <v>0.60008031826642727</v>
      </c>
      <c r="Y551" s="41" t="s">
        <v>116</v>
      </c>
    </row>
    <row r="552" spans="2:25" ht="17.100000000000001" customHeight="1">
      <c r="B552" s="53" t="s">
        <v>41</v>
      </c>
      <c r="C552" s="54" t="s">
        <v>307</v>
      </c>
      <c r="D552" s="53" t="str">
        <f>IFERROR(INDEX(회사별_교통수단매핑!$C$2:$C$1000,MATCH(1,INDEX(($C$14=회사별_교통수단매핑!$A$2:$A$1000)*($Y552=회사별_교통수단매핑!$B$2:$B$1000),0),0)),"")</f>
        <v>국내선 항공</v>
      </c>
      <c r="E552" s="53">
        <v>1</v>
      </c>
      <c r="F552" s="55" t="s">
        <v>120</v>
      </c>
      <c r="G552" s="53" t="s">
        <v>120</v>
      </c>
      <c r="H552" s="53"/>
      <c r="I552" s="53">
        <f t="shared" si="8"/>
        <v>14</v>
      </c>
      <c r="J552" s="53">
        <v>2</v>
      </c>
      <c r="K552" s="53">
        <v>2</v>
      </c>
      <c r="L552" s="53"/>
      <c r="M552" s="53">
        <v>1</v>
      </c>
      <c r="N552" s="53"/>
      <c r="O552" s="53"/>
      <c r="P552" s="53">
        <v>4</v>
      </c>
      <c r="Q552" s="53"/>
      <c r="R552" s="53">
        <v>1</v>
      </c>
      <c r="S552" s="53">
        <v>1</v>
      </c>
      <c r="T552" s="53">
        <v>1</v>
      </c>
      <c r="U552" s="53">
        <v>2</v>
      </c>
      <c r="V552" s="53"/>
      <c r="W552" s="53">
        <v>1.4253000000000001E-4</v>
      </c>
      <c r="X552" s="53"/>
      <c r="Y552" s="56" t="s">
        <v>116</v>
      </c>
    </row>
    <row r="553" spans="2:25" ht="17.100000000000001" customHeight="1">
      <c r="B553" s="5" t="s">
        <v>41</v>
      </c>
      <c r="C553" s="40" t="s">
        <v>307</v>
      </c>
      <c r="D553" s="5" t="str">
        <f>IFERROR(INDEX(회사별_교통수단매핑!$C$2:$C$1000,MATCH(1,INDEX(($C$14=회사별_교통수단매핑!$A$2:$A$1000)*($Y553=회사별_교통수단매핑!$B$2:$B$1000),0),0)),"")</f>
        <v>국내선 항공</v>
      </c>
      <c r="E553" s="5">
        <v>1</v>
      </c>
      <c r="F553" s="42" t="s">
        <v>120</v>
      </c>
      <c r="G553" s="8" t="s">
        <v>516</v>
      </c>
      <c r="H553" s="12"/>
      <c r="I553" s="5">
        <f t="shared" si="8"/>
        <v>2</v>
      </c>
      <c r="J553" s="5"/>
      <c r="K553" s="5"/>
      <c r="L553" s="5"/>
      <c r="M553" s="5"/>
      <c r="N553" s="5"/>
      <c r="O553" s="5"/>
      <c r="P553" s="5"/>
      <c r="Q553" s="5"/>
      <c r="R553" s="5">
        <v>2</v>
      </c>
      <c r="S553" s="5"/>
      <c r="T553" s="5"/>
      <c r="U553" s="5"/>
      <c r="V553" s="6"/>
      <c r="W553" s="7">
        <v>1.4253000000000001E-4</v>
      </c>
      <c r="X553" s="7">
        <v>0.2245280849048279</v>
      </c>
      <c r="Y553" s="41" t="s">
        <v>116</v>
      </c>
    </row>
    <row r="554" spans="2:25" ht="17.100000000000001" customHeight="1">
      <c r="B554" s="5" t="s">
        <v>41</v>
      </c>
      <c r="C554" s="40" t="s">
        <v>307</v>
      </c>
      <c r="D554" s="5" t="str">
        <f>IFERROR(INDEX(회사별_교통수단매핑!$C$2:$C$1000,MATCH(1,INDEX(($C$14=회사별_교통수단매핑!$A$2:$A$1000)*($Y554=회사별_교통수단매핑!$B$2:$B$1000),0),0)),"")</f>
        <v>국내선 항공</v>
      </c>
      <c r="E554" s="5">
        <v>1</v>
      </c>
      <c r="F554" s="42" t="s">
        <v>120</v>
      </c>
      <c r="G554" s="8" t="s">
        <v>517</v>
      </c>
      <c r="H554" s="12"/>
      <c r="I554" s="5">
        <f t="shared" si="8"/>
        <v>1</v>
      </c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>
        <v>1</v>
      </c>
      <c r="U554" s="5"/>
      <c r="V554" s="6"/>
      <c r="W554" s="7">
        <v>1.4253000000000001E-4</v>
      </c>
      <c r="X554" s="7">
        <v>8.5725759752346753E-2</v>
      </c>
      <c r="Y554" s="41" t="s">
        <v>116</v>
      </c>
    </row>
    <row r="555" spans="2:25" ht="17.100000000000001" customHeight="1">
      <c r="B555" s="5" t="s">
        <v>41</v>
      </c>
      <c r="C555" s="40" t="s">
        <v>307</v>
      </c>
      <c r="D555" s="5" t="str">
        <f>IFERROR(INDEX(회사별_교통수단매핑!$C$2:$C$1000,MATCH(1,INDEX(($C$14=회사별_교통수단매핑!$A$2:$A$1000)*($Y555=회사별_교통수단매핑!$B$2:$B$1000),0),0)),"")</f>
        <v>국내선 항공</v>
      </c>
      <c r="E555" s="5">
        <v>1</v>
      </c>
      <c r="F555" s="42" t="s">
        <v>120</v>
      </c>
      <c r="G555" s="8" t="s">
        <v>518</v>
      </c>
      <c r="H555" s="12"/>
      <c r="I555" s="5">
        <f t="shared" si="8"/>
        <v>1</v>
      </c>
      <c r="J555" s="5"/>
      <c r="K555" s="5"/>
      <c r="L555" s="5"/>
      <c r="M555" s="5"/>
      <c r="N555" s="5">
        <v>1</v>
      </c>
      <c r="O555" s="5"/>
      <c r="P555" s="5"/>
      <c r="Q555" s="5"/>
      <c r="R555" s="5"/>
      <c r="S555" s="5"/>
      <c r="T555" s="5"/>
      <c r="U555" s="5"/>
      <c r="V555" s="6"/>
      <c r="W555" s="7">
        <v>1.4253000000000001E-4</v>
      </c>
      <c r="X555" s="7">
        <v>0.11226404245241391</v>
      </c>
      <c r="Y555" s="41" t="s">
        <v>116</v>
      </c>
    </row>
    <row r="556" spans="2:25" ht="17.100000000000001" customHeight="1">
      <c r="B556" s="5" t="s">
        <v>41</v>
      </c>
      <c r="C556" s="40" t="s">
        <v>307</v>
      </c>
      <c r="D556" s="5" t="str">
        <f>IFERROR(INDEX(회사별_교통수단매핑!$C$2:$C$1000,MATCH(1,INDEX(($C$14=회사별_교통수단매핑!$A$2:$A$1000)*($Y556=회사별_교통수단매핑!$B$2:$B$1000),0),0)),"")</f>
        <v>국내선 항공</v>
      </c>
      <c r="E556" s="5">
        <v>1</v>
      </c>
      <c r="F556" s="42" t="s">
        <v>120</v>
      </c>
      <c r="G556" s="8" t="s">
        <v>519</v>
      </c>
      <c r="H556" s="12"/>
      <c r="I556" s="5">
        <f t="shared" si="8"/>
        <v>1</v>
      </c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>
        <v>1</v>
      </c>
      <c r="U556" s="5"/>
      <c r="V556" s="6"/>
      <c r="W556" s="7">
        <v>1.4253000000000001E-4</v>
      </c>
      <c r="X556" s="7">
        <v>0.11226404245241391</v>
      </c>
      <c r="Y556" s="41" t="s">
        <v>116</v>
      </c>
    </row>
    <row r="557" spans="2:25" ht="17.100000000000001" customHeight="1">
      <c r="B557" s="5" t="s">
        <v>41</v>
      </c>
      <c r="C557" s="40" t="s">
        <v>307</v>
      </c>
      <c r="D557" s="5" t="str">
        <f>IFERROR(INDEX(회사별_교통수단매핑!$C$2:$C$1000,MATCH(1,INDEX(($C$14=회사별_교통수단매핑!$A$2:$A$1000)*($Y557=회사별_교통수단매핑!$B$2:$B$1000),0),0)),"")</f>
        <v>국내선 항공</v>
      </c>
      <c r="E557" s="5">
        <v>1</v>
      </c>
      <c r="F557" s="42" t="s">
        <v>120</v>
      </c>
      <c r="G557" s="8" t="s">
        <v>520</v>
      </c>
      <c r="H557" s="12"/>
      <c r="I557" s="5">
        <f t="shared" si="8"/>
        <v>20</v>
      </c>
      <c r="J557" s="5"/>
      <c r="K557" s="5">
        <v>2</v>
      </c>
      <c r="L557" s="5">
        <v>2</v>
      </c>
      <c r="M557" s="5"/>
      <c r="N557" s="5"/>
      <c r="O557" s="5">
        <v>1</v>
      </c>
      <c r="P557" s="5">
        <v>3</v>
      </c>
      <c r="Q557" s="5"/>
      <c r="R557" s="5">
        <v>3</v>
      </c>
      <c r="S557" s="5"/>
      <c r="T557" s="5">
        <v>6</v>
      </c>
      <c r="U557" s="5">
        <v>3</v>
      </c>
      <c r="V557" s="6"/>
      <c r="W557" s="7">
        <v>1.4253000000000001E-4</v>
      </c>
      <c r="X557" s="7">
        <v>2.245280849048279</v>
      </c>
      <c r="Y557" s="41" t="s">
        <v>116</v>
      </c>
    </row>
    <row r="558" spans="2:25" ht="17.100000000000001" customHeight="1">
      <c r="B558" s="5" t="s">
        <v>41</v>
      </c>
      <c r="C558" s="40" t="s">
        <v>307</v>
      </c>
      <c r="D558" s="5" t="str">
        <f>IFERROR(INDEX(회사별_교통수단매핑!$C$2:$C$1000,MATCH(1,INDEX(($C$14=회사별_교통수단매핑!$A$2:$A$1000)*($Y558=회사별_교통수단매핑!$B$2:$B$1000),0),0)),"")</f>
        <v>국내선 항공</v>
      </c>
      <c r="E558" s="5">
        <v>1</v>
      </c>
      <c r="F558" s="42" t="s">
        <v>120</v>
      </c>
      <c r="G558" s="8" t="s">
        <v>298</v>
      </c>
      <c r="H558" s="12"/>
      <c r="I558" s="5">
        <f t="shared" si="8"/>
        <v>1</v>
      </c>
      <c r="J558" s="5"/>
      <c r="K558" s="5"/>
      <c r="L558" s="5">
        <v>1</v>
      </c>
      <c r="M558" s="5"/>
      <c r="N558" s="5"/>
      <c r="O558" s="5"/>
      <c r="P558" s="5"/>
      <c r="Q558" s="5"/>
      <c r="R558" s="5"/>
      <c r="S558" s="5"/>
      <c r="T558" s="5"/>
      <c r="U558" s="5"/>
      <c r="V558" s="6"/>
      <c r="W558" s="7">
        <v>1.4253000000000001E-4</v>
      </c>
      <c r="X558" s="7">
        <v>0.11226404245241391</v>
      </c>
      <c r="Y558" s="41" t="s">
        <v>116</v>
      </c>
    </row>
    <row r="559" spans="2:25" ht="17.100000000000001" customHeight="1">
      <c r="B559" s="5" t="s">
        <v>41</v>
      </c>
      <c r="C559" s="40" t="s">
        <v>307</v>
      </c>
      <c r="D559" s="5" t="str">
        <f>IFERROR(INDEX(회사별_교통수단매핑!$C$2:$C$1000,MATCH(1,INDEX(($C$14=회사별_교통수단매핑!$A$2:$A$1000)*($Y559=회사별_교통수단매핑!$B$2:$B$1000),0),0)),"")</f>
        <v>국내선 항공</v>
      </c>
      <c r="E559" s="5">
        <v>1</v>
      </c>
      <c r="F559" s="42" t="s">
        <v>120</v>
      </c>
      <c r="G559" s="8" t="s">
        <v>203</v>
      </c>
      <c r="H559" s="12"/>
      <c r="I559" s="5">
        <f t="shared" si="8"/>
        <v>2</v>
      </c>
      <c r="J559" s="5"/>
      <c r="K559" s="5"/>
      <c r="L559" s="5">
        <v>2</v>
      </c>
      <c r="M559" s="5"/>
      <c r="N559" s="5"/>
      <c r="O559" s="5"/>
      <c r="P559" s="5"/>
      <c r="Q559" s="5"/>
      <c r="R559" s="5"/>
      <c r="S559" s="5"/>
      <c r="T559" s="5"/>
      <c r="U559" s="5"/>
      <c r="V559" s="6"/>
      <c r="W559" s="7">
        <v>1.4253000000000001E-4</v>
      </c>
      <c r="X559" s="7">
        <v>0.2245280849048279</v>
      </c>
      <c r="Y559" s="41" t="s">
        <v>116</v>
      </c>
    </row>
    <row r="560" spans="2:25" ht="17.100000000000001" customHeight="1">
      <c r="B560" s="5" t="s">
        <v>41</v>
      </c>
      <c r="C560" s="40" t="s">
        <v>307</v>
      </c>
      <c r="D560" s="5" t="str">
        <f>IFERROR(INDEX(회사별_교통수단매핑!$C$2:$C$1000,MATCH(1,INDEX(($C$14=회사별_교통수단매핑!$A$2:$A$1000)*($Y560=회사별_교통수단매핑!$B$2:$B$1000),0),0)),"")</f>
        <v>국내선 항공</v>
      </c>
      <c r="E560" s="5">
        <v>1</v>
      </c>
      <c r="F560" s="42" t="s">
        <v>120</v>
      </c>
      <c r="G560" s="8" t="s">
        <v>521</v>
      </c>
      <c r="H560" s="12"/>
      <c r="I560" s="5">
        <f t="shared" si="8"/>
        <v>1</v>
      </c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>
        <v>1</v>
      </c>
      <c r="V560" s="6"/>
      <c r="W560" s="7">
        <v>1.4253000000000001E-4</v>
      </c>
      <c r="X560" s="7">
        <v>0.11226404245241391</v>
      </c>
      <c r="Y560" s="41" t="s">
        <v>116</v>
      </c>
    </row>
    <row r="561" spans="2:25" ht="17.100000000000001" customHeight="1">
      <c r="B561" s="5" t="s">
        <v>41</v>
      </c>
      <c r="C561" s="40" t="s">
        <v>307</v>
      </c>
      <c r="D561" s="5" t="str">
        <f>IFERROR(INDEX(회사별_교통수단매핑!$C$2:$C$1000,MATCH(1,INDEX(($C$14=회사별_교통수단매핑!$A$2:$A$1000)*($Y561=회사별_교통수단매핑!$B$2:$B$1000),0),0)),"")</f>
        <v>국내선 항공</v>
      </c>
      <c r="E561" s="5">
        <v>1</v>
      </c>
      <c r="F561" s="42" t="s">
        <v>120</v>
      </c>
      <c r="G561" s="8" t="s">
        <v>522</v>
      </c>
      <c r="H561" s="12"/>
      <c r="I561" s="5">
        <f t="shared" si="8"/>
        <v>1</v>
      </c>
      <c r="J561" s="5"/>
      <c r="K561" s="5">
        <v>1</v>
      </c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6"/>
      <c r="W561" s="7">
        <v>1.4253000000000001E-4</v>
      </c>
      <c r="X561" s="7">
        <v>0.11226404245241391</v>
      </c>
      <c r="Y561" s="41" t="s">
        <v>116</v>
      </c>
    </row>
    <row r="562" spans="2:25" ht="17.100000000000001" customHeight="1">
      <c r="B562" s="5" t="s">
        <v>41</v>
      </c>
      <c r="C562" s="40" t="s">
        <v>307</v>
      </c>
      <c r="D562" s="5" t="str">
        <f>IFERROR(INDEX(회사별_교통수단매핑!$C$2:$C$1000,MATCH(1,INDEX(($C$14=회사별_교통수단매핑!$A$2:$A$1000)*($Y562=회사별_교통수단매핑!$B$2:$B$1000),0),0)),"")</f>
        <v>국내선 항공</v>
      </c>
      <c r="E562" s="5">
        <v>1</v>
      </c>
      <c r="F562" s="42" t="s">
        <v>120</v>
      </c>
      <c r="G562" s="8" t="s">
        <v>523</v>
      </c>
      <c r="H562" s="12"/>
      <c r="I562" s="5">
        <f t="shared" si="8"/>
        <v>1</v>
      </c>
      <c r="J562" s="5"/>
      <c r="K562" s="5"/>
      <c r="L562" s="5">
        <v>1</v>
      </c>
      <c r="M562" s="5"/>
      <c r="N562" s="5"/>
      <c r="O562" s="5"/>
      <c r="P562" s="5"/>
      <c r="Q562" s="5"/>
      <c r="R562" s="5"/>
      <c r="S562" s="5"/>
      <c r="T562" s="5"/>
      <c r="U562" s="5"/>
      <c r="V562" s="6"/>
      <c r="W562" s="7">
        <v>1.4253000000000001E-4</v>
      </c>
      <c r="X562" s="7">
        <v>0.11226404245241391</v>
      </c>
      <c r="Y562" s="41" t="s">
        <v>116</v>
      </c>
    </row>
    <row r="563" spans="2:25" ht="17.100000000000001" customHeight="1">
      <c r="B563" s="5" t="s">
        <v>41</v>
      </c>
      <c r="C563" s="40" t="s">
        <v>307</v>
      </c>
      <c r="D563" s="5" t="str">
        <f>IFERROR(INDEX(회사별_교통수단매핑!$C$2:$C$1000,MATCH(1,INDEX(($C$14=회사별_교통수단매핑!$A$2:$A$1000)*($Y563=회사별_교통수단매핑!$B$2:$B$1000),0),0)),"")</f>
        <v>국내선 항공</v>
      </c>
      <c r="E563" s="5">
        <v>1</v>
      </c>
      <c r="F563" s="42" t="s">
        <v>120</v>
      </c>
      <c r="G563" s="8" t="s">
        <v>524</v>
      </c>
      <c r="H563" s="12"/>
      <c r="I563" s="5">
        <f t="shared" si="8"/>
        <v>4</v>
      </c>
      <c r="J563" s="5"/>
      <c r="K563" s="5"/>
      <c r="L563" s="5"/>
      <c r="M563" s="5"/>
      <c r="N563" s="5"/>
      <c r="O563" s="5"/>
      <c r="P563" s="5"/>
      <c r="Q563" s="5"/>
      <c r="R563" s="5">
        <v>4</v>
      </c>
      <c r="S563" s="5"/>
      <c r="T563" s="5"/>
      <c r="U563" s="5"/>
      <c r="V563" s="6"/>
      <c r="W563" s="7">
        <v>1.4253000000000001E-4</v>
      </c>
      <c r="X563" s="7">
        <v>0.44905616980965579</v>
      </c>
      <c r="Y563" s="41" t="s">
        <v>116</v>
      </c>
    </row>
    <row r="564" spans="2:25" ht="17.100000000000001" customHeight="1">
      <c r="B564" s="5" t="s">
        <v>41</v>
      </c>
      <c r="C564" s="40" t="s">
        <v>307</v>
      </c>
      <c r="D564" s="5" t="str">
        <f>IFERROR(INDEX(회사별_교통수단매핑!$C$2:$C$1000,MATCH(1,INDEX(($C$14=회사별_교통수단매핑!$A$2:$A$1000)*($Y564=회사별_교통수단매핑!$B$2:$B$1000),0),0)),"")</f>
        <v>국내선 항공</v>
      </c>
      <c r="E564" s="5">
        <v>1</v>
      </c>
      <c r="F564" s="42" t="s">
        <v>120</v>
      </c>
      <c r="G564" s="8" t="s">
        <v>525</v>
      </c>
      <c r="H564" s="12"/>
      <c r="I564" s="5">
        <f t="shared" si="8"/>
        <v>1</v>
      </c>
      <c r="J564" s="5"/>
      <c r="K564" s="5"/>
      <c r="L564" s="5"/>
      <c r="M564" s="5"/>
      <c r="N564" s="5"/>
      <c r="O564" s="5">
        <v>1</v>
      </c>
      <c r="P564" s="5"/>
      <c r="Q564" s="5"/>
      <c r="R564" s="5"/>
      <c r="S564" s="5"/>
      <c r="T564" s="5"/>
      <c r="U564" s="5"/>
      <c r="V564" s="6"/>
      <c r="W564" s="7">
        <v>1.4253000000000001E-4</v>
      </c>
      <c r="X564" s="7">
        <v>0.11226404245241391</v>
      </c>
      <c r="Y564" s="41" t="s">
        <v>116</v>
      </c>
    </row>
    <row r="565" spans="2:25" ht="17.100000000000001" customHeight="1">
      <c r="B565" s="5" t="s">
        <v>41</v>
      </c>
      <c r="C565" s="40" t="s">
        <v>307</v>
      </c>
      <c r="D565" s="5" t="str">
        <f>IFERROR(INDEX(회사별_교통수단매핑!$C$2:$C$1000,MATCH(1,INDEX(($C$14=회사별_교통수단매핑!$A$2:$A$1000)*($Y565=회사별_교통수단매핑!$B$2:$B$1000),0),0)),"")</f>
        <v>국내선 항공</v>
      </c>
      <c r="E565" s="5">
        <v>1</v>
      </c>
      <c r="F565" s="42" t="s">
        <v>120</v>
      </c>
      <c r="G565" s="8" t="s">
        <v>526</v>
      </c>
      <c r="H565" s="12"/>
      <c r="I565" s="5">
        <f t="shared" si="8"/>
        <v>26</v>
      </c>
      <c r="J565" s="5">
        <v>2</v>
      </c>
      <c r="K565" s="5">
        <v>3</v>
      </c>
      <c r="L565" s="5"/>
      <c r="M565" s="5">
        <v>4</v>
      </c>
      <c r="N565" s="5">
        <v>1</v>
      </c>
      <c r="O565" s="5">
        <v>2</v>
      </c>
      <c r="P565" s="5"/>
      <c r="Q565" s="5">
        <v>8</v>
      </c>
      <c r="R565" s="5">
        <v>4</v>
      </c>
      <c r="S565" s="5"/>
      <c r="T565" s="5">
        <v>1</v>
      </c>
      <c r="U565" s="5">
        <v>1</v>
      </c>
      <c r="V565" s="6"/>
      <c r="W565" s="7">
        <v>1.4253000000000001E-4</v>
      </c>
      <c r="X565" s="7">
        <v>2.9188651037627631</v>
      </c>
      <c r="Y565" s="41" t="s">
        <v>116</v>
      </c>
    </row>
    <row r="566" spans="2:25" ht="17.100000000000001" customHeight="1">
      <c r="B566" s="5" t="s">
        <v>41</v>
      </c>
      <c r="C566" s="40" t="s">
        <v>307</v>
      </c>
      <c r="D566" s="5" t="str">
        <f>IFERROR(INDEX(회사별_교통수단매핑!$C$2:$C$1000,MATCH(1,INDEX(($C$14=회사별_교통수단매핑!$A$2:$A$1000)*($Y566=회사별_교통수단매핑!$B$2:$B$1000),0),0)),"")</f>
        <v>국내선 항공</v>
      </c>
      <c r="E566" s="5">
        <v>1</v>
      </c>
      <c r="F566" s="42" t="s">
        <v>120</v>
      </c>
      <c r="G566" s="8" t="s">
        <v>148</v>
      </c>
      <c r="H566" s="12"/>
      <c r="I566" s="5">
        <f t="shared" si="8"/>
        <v>57</v>
      </c>
      <c r="J566" s="5"/>
      <c r="K566" s="5">
        <v>3</v>
      </c>
      <c r="L566" s="5">
        <v>9</v>
      </c>
      <c r="M566" s="5">
        <v>1</v>
      </c>
      <c r="N566" s="5">
        <v>5</v>
      </c>
      <c r="O566" s="5">
        <v>3</v>
      </c>
      <c r="P566" s="5">
        <v>17</v>
      </c>
      <c r="Q566" s="5">
        <v>1</v>
      </c>
      <c r="R566" s="5">
        <v>3</v>
      </c>
      <c r="S566" s="5">
        <v>5</v>
      </c>
      <c r="T566" s="5">
        <v>3</v>
      </c>
      <c r="U566" s="5">
        <v>7</v>
      </c>
      <c r="V566" s="6"/>
      <c r="W566" s="7">
        <v>1.4253000000000001E-4</v>
      </c>
      <c r="X566" s="7">
        <v>6.3990504197875957</v>
      </c>
      <c r="Y566" s="41" t="s">
        <v>116</v>
      </c>
    </row>
    <row r="567" spans="2:25" ht="17.100000000000001" customHeight="1">
      <c r="B567" s="5" t="s">
        <v>41</v>
      </c>
      <c r="C567" s="40" t="s">
        <v>307</v>
      </c>
      <c r="D567" s="5" t="str">
        <f>IFERROR(INDEX(회사별_교통수단매핑!$C$2:$C$1000,MATCH(1,INDEX(($C$14=회사별_교통수단매핑!$A$2:$A$1000)*($Y567=회사별_교통수단매핑!$B$2:$B$1000),0),0)),"")</f>
        <v>국내선 항공</v>
      </c>
      <c r="E567" s="5">
        <v>1</v>
      </c>
      <c r="F567" s="42" t="s">
        <v>120</v>
      </c>
      <c r="G567" s="8" t="s">
        <v>527</v>
      </c>
      <c r="H567" s="12"/>
      <c r="I567" s="5">
        <f t="shared" si="8"/>
        <v>2</v>
      </c>
      <c r="J567" s="5"/>
      <c r="K567" s="5"/>
      <c r="L567" s="5"/>
      <c r="M567" s="5">
        <v>1</v>
      </c>
      <c r="N567" s="5">
        <v>1</v>
      </c>
      <c r="O567" s="5"/>
      <c r="P567" s="5"/>
      <c r="Q567" s="5"/>
      <c r="R567" s="5"/>
      <c r="S567" s="5"/>
      <c r="T567" s="5"/>
      <c r="U567" s="5"/>
      <c r="V567" s="6"/>
      <c r="W567" s="7">
        <v>1.4253000000000001E-4</v>
      </c>
      <c r="X567" s="7">
        <v>0.2245280849048279</v>
      </c>
      <c r="Y567" s="41" t="s">
        <v>116</v>
      </c>
    </row>
    <row r="568" spans="2:25" ht="17.100000000000001" customHeight="1">
      <c r="B568" s="5" t="s">
        <v>41</v>
      </c>
      <c r="C568" s="40" t="s">
        <v>307</v>
      </c>
      <c r="D568" s="5" t="str">
        <f>IFERROR(INDEX(회사별_교통수단매핑!$C$2:$C$1000,MATCH(1,INDEX(($C$14=회사별_교통수단매핑!$A$2:$A$1000)*($Y568=회사별_교통수단매핑!$B$2:$B$1000),0),0)),"")</f>
        <v>국내선 항공</v>
      </c>
      <c r="E568" s="5">
        <v>1</v>
      </c>
      <c r="F568" s="42" t="s">
        <v>120</v>
      </c>
      <c r="G568" s="8" t="s">
        <v>206</v>
      </c>
      <c r="H568" s="12"/>
      <c r="I568" s="5">
        <f t="shared" si="8"/>
        <v>27</v>
      </c>
      <c r="J568" s="5"/>
      <c r="K568" s="5"/>
      <c r="L568" s="5"/>
      <c r="M568" s="5"/>
      <c r="N568" s="5">
        <v>4</v>
      </c>
      <c r="O568" s="5">
        <v>2</v>
      </c>
      <c r="P568" s="5"/>
      <c r="Q568" s="5"/>
      <c r="R568" s="5">
        <v>2</v>
      </c>
      <c r="S568" s="5">
        <v>8</v>
      </c>
      <c r="T568" s="5"/>
      <c r="U568" s="5">
        <v>11</v>
      </c>
      <c r="V568" s="6"/>
      <c r="W568" s="7">
        <v>1.4253000000000001E-4</v>
      </c>
      <c r="X568" s="7">
        <v>3.0311291462151759</v>
      </c>
      <c r="Y568" s="41" t="s">
        <v>116</v>
      </c>
    </row>
    <row r="569" spans="2:25" ht="17.100000000000001" customHeight="1">
      <c r="B569" s="5" t="s">
        <v>41</v>
      </c>
      <c r="C569" s="40" t="s">
        <v>307</v>
      </c>
      <c r="D569" s="5" t="str">
        <f>IFERROR(INDEX(회사별_교통수단매핑!$C$2:$C$1000,MATCH(1,INDEX(($C$14=회사별_교통수단매핑!$A$2:$A$1000)*($Y569=회사별_교통수단매핑!$B$2:$B$1000),0),0)),"")</f>
        <v>페리</v>
      </c>
      <c r="E569" s="5">
        <v>1</v>
      </c>
      <c r="F569" s="42" t="s">
        <v>120</v>
      </c>
      <c r="G569" s="8" t="s">
        <v>187</v>
      </c>
      <c r="H569" s="12"/>
      <c r="I569" s="5">
        <f t="shared" si="8"/>
        <v>1</v>
      </c>
      <c r="J569" s="5"/>
      <c r="K569" s="5"/>
      <c r="L569" s="5"/>
      <c r="M569" s="5">
        <v>1</v>
      </c>
      <c r="N569" s="5"/>
      <c r="O569" s="5"/>
      <c r="P569" s="5"/>
      <c r="Q569" s="5"/>
      <c r="R569" s="5"/>
      <c r="S569" s="5"/>
      <c r="T569" s="5"/>
      <c r="U569" s="5"/>
      <c r="V569" s="6"/>
      <c r="W569" s="7">
        <v>1.127E-4</v>
      </c>
      <c r="X569" s="7">
        <v>0.1536324751831975</v>
      </c>
      <c r="Y569" s="41" t="s">
        <v>528</v>
      </c>
    </row>
    <row r="570" spans="2:25" ht="17.100000000000001" customHeight="1">
      <c r="B570" s="5" t="s">
        <v>41</v>
      </c>
      <c r="C570" s="40" t="s">
        <v>307</v>
      </c>
      <c r="D570" s="5" t="str">
        <f>IFERROR(INDEX(회사별_교통수단매핑!$C$2:$C$1000,MATCH(1,INDEX(($C$14=회사별_교통수단매핑!$A$2:$A$1000)*($Y570=회사별_교통수단매핑!$B$2:$B$1000),0),0)),"")</f>
        <v>페리</v>
      </c>
      <c r="E570" s="5">
        <v>1</v>
      </c>
      <c r="F570" s="42" t="s">
        <v>120</v>
      </c>
      <c r="G570" s="8" t="s">
        <v>43</v>
      </c>
      <c r="H570" s="12"/>
      <c r="I570" s="5">
        <f t="shared" si="8"/>
        <v>1</v>
      </c>
      <c r="J570" s="5"/>
      <c r="K570" s="5"/>
      <c r="L570" s="5"/>
      <c r="M570" s="5"/>
      <c r="N570" s="5"/>
      <c r="O570" s="5"/>
      <c r="P570" s="5"/>
      <c r="Q570" s="5"/>
      <c r="R570" s="5"/>
      <c r="S570" s="5">
        <v>1</v>
      </c>
      <c r="T570" s="5"/>
      <c r="U570" s="5"/>
      <c r="V570" s="6"/>
      <c r="W570" s="7">
        <v>1.127E-4</v>
      </c>
      <c r="X570" s="7">
        <v>6.2280274762442529E-2</v>
      </c>
      <c r="Y570" s="41" t="s">
        <v>528</v>
      </c>
    </row>
    <row r="571" spans="2:25" ht="17.100000000000001" customHeight="1">
      <c r="B571" s="5" t="s">
        <v>41</v>
      </c>
      <c r="C571" s="40" t="s">
        <v>307</v>
      </c>
      <c r="D571" s="5" t="str">
        <f>IFERROR(INDEX(회사별_교통수단매핑!$C$2:$C$1000,MATCH(1,INDEX(($C$14=회사별_교통수단매핑!$A$2:$A$1000)*($Y571=회사별_교통수단매핑!$B$2:$B$1000),0),0)),"")</f>
        <v>페리</v>
      </c>
      <c r="E571" s="5">
        <v>1</v>
      </c>
      <c r="F571" s="42" t="s">
        <v>120</v>
      </c>
      <c r="G571" s="8" t="s">
        <v>506</v>
      </c>
      <c r="H571" s="12"/>
      <c r="I571" s="5">
        <f t="shared" si="8"/>
        <v>1</v>
      </c>
      <c r="J571" s="5"/>
      <c r="K571" s="5">
        <v>1</v>
      </c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6"/>
      <c r="W571" s="7">
        <v>1.127E-4</v>
      </c>
      <c r="X571" s="7">
        <v>0.13669745084323831</v>
      </c>
      <c r="Y571" s="41" t="s">
        <v>528</v>
      </c>
    </row>
    <row r="572" spans="2:25" ht="17.100000000000001" customHeight="1">
      <c r="B572" s="5" t="s">
        <v>41</v>
      </c>
      <c r="C572" s="40" t="s">
        <v>307</v>
      </c>
      <c r="D572" s="5" t="str">
        <f>IFERROR(INDEX(회사별_교통수단매핑!$C$2:$C$1000,MATCH(1,INDEX(($C$14=회사별_교통수단매핑!$A$2:$A$1000)*($Y572=회사별_교통수단매핑!$B$2:$B$1000),0),0)),"")</f>
        <v>페리</v>
      </c>
      <c r="E572" s="5">
        <v>1</v>
      </c>
      <c r="F572" s="42" t="s">
        <v>120</v>
      </c>
      <c r="G572" s="8" t="s">
        <v>520</v>
      </c>
      <c r="H572" s="12"/>
      <c r="I572" s="5">
        <f t="shared" si="8"/>
        <v>1</v>
      </c>
      <c r="J572" s="5"/>
      <c r="K572" s="5"/>
      <c r="L572" s="5"/>
      <c r="M572" s="5"/>
      <c r="N572" s="5"/>
      <c r="O572" s="5"/>
      <c r="P572" s="5"/>
      <c r="Q572" s="5">
        <v>1</v>
      </c>
      <c r="R572" s="5"/>
      <c r="S572" s="5"/>
      <c r="T572" s="5"/>
      <c r="U572" s="5"/>
      <c r="V572" s="6"/>
      <c r="W572" s="7">
        <v>1.127E-4</v>
      </c>
      <c r="X572" s="7">
        <v>0.1167391213083922</v>
      </c>
      <c r="Y572" s="41" t="s">
        <v>528</v>
      </c>
    </row>
    <row r="573" spans="2:25" ht="17.100000000000001" customHeight="1">
      <c r="B573" s="5" t="s">
        <v>41</v>
      </c>
      <c r="C573" s="40" t="s">
        <v>307</v>
      </c>
      <c r="D573" s="5" t="str">
        <f>IFERROR(INDEX(회사별_교통수단매핑!$C$2:$C$1000,MATCH(1,INDEX(($C$14=회사별_교통수단매핑!$A$2:$A$1000)*($Y573=회사별_교통수단매핑!$B$2:$B$1000),0),0)),"")</f>
        <v>페리</v>
      </c>
      <c r="E573" s="5">
        <v>1</v>
      </c>
      <c r="F573" s="42" t="s">
        <v>120</v>
      </c>
      <c r="G573" s="8" t="s">
        <v>206</v>
      </c>
      <c r="H573" s="12"/>
      <c r="I573" s="5">
        <f t="shared" si="8"/>
        <v>1</v>
      </c>
      <c r="J573" s="5"/>
      <c r="K573" s="5"/>
      <c r="L573" s="5"/>
      <c r="M573" s="5"/>
      <c r="N573" s="5"/>
      <c r="O573" s="5"/>
      <c r="P573" s="5">
        <v>1</v>
      </c>
      <c r="Q573" s="5"/>
      <c r="R573" s="5"/>
      <c r="S573" s="5"/>
      <c r="T573" s="5"/>
      <c r="U573" s="5"/>
      <c r="V573" s="6"/>
      <c r="W573" s="7">
        <v>1.127E-4</v>
      </c>
      <c r="X573" s="7">
        <v>0.12685977804349621</v>
      </c>
      <c r="Y573" s="41" t="s">
        <v>528</v>
      </c>
    </row>
    <row r="574" spans="2:25" ht="17.100000000000001" customHeight="1">
      <c r="B574" s="5" t="s">
        <v>41</v>
      </c>
      <c r="C574" s="40" t="s">
        <v>307</v>
      </c>
      <c r="D574" s="5" t="str">
        <f>IFERROR(INDEX(회사별_교통수단매핑!$C$2:$C$1000,MATCH(1,INDEX(($C$14=회사별_교통수단매핑!$A$2:$A$1000)*($Y574=회사별_교통수단매핑!$B$2:$B$1000),0),0)),"")</f>
        <v>승용차(평균)</v>
      </c>
      <c r="E574" s="5">
        <v>1</v>
      </c>
      <c r="F574" s="42" t="s">
        <v>120</v>
      </c>
      <c r="G574" s="8" t="s">
        <v>529</v>
      </c>
      <c r="H574" s="12"/>
      <c r="I574" s="5">
        <f t="shared" si="8"/>
        <v>1</v>
      </c>
      <c r="J574" s="5"/>
      <c r="K574" s="5">
        <v>1</v>
      </c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6"/>
      <c r="W574" s="7">
        <v>1.7304000000000001E-4</v>
      </c>
      <c r="X574" s="7">
        <v>0.2010955825182312</v>
      </c>
      <c r="Y574" s="41" t="s">
        <v>122</v>
      </c>
    </row>
    <row r="575" spans="2:25" ht="17.100000000000001" customHeight="1">
      <c r="B575" s="5" t="s">
        <v>41</v>
      </c>
      <c r="C575" s="40" t="s">
        <v>307</v>
      </c>
      <c r="D575" s="5" t="str">
        <f>IFERROR(INDEX(회사별_교통수단매핑!$C$2:$C$1000,MATCH(1,INDEX(($C$14=회사별_교통수단매핑!$A$2:$A$1000)*($Y575=회사별_교통수단매핑!$B$2:$B$1000),0),0)),"")</f>
        <v>승용차(평균)</v>
      </c>
      <c r="E575" s="5">
        <v>1</v>
      </c>
      <c r="F575" s="42" t="s">
        <v>120</v>
      </c>
      <c r="G575" s="8" t="s">
        <v>530</v>
      </c>
      <c r="H575" s="12"/>
      <c r="I575" s="5">
        <f t="shared" si="8"/>
        <v>1</v>
      </c>
      <c r="J575" s="5"/>
      <c r="K575" s="5"/>
      <c r="L575" s="5"/>
      <c r="M575" s="5"/>
      <c r="N575" s="5">
        <v>1</v>
      </c>
      <c r="O575" s="5"/>
      <c r="P575" s="5"/>
      <c r="Q575" s="5"/>
      <c r="R575" s="5"/>
      <c r="S575" s="5"/>
      <c r="T575" s="5"/>
      <c r="U575" s="5"/>
      <c r="V575" s="6"/>
      <c r="W575" s="7">
        <v>1.7304000000000001E-4</v>
      </c>
      <c r="X575" s="7">
        <v>0.1389985961592112</v>
      </c>
      <c r="Y575" s="41" t="s">
        <v>122</v>
      </c>
    </row>
    <row r="576" spans="2:25" ht="17.100000000000001" customHeight="1">
      <c r="B576" s="5" t="s">
        <v>41</v>
      </c>
      <c r="C576" s="40" t="s">
        <v>307</v>
      </c>
      <c r="D576" s="5" t="str">
        <f>IFERROR(INDEX(회사별_교통수단매핑!$C$2:$C$1000,MATCH(1,INDEX(($C$14=회사별_교통수단매핑!$A$2:$A$1000)*($Y576=회사별_교통수단매핑!$B$2:$B$1000),0),0)),"")</f>
        <v>승용차(평균)</v>
      </c>
      <c r="E576" s="5">
        <v>1</v>
      </c>
      <c r="F576" s="42" t="s">
        <v>120</v>
      </c>
      <c r="G576" s="8" t="s">
        <v>531</v>
      </c>
      <c r="H576" s="12"/>
      <c r="I576" s="5">
        <f t="shared" si="8"/>
        <v>1</v>
      </c>
      <c r="J576" s="5"/>
      <c r="K576" s="5"/>
      <c r="L576" s="5">
        <v>1</v>
      </c>
      <c r="M576" s="5"/>
      <c r="N576" s="5"/>
      <c r="O576" s="5"/>
      <c r="P576" s="5"/>
      <c r="Q576" s="5"/>
      <c r="R576" s="5"/>
      <c r="S576" s="5"/>
      <c r="T576" s="5"/>
      <c r="U576" s="5"/>
      <c r="V576" s="6"/>
      <c r="W576" s="7">
        <v>1.7304000000000001E-4</v>
      </c>
      <c r="X576" s="7">
        <v>0.2048425441603802</v>
      </c>
      <c r="Y576" s="41" t="s">
        <v>122</v>
      </c>
    </row>
    <row r="577" spans="2:25" ht="17.100000000000001" customHeight="1">
      <c r="B577" s="5" t="s">
        <v>41</v>
      </c>
      <c r="C577" s="40" t="s">
        <v>307</v>
      </c>
      <c r="D577" s="5" t="str">
        <f>IFERROR(INDEX(회사별_교통수단매핑!$C$2:$C$1000,MATCH(1,INDEX(($C$14=회사별_교통수단매핑!$A$2:$A$1000)*($Y577=회사별_교통수단매핑!$B$2:$B$1000),0),0)),"")</f>
        <v>승용차(평균)</v>
      </c>
      <c r="E577" s="5">
        <v>1</v>
      </c>
      <c r="F577" s="42" t="s">
        <v>120</v>
      </c>
      <c r="G577" s="8" t="s">
        <v>526</v>
      </c>
      <c r="H577" s="12"/>
      <c r="I577" s="5">
        <f t="shared" si="8"/>
        <v>4</v>
      </c>
      <c r="J577" s="5">
        <v>1</v>
      </c>
      <c r="K577" s="5">
        <v>1</v>
      </c>
      <c r="L577" s="5">
        <v>1</v>
      </c>
      <c r="M577" s="5"/>
      <c r="N577" s="5"/>
      <c r="O577" s="5"/>
      <c r="P577" s="5"/>
      <c r="Q577" s="5"/>
      <c r="R577" s="5"/>
      <c r="S577" s="5"/>
      <c r="T577" s="5">
        <v>1</v>
      </c>
      <c r="U577" s="5"/>
      <c r="V577" s="6"/>
      <c r="W577" s="7">
        <v>1.7304000000000001E-4</v>
      </c>
      <c r="X577" s="7">
        <v>0.77912390390937303</v>
      </c>
      <c r="Y577" s="41" t="s">
        <v>122</v>
      </c>
    </row>
    <row r="578" spans="2:25" ht="17.100000000000001" customHeight="1">
      <c r="B578" s="5" t="s">
        <v>41</v>
      </c>
      <c r="C578" s="40" t="s">
        <v>307</v>
      </c>
      <c r="D578" s="5" t="str">
        <f>IFERROR(INDEX(회사별_교통수단매핑!$C$2:$C$1000,MATCH(1,INDEX(($C$14=회사별_교통수단매핑!$A$2:$A$1000)*($Y578=회사별_교통수단매핑!$B$2:$B$1000),0),0)),"")</f>
        <v>승용차(평균)</v>
      </c>
      <c r="E578" s="5">
        <v>1</v>
      </c>
      <c r="F578" s="42" t="s">
        <v>120</v>
      </c>
      <c r="G578" s="8" t="s">
        <v>148</v>
      </c>
      <c r="H578" s="12"/>
      <c r="I578" s="5">
        <f t="shared" si="8"/>
        <v>52</v>
      </c>
      <c r="J578" s="5"/>
      <c r="K578" s="5">
        <v>2</v>
      </c>
      <c r="L578" s="5">
        <v>8</v>
      </c>
      <c r="M578" s="5">
        <v>3</v>
      </c>
      <c r="N578" s="5">
        <v>6</v>
      </c>
      <c r="O578" s="5">
        <v>4</v>
      </c>
      <c r="P578" s="5">
        <v>4</v>
      </c>
      <c r="Q578" s="5">
        <v>4</v>
      </c>
      <c r="R578" s="5">
        <v>7</v>
      </c>
      <c r="S578" s="5">
        <v>7</v>
      </c>
      <c r="T578" s="5">
        <v>7</v>
      </c>
      <c r="U578" s="5"/>
      <c r="V578" s="6"/>
      <c r="W578" s="7">
        <v>1.7304000000000001E-4</v>
      </c>
      <c r="X578" s="7">
        <v>9.3205674592956296</v>
      </c>
      <c r="Y578" s="41" t="s">
        <v>122</v>
      </c>
    </row>
    <row r="579" spans="2:25" ht="17.100000000000001" customHeight="1">
      <c r="B579" s="5" t="s">
        <v>41</v>
      </c>
      <c r="C579" s="40" t="s">
        <v>307</v>
      </c>
      <c r="D579" s="5" t="str">
        <f>IFERROR(INDEX(회사별_교통수단매핑!$C$2:$C$1000,MATCH(1,INDEX(($C$14=회사별_교통수단매핑!$A$2:$A$1000)*($Y579=회사별_교통수단매핑!$B$2:$B$1000),0),0)),"")</f>
        <v>승용차(평균)</v>
      </c>
      <c r="E579" s="5">
        <v>1</v>
      </c>
      <c r="F579" s="42" t="s">
        <v>120</v>
      </c>
      <c r="G579" s="8" t="s">
        <v>206</v>
      </c>
      <c r="H579" s="12"/>
      <c r="I579" s="5">
        <f t="shared" si="8"/>
        <v>58</v>
      </c>
      <c r="J579" s="5">
        <v>1</v>
      </c>
      <c r="K579" s="5">
        <v>3</v>
      </c>
      <c r="L579" s="5">
        <v>3</v>
      </c>
      <c r="M579" s="5">
        <v>6</v>
      </c>
      <c r="N579" s="5">
        <v>3</v>
      </c>
      <c r="O579" s="5">
        <v>5</v>
      </c>
      <c r="P579" s="5">
        <v>4</v>
      </c>
      <c r="Q579" s="5">
        <v>7</v>
      </c>
      <c r="R579" s="5">
        <v>8</v>
      </c>
      <c r="S579" s="5">
        <v>6</v>
      </c>
      <c r="T579" s="5">
        <v>8</v>
      </c>
      <c r="U579" s="5">
        <v>4</v>
      </c>
      <c r="V579" s="6"/>
      <c r="W579" s="7">
        <v>1.7304000000000001E-4</v>
      </c>
      <c r="X579" s="7">
        <v>11.29729660668591</v>
      </c>
      <c r="Y579" s="41" t="s">
        <v>122</v>
      </c>
    </row>
    <row r="580" spans="2:25" ht="17.100000000000001" customHeight="1">
      <c r="B580" s="5" t="s">
        <v>41</v>
      </c>
      <c r="C580" s="40" t="s">
        <v>307</v>
      </c>
      <c r="D580" s="5" t="str">
        <f>IFERROR(INDEX(회사별_교통수단매핑!$C$2:$C$1000,MATCH(1,INDEX(($C$14=회사별_교통수단매핑!$A$2:$A$1000)*($Y580=회사별_교통수단매핑!$B$2:$B$1000),0),0)),"")</f>
        <v>철도/KTX/SRT</v>
      </c>
      <c r="E580" s="5">
        <v>1</v>
      </c>
      <c r="F580" s="42" t="s">
        <v>120</v>
      </c>
      <c r="G580" s="8" t="s">
        <v>348</v>
      </c>
      <c r="H580" s="12"/>
      <c r="I580" s="5">
        <f t="shared" si="8"/>
        <v>2</v>
      </c>
      <c r="J580" s="5"/>
      <c r="K580" s="5">
        <v>1</v>
      </c>
      <c r="L580" s="5"/>
      <c r="M580" s="5"/>
      <c r="N580" s="5"/>
      <c r="O580" s="5">
        <v>1</v>
      </c>
      <c r="P580" s="5"/>
      <c r="Q580" s="5"/>
      <c r="R580" s="5"/>
      <c r="S580" s="5"/>
      <c r="T580" s="5"/>
      <c r="U580" s="5"/>
      <c r="V580" s="6"/>
      <c r="W580" s="7">
        <v>3.5460000000000003E-5</v>
      </c>
      <c r="X580" s="7">
        <v>5.8822542401904702E-2</v>
      </c>
      <c r="Y580" s="41" t="s">
        <v>134</v>
      </c>
    </row>
    <row r="581" spans="2:25" ht="17.100000000000001" customHeight="1">
      <c r="B581" s="5" t="s">
        <v>41</v>
      </c>
      <c r="C581" s="40" t="s">
        <v>307</v>
      </c>
      <c r="D581" s="5" t="str">
        <f>IFERROR(INDEX(회사별_교통수단매핑!$C$2:$C$1000,MATCH(1,INDEX(($C$14=회사별_교통수단매핑!$A$2:$A$1000)*($Y581=회사별_교통수단매핑!$B$2:$B$1000),0),0)),"")</f>
        <v>철도/KTX/SRT</v>
      </c>
      <c r="E581" s="5">
        <v>1</v>
      </c>
      <c r="F581" s="42" t="s">
        <v>120</v>
      </c>
      <c r="G581" s="8" t="s">
        <v>483</v>
      </c>
      <c r="H581" s="12"/>
      <c r="I581" s="5">
        <f t="shared" si="8"/>
        <v>1</v>
      </c>
      <c r="J581" s="5"/>
      <c r="K581" s="5">
        <v>1</v>
      </c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6"/>
      <c r="W581" s="7">
        <v>3.5460000000000003E-5</v>
      </c>
      <c r="X581" s="7">
        <v>3.0990290430832509E-2</v>
      </c>
      <c r="Y581" s="41" t="s">
        <v>134</v>
      </c>
    </row>
    <row r="582" spans="2:25" ht="17.100000000000001" customHeight="1">
      <c r="B582" s="5" t="s">
        <v>41</v>
      </c>
      <c r="C582" s="40" t="s">
        <v>307</v>
      </c>
      <c r="D582" s="5" t="str">
        <f>IFERROR(INDEX(회사별_교통수단매핑!$C$2:$C$1000,MATCH(1,INDEX(($C$14=회사별_교통수단매핑!$A$2:$A$1000)*($Y582=회사별_교통수단매핑!$B$2:$B$1000),0),0)),"")</f>
        <v>철도/KTX/SRT</v>
      </c>
      <c r="E582" s="5">
        <v>1</v>
      </c>
      <c r="F582" s="42" t="s">
        <v>120</v>
      </c>
      <c r="G582" s="8" t="s">
        <v>208</v>
      </c>
      <c r="H582" s="12"/>
      <c r="I582" s="5">
        <f t="shared" si="8"/>
        <v>1</v>
      </c>
      <c r="J582" s="5"/>
      <c r="K582" s="5"/>
      <c r="L582" s="5">
        <v>1</v>
      </c>
      <c r="M582" s="5"/>
      <c r="N582" s="5"/>
      <c r="O582" s="5"/>
      <c r="P582" s="5"/>
      <c r="Q582" s="5"/>
      <c r="R582" s="5"/>
      <c r="S582" s="5"/>
      <c r="T582" s="5"/>
      <c r="U582" s="5"/>
      <c r="V582" s="6"/>
      <c r="W582" s="7">
        <v>3.5460000000000003E-5</v>
      </c>
      <c r="X582" s="7">
        <v>3.0990290430832509E-2</v>
      </c>
      <c r="Y582" s="41" t="s">
        <v>134</v>
      </c>
    </row>
    <row r="583" spans="2:25" ht="17.100000000000001" customHeight="1">
      <c r="B583" s="5" t="s">
        <v>41</v>
      </c>
      <c r="C583" s="40" t="s">
        <v>307</v>
      </c>
      <c r="D583" s="5" t="str">
        <f>IFERROR(INDEX(회사별_교통수단매핑!$C$2:$C$1000,MATCH(1,INDEX(($C$14=회사별_교통수단매핑!$A$2:$A$1000)*($Y583=회사별_교통수단매핑!$B$2:$B$1000),0),0)),"")</f>
        <v>철도/KTX/SRT</v>
      </c>
      <c r="E583" s="5">
        <v>1</v>
      </c>
      <c r="F583" s="42" t="s">
        <v>120</v>
      </c>
      <c r="G583" s="8" t="s">
        <v>199</v>
      </c>
      <c r="H583" s="12"/>
      <c r="I583" s="5">
        <f t="shared" si="8"/>
        <v>1</v>
      </c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>
        <v>1</v>
      </c>
      <c r="U583" s="5"/>
      <c r="V583" s="6"/>
      <c r="W583" s="7">
        <v>3.5460000000000003E-5</v>
      </c>
      <c r="X583" s="7">
        <v>3.0990290430832509E-2</v>
      </c>
      <c r="Y583" s="41" t="s">
        <v>134</v>
      </c>
    </row>
    <row r="584" spans="2:25" ht="17.100000000000001" customHeight="1">
      <c r="B584" s="5" t="s">
        <v>41</v>
      </c>
      <c r="C584" s="40" t="s">
        <v>307</v>
      </c>
      <c r="D584" s="5" t="str">
        <f>IFERROR(INDEX(회사별_교통수단매핑!$C$2:$C$1000,MATCH(1,INDEX(($C$14=회사별_교통수단매핑!$A$2:$A$1000)*($Y584=회사별_교통수단매핑!$B$2:$B$1000),0),0)),"")</f>
        <v>철도/KTX/SRT</v>
      </c>
      <c r="E584" s="5">
        <v>1</v>
      </c>
      <c r="F584" s="42" t="s">
        <v>120</v>
      </c>
      <c r="G584" s="8" t="s">
        <v>200</v>
      </c>
      <c r="H584" s="12"/>
      <c r="I584" s="5">
        <f t="shared" si="8"/>
        <v>2</v>
      </c>
      <c r="J584" s="5"/>
      <c r="K584" s="5"/>
      <c r="L584" s="5">
        <v>1</v>
      </c>
      <c r="M584" s="5"/>
      <c r="N584" s="5"/>
      <c r="O584" s="5"/>
      <c r="P584" s="5"/>
      <c r="Q584" s="5"/>
      <c r="R584" s="5">
        <v>1</v>
      </c>
      <c r="S584" s="5"/>
      <c r="T584" s="5"/>
      <c r="U584" s="5"/>
      <c r="V584" s="6"/>
      <c r="W584" s="7">
        <v>3.5460000000000003E-5</v>
      </c>
      <c r="X584" s="7">
        <v>6.1980580861665018E-2</v>
      </c>
      <c r="Y584" s="41" t="s">
        <v>134</v>
      </c>
    </row>
    <row r="585" spans="2:25" ht="17.100000000000001" customHeight="1">
      <c r="B585" s="5" t="s">
        <v>41</v>
      </c>
      <c r="C585" s="40" t="s">
        <v>307</v>
      </c>
      <c r="D585" s="5" t="str">
        <f>IFERROR(INDEX(회사별_교통수단매핑!$C$2:$C$1000,MATCH(1,INDEX(($C$14=회사별_교통수단매핑!$A$2:$A$1000)*($Y585=회사별_교통수단매핑!$B$2:$B$1000),0),0)),"")</f>
        <v>철도/KTX/SRT</v>
      </c>
      <c r="E585" s="5">
        <v>1</v>
      </c>
      <c r="F585" s="42" t="s">
        <v>120</v>
      </c>
      <c r="G585" s="8" t="s">
        <v>95</v>
      </c>
      <c r="H585" s="12"/>
      <c r="I585" s="5">
        <f t="shared" si="8"/>
        <v>1</v>
      </c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>
        <v>1</v>
      </c>
      <c r="U585" s="5"/>
      <c r="V585" s="6"/>
      <c r="W585" s="7">
        <v>3.5460000000000003E-5</v>
      </c>
      <c r="X585" s="7">
        <v>2.469963155765436E-2</v>
      </c>
      <c r="Y585" s="41" t="s">
        <v>134</v>
      </c>
    </row>
    <row r="586" spans="2:25" ht="17.100000000000001" customHeight="1">
      <c r="B586" s="5" t="s">
        <v>41</v>
      </c>
      <c r="C586" s="40" t="s">
        <v>532</v>
      </c>
      <c r="D586" s="5" t="str">
        <f>IFERROR(INDEX(회사별_교통수단매핑!$C$2:$C$1000,MATCH(1,INDEX(($C$14=회사별_교통수단매핑!$A$2:$A$1000)*($Y586=회사별_교통수단매핑!$B$2:$B$1000),0),0)),"")</f>
        <v>국내선 항공</v>
      </c>
      <c r="E586" s="5">
        <v>1</v>
      </c>
      <c r="F586" s="42" t="s">
        <v>222</v>
      </c>
      <c r="G586" s="8" t="s">
        <v>49</v>
      </c>
      <c r="H586" s="12"/>
      <c r="I586" s="5">
        <f t="shared" si="8"/>
        <v>6</v>
      </c>
      <c r="J586" s="5"/>
      <c r="K586" s="5"/>
      <c r="L586" s="5">
        <v>1</v>
      </c>
      <c r="M586" s="5">
        <v>1</v>
      </c>
      <c r="N586" s="5">
        <v>1</v>
      </c>
      <c r="O586" s="5"/>
      <c r="P586" s="5"/>
      <c r="Q586" s="5"/>
      <c r="R586" s="5"/>
      <c r="S586" s="5"/>
      <c r="T586" s="5">
        <v>2</v>
      </c>
      <c r="U586" s="5">
        <v>1</v>
      </c>
      <c r="V586" s="6"/>
      <c r="W586" s="7">
        <v>1.4253000000000001E-4</v>
      </c>
      <c r="X586" s="7">
        <v>0.85439376412703405</v>
      </c>
      <c r="Y586" s="41" t="s">
        <v>116</v>
      </c>
    </row>
    <row r="587" spans="2:25" ht="17.100000000000001" customHeight="1">
      <c r="B587" s="5" t="s">
        <v>41</v>
      </c>
      <c r="C587" s="40" t="s">
        <v>532</v>
      </c>
      <c r="D587" s="5" t="str">
        <f>IFERROR(INDEX(회사별_교통수단매핑!$C$2:$C$1000,MATCH(1,INDEX(($C$14=회사별_교통수단매핑!$A$2:$A$1000)*($Y587=회사별_교통수단매핑!$B$2:$B$1000),0),0)),"")</f>
        <v>국내선 항공</v>
      </c>
      <c r="E587" s="5">
        <v>1</v>
      </c>
      <c r="F587" s="42" t="s">
        <v>222</v>
      </c>
      <c r="G587" s="8" t="s">
        <v>143</v>
      </c>
      <c r="H587" s="12"/>
      <c r="I587" s="5">
        <f t="shared" si="8"/>
        <v>1</v>
      </c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>
        <v>1</v>
      </c>
      <c r="U587" s="5"/>
      <c r="V587" s="6"/>
      <c r="W587" s="7">
        <v>1.4253000000000001E-4</v>
      </c>
      <c r="X587" s="7">
        <v>0.142398960687839</v>
      </c>
      <c r="Y587" s="41" t="s">
        <v>116</v>
      </c>
    </row>
    <row r="588" spans="2:25">
      <c r="B588" s="5"/>
      <c r="C588" s="5"/>
      <c r="D588" s="5" t="str">
        <f>IFERROR(INDEX(회사별_교통수단매핑!$C$2:$C$1000,MATCH(1,INDEX(($C$14=회사별_교통수단매핑!$A$2:$A$1000)*($Y588=회사별_교통수단매핑!$B$2:$B$1000),0),0)),"")</f>
        <v/>
      </c>
      <c r="E588" s="5"/>
      <c r="F588" s="42"/>
      <c r="G588" s="8"/>
      <c r="H588" s="12"/>
      <c r="I588" s="5" t="str">
        <f t="shared" si="8"/>
        <v/>
      </c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6"/>
      <c r="W588" s="7"/>
      <c r="X588" s="7"/>
      <c r="Y588" s="41"/>
    </row>
    <row r="589" spans="2:25">
      <c r="B589" s="5"/>
      <c r="C589" s="5"/>
      <c r="D589" s="5" t="str">
        <f>IFERROR(INDEX(회사별_교통수단매핑!$C$2:$C$1000,MATCH(1,INDEX(($C$14=회사별_교통수단매핑!$A$2:$A$1000)*($Y589=회사별_교통수단매핑!$B$2:$B$1000),0),0)),"")</f>
        <v/>
      </c>
      <c r="E589" s="5"/>
      <c r="F589" s="42"/>
      <c r="G589" s="8"/>
      <c r="H589" s="12"/>
      <c r="I589" s="5" t="str">
        <f t="shared" si="8"/>
        <v/>
      </c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6"/>
      <c r="W589" s="7"/>
      <c r="X589" s="7"/>
      <c r="Y589" s="41"/>
    </row>
    <row r="590" spans="2:25">
      <c r="B590" s="5"/>
      <c r="C590" s="5"/>
      <c r="D590" s="5" t="str">
        <f>IFERROR(INDEX(회사별_교통수단매핑!$C$2:$C$1000,MATCH(1,INDEX(($C$14=회사별_교통수단매핑!$A$2:$A$1000)*($Y590=회사별_교통수단매핑!$B$2:$B$1000),0),0)),"")</f>
        <v/>
      </c>
      <c r="E590" s="5"/>
      <c r="F590" s="42"/>
      <c r="G590" s="8"/>
      <c r="H590" s="12"/>
      <c r="I590" s="5" t="str">
        <f t="shared" si="8"/>
        <v/>
      </c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6"/>
      <c r="W590" s="7"/>
      <c r="X590" s="7"/>
      <c r="Y590" s="41"/>
    </row>
    <row r="591" spans="2:25">
      <c r="B591" s="5"/>
      <c r="C591" s="5"/>
      <c r="D591" s="5" t="str">
        <f>IFERROR(INDEX(회사별_교통수단매핑!$C$2:$C$1000,MATCH(1,INDEX(($C$14=회사별_교통수단매핑!$A$2:$A$1000)*($Y591=회사별_교통수단매핑!$B$2:$B$1000),0),0)),"")</f>
        <v/>
      </c>
      <c r="E591" s="5"/>
      <c r="F591" s="42"/>
      <c r="G591" s="8"/>
      <c r="H591" s="12"/>
      <c r="I591" s="5" t="str">
        <f t="shared" si="8"/>
        <v/>
      </c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6"/>
      <c r="W591" s="7"/>
      <c r="X591" s="7"/>
      <c r="Y591" s="41"/>
    </row>
    <row r="592" spans="2:25">
      <c r="B592" s="5"/>
      <c r="C592" s="5"/>
      <c r="D592" s="5" t="str">
        <f>IFERROR(INDEX(회사별_교통수단매핑!$C$2:$C$1000,MATCH(1,INDEX(($C$14=회사별_교통수단매핑!$A$2:$A$1000)*($Y592=회사별_교통수단매핑!$B$2:$B$1000),0),0)),"")</f>
        <v/>
      </c>
      <c r="E592" s="5"/>
      <c r="F592" s="42"/>
      <c r="G592" s="8"/>
      <c r="H592" s="12"/>
      <c r="I592" s="5" t="str">
        <f t="shared" si="8"/>
        <v/>
      </c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6"/>
      <c r="W592" s="7"/>
      <c r="X592" s="7"/>
      <c r="Y592" s="41"/>
    </row>
    <row r="593" spans="2:25">
      <c r="B593" s="5"/>
      <c r="C593" s="5"/>
      <c r="D593" s="5" t="str">
        <f>IFERROR(INDEX(회사별_교통수단매핑!$C$2:$C$1000,MATCH(1,INDEX(($C$14=회사별_교통수단매핑!$A$2:$A$1000)*($Y593=회사별_교통수단매핑!$B$2:$B$1000),0),0)),"")</f>
        <v/>
      </c>
      <c r="E593" s="5"/>
      <c r="F593" s="42"/>
      <c r="G593" s="8"/>
      <c r="H593" s="12"/>
      <c r="I593" s="5" t="str">
        <f t="shared" si="8"/>
        <v/>
      </c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6"/>
      <c r="W593" s="7"/>
      <c r="X593" s="7"/>
      <c r="Y593" s="41"/>
    </row>
    <row r="594" spans="2:25">
      <c r="B594" s="5"/>
      <c r="C594" s="5"/>
      <c r="D594" s="5" t="str">
        <f>IFERROR(INDEX(회사별_교통수단매핑!$C$2:$C$1000,MATCH(1,INDEX(($C$14=회사별_교통수단매핑!$A$2:$A$1000)*($Y594=회사별_교통수단매핑!$B$2:$B$1000),0),0)),"")</f>
        <v/>
      </c>
      <c r="E594" s="5"/>
      <c r="F594" s="42"/>
      <c r="G594" s="8"/>
      <c r="H594" s="12"/>
      <c r="I594" s="5" t="str">
        <f t="shared" si="8"/>
        <v/>
      </c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6"/>
      <c r="W594" s="7"/>
      <c r="X594" s="7"/>
      <c r="Y594" s="41"/>
    </row>
    <row r="595" spans="2:25">
      <c r="B595" s="5"/>
      <c r="C595" s="5"/>
      <c r="D595" s="5" t="str">
        <f>IFERROR(INDEX(회사별_교통수단매핑!$C$2:$C$1000,MATCH(1,INDEX(($C$14=회사별_교통수단매핑!$A$2:$A$1000)*($Y595=회사별_교통수단매핑!$B$2:$B$1000),0),0)),"")</f>
        <v/>
      </c>
      <c r="E595" s="5"/>
      <c r="F595" s="42"/>
      <c r="G595" s="8"/>
      <c r="H595" s="12"/>
      <c r="I595" s="5" t="str">
        <f t="shared" si="8"/>
        <v/>
      </c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6"/>
      <c r="W595" s="7"/>
      <c r="X595" s="7"/>
      <c r="Y595" s="41"/>
    </row>
    <row r="596" spans="2:25">
      <c r="B596" s="5"/>
      <c r="C596" s="5"/>
      <c r="D596" s="5" t="str">
        <f>IFERROR(INDEX(회사별_교통수단매핑!$C$2:$C$1000,MATCH(1,INDEX(($C$14=회사별_교통수단매핑!$A$2:$A$1000)*($Y596=회사별_교통수단매핑!$B$2:$B$1000),0),0)),"")</f>
        <v/>
      </c>
      <c r="E596" s="5"/>
      <c r="F596" s="42"/>
      <c r="G596" s="8"/>
      <c r="H596" s="12"/>
      <c r="I596" s="5" t="str">
        <f t="shared" si="8"/>
        <v/>
      </c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6"/>
      <c r="W596" s="7"/>
      <c r="X596" s="7"/>
      <c r="Y596" s="41"/>
    </row>
    <row r="597" spans="2:25">
      <c r="B597" s="5"/>
      <c r="C597" s="5"/>
      <c r="D597" s="5" t="str">
        <f>IFERROR(INDEX(회사별_교통수단매핑!$C$2:$C$1000,MATCH(1,INDEX(($C$14=회사별_교통수단매핑!$A$2:$A$1000)*($Y597=회사별_교통수단매핑!$B$2:$B$1000),0),0)),"")</f>
        <v/>
      </c>
      <c r="E597" s="5"/>
      <c r="F597" s="42"/>
      <c r="G597" s="8"/>
      <c r="H597" s="12"/>
      <c r="I597" s="5" t="str">
        <f t="shared" ref="I597:I660" si="9">IF(SUM(J597:U597)=0,"",SUM(J597:U597))</f>
        <v/>
      </c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6"/>
      <c r="W597" s="7"/>
      <c r="X597" s="7"/>
      <c r="Y597" s="41"/>
    </row>
    <row r="598" spans="2:25">
      <c r="B598" s="5"/>
      <c r="C598" s="5"/>
      <c r="D598" s="5" t="str">
        <f>IFERROR(INDEX(회사별_교통수단매핑!$C$2:$C$1000,MATCH(1,INDEX(($C$14=회사별_교통수단매핑!$A$2:$A$1000)*($Y598=회사별_교통수단매핑!$B$2:$B$1000),0),0)),"")</f>
        <v/>
      </c>
      <c r="E598" s="5"/>
      <c r="F598" s="42"/>
      <c r="G598" s="8"/>
      <c r="H598" s="12"/>
      <c r="I598" s="5" t="str">
        <f t="shared" si="9"/>
        <v/>
      </c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6"/>
      <c r="W598" s="7"/>
      <c r="X598" s="7"/>
      <c r="Y598" s="41"/>
    </row>
    <row r="599" spans="2:25">
      <c r="B599" s="5"/>
      <c r="C599" s="5"/>
      <c r="D599" s="5" t="str">
        <f>IFERROR(INDEX(회사별_교통수단매핑!$C$2:$C$1000,MATCH(1,INDEX(($C$14=회사별_교통수단매핑!$A$2:$A$1000)*($Y599=회사별_교통수단매핑!$B$2:$B$1000),0),0)),"")</f>
        <v/>
      </c>
      <c r="E599" s="5"/>
      <c r="F599" s="42"/>
      <c r="G599" s="8"/>
      <c r="H599" s="12"/>
      <c r="I599" s="5" t="str">
        <f t="shared" si="9"/>
        <v/>
      </c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6"/>
      <c r="W599" s="7"/>
      <c r="X599" s="7"/>
      <c r="Y599" s="41"/>
    </row>
    <row r="600" spans="2:25">
      <c r="B600" s="5"/>
      <c r="C600" s="5"/>
      <c r="D600" s="5" t="str">
        <f>IFERROR(INDEX(회사별_교통수단매핑!$C$2:$C$1000,MATCH(1,INDEX(($C$14=회사별_교통수단매핑!$A$2:$A$1000)*($Y600=회사별_교통수단매핑!$B$2:$B$1000),0),0)),"")</f>
        <v/>
      </c>
      <c r="E600" s="5"/>
      <c r="F600" s="42"/>
      <c r="G600" s="8"/>
      <c r="H600" s="12"/>
      <c r="I600" s="5" t="str">
        <f t="shared" si="9"/>
        <v/>
      </c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6"/>
      <c r="W600" s="7"/>
      <c r="X600" s="7"/>
      <c r="Y600" s="41"/>
    </row>
    <row r="601" spans="2:25">
      <c r="B601" s="5"/>
      <c r="C601" s="5"/>
      <c r="D601" s="5" t="str">
        <f>IFERROR(INDEX(회사별_교통수단매핑!$C$2:$C$1000,MATCH(1,INDEX(($C$14=회사별_교통수단매핑!$A$2:$A$1000)*($Y601=회사별_교통수단매핑!$B$2:$B$1000),0),0)),"")</f>
        <v/>
      </c>
      <c r="E601" s="5"/>
      <c r="F601" s="42"/>
      <c r="G601" s="8"/>
      <c r="H601" s="12"/>
      <c r="I601" s="5" t="str">
        <f t="shared" si="9"/>
        <v/>
      </c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6"/>
      <c r="W601" s="7"/>
      <c r="X601" s="7"/>
      <c r="Y601" s="41"/>
    </row>
    <row r="602" spans="2:25">
      <c r="B602" s="5"/>
      <c r="C602" s="5"/>
      <c r="D602" s="5" t="str">
        <f>IFERROR(INDEX(회사별_교통수단매핑!$C$2:$C$1000,MATCH(1,INDEX(($C$14=회사별_교통수단매핑!$A$2:$A$1000)*($Y602=회사별_교통수단매핑!$B$2:$B$1000),0),0)),"")</f>
        <v/>
      </c>
      <c r="E602" s="5"/>
      <c r="F602" s="42"/>
      <c r="G602" s="8"/>
      <c r="H602" s="12"/>
      <c r="I602" s="5" t="str">
        <f t="shared" si="9"/>
        <v/>
      </c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6"/>
      <c r="W602" s="7"/>
      <c r="X602" s="7"/>
      <c r="Y602" s="41"/>
    </row>
    <row r="603" spans="2:25">
      <c r="B603" s="5"/>
      <c r="C603" s="5"/>
      <c r="D603" s="5" t="str">
        <f>IFERROR(INDEX(회사별_교통수단매핑!$C$2:$C$1000,MATCH(1,INDEX(($C$14=회사별_교통수단매핑!$A$2:$A$1000)*($Y603=회사별_교통수단매핑!$B$2:$B$1000),0),0)),"")</f>
        <v/>
      </c>
      <c r="E603" s="5"/>
      <c r="F603" s="42"/>
      <c r="G603" s="8"/>
      <c r="H603" s="12"/>
      <c r="I603" s="5" t="str">
        <f t="shared" si="9"/>
        <v/>
      </c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6"/>
      <c r="W603" s="7"/>
      <c r="X603" s="7"/>
      <c r="Y603" s="41"/>
    </row>
    <row r="604" spans="2:25">
      <c r="B604" s="5"/>
      <c r="C604" s="5"/>
      <c r="D604" s="5" t="str">
        <f>IFERROR(INDEX(회사별_교통수단매핑!$C$2:$C$1000,MATCH(1,INDEX(($C$14=회사별_교통수단매핑!$A$2:$A$1000)*($Y604=회사별_교통수단매핑!$B$2:$B$1000),0),0)),"")</f>
        <v/>
      </c>
      <c r="E604" s="5"/>
      <c r="F604" s="42"/>
      <c r="G604" s="8"/>
      <c r="H604" s="12"/>
      <c r="I604" s="5" t="str">
        <f t="shared" si="9"/>
        <v/>
      </c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6"/>
      <c r="W604" s="7"/>
      <c r="X604" s="7"/>
      <c r="Y604" s="41"/>
    </row>
    <row r="605" spans="2:25">
      <c r="B605" s="5"/>
      <c r="C605" s="5"/>
      <c r="D605" s="5" t="str">
        <f>IFERROR(INDEX(회사별_교통수단매핑!$C$2:$C$1000,MATCH(1,INDEX(($C$14=회사별_교통수단매핑!$A$2:$A$1000)*($Y605=회사별_교통수단매핑!$B$2:$B$1000),0),0)),"")</f>
        <v/>
      </c>
      <c r="E605" s="5"/>
      <c r="F605" s="42"/>
      <c r="G605" s="8"/>
      <c r="H605" s="12"/>
      <c r="I605" s="5" t="str">
        <f t="shared" si="9"/>
        <v/>
      </c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6"/>
      <c r="W605" s="7"/>
      <c r="X605" s="7"/>
      <c r="Y605" s="41"/>
    </row>
    <row r="606" spans="2:25">
      <c r="B606" s="5"/>
      <c r="C606" s="5"/>
      <c r="D606" s="5" t="str">
        <f>IFERROR(INDEX(회사별_교통수단매핑!$C$2:$C$1000,MATCH(1,INDEX(($C$14=회사별_교통수단매핑!$A$2:$A$1000)*($Y606=회사별_교통수단매핑!$B$2:$B$1000),0),0)),"")</f>
        <v/>
      </c>
      <c r="E606" s="5"/>
      <c r="F606" s="42"/>
      <c r="G606" s="8"/>
      <c r="H606" s="12"/>
      <c r="I606" s="5" t="str">
        <f t="shared" si="9"/>
        <v/>
      </c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6"/>
      <c r="W606" s="7"/>
      <c r="X606" s="7"/>
      <c r="Y606" s="41"/>
    </row>
    <row r="607" spans="2:25">
      <c r="B607" s="5"/>
      <c r="C607" s="5"/>
      <c r="D607" s="5" t="str">
        <f>IFERROR(INDEX(회사별_교통수단매핑!$C$2:$C$1000,MATCH(1,INDEX(($C$14=회사별_교통수단매핑!$A$2:$A$1000)*($Y607=회사별_교통수단매핑!$B$2:$B$1000),0),0)),"")</f>
        <v/>
      </c>
      <c r="E607" s="5"/>
      <c r="F607" s="42"/>
      <c r="G607" s="8"/>
      <c r="H607" s="12"/>
      <c r="I607" s="5" t="str">
        <f t="shared" si="9"/>
        <v/>
      </c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6"/>
      <c r="W607" s="7"/>
      <c r="X607" s="7"/>
      <c r="Y607" s="41"/>
    </row>
    <row r="608" spans="2:25">
      <c r="B608" s="5"/>
      <c r="C608" s="5"/>
      <c r="D608" s="5" t="str">
        <f>IFERROR(INDEX(회사별_교통수단매핑!$C$2:$C$1000,MATCH(1,INDEX(($C$14=회사별_교통수단매핑!$A$2:$A$1000)*($Y608=회사별_교통수단매핑!$B$2:$B$1000),0),0)),"")</f>
        <v/>
      </c>
      <c r="E608" s="5"/>
      <c r="F608" s="42"/>
      <c r="G608" s="8"/>
      <c r="H608" s="12"/>
      <c r="I608" s="5" t="str">
        <f t="shared" si="9"/>
        <v/>
      </c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6"/>
      <c r="W608" s="7"/>
      <c r="X608" s="7"/>
      <c r="Y608" s="41"/>
    </row>
    <row r="609" spans="2:25">
      <c r="B609" s="5"/>
      <c r="C609" s="5"/>
      <c r="D609" s="5" t="str">
        <f>IFERROR(INDEX(회사별_교통수단매핑!$C$2:$C$1000,MATCH(1,INDEX(($C$14=회사별_교통수단매핑!$A$2:$A$1000)*($Y609=회사별_교통수단매핑!$B$2:$B$1000),0),0)),"")</f>
        <v/>
      </c>
      <c r="E609" s="5"/>
      <c r="F609" s="42"/>
      <c r="G609" s="8"/>
      <c r="H609" s="12"/>
      <c r="I609" s="5" t="str">
        <f t="shared" si="9"/>
        <v/>
      </c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6"/>
      <c r="W609" s="7"/>
      <c r="X609" s="7"/>
      <c r="Y609" s="41"/>
    </row>
    <row r="610" spans="2:25">
      <c r="B610" s="5"/>
      <c r="C610" s="5"/>
      <c r="D610" s="5" t="str">
        <f>IFERROR(INDEX(회사별_교통수단매핑!$C$2:$C$1000,MATCH(1,INDEX(($C$14=회사별_교통수단매핑!$A$2:$A$1000)*($Y610=회사별_교통수단매핑!$B$2:$B$1000),0),0)),"")</f>
        <v/>
      </c>
      <c r="E610" s="5"/>
      <c r="F610" s="42"/>
      <c r="G610" s="8"/>
      <c r="H610" s="12"/>
      <c r="I610" s="5" t="str">
        <f t="shared" si="9"/>
        <v/>
      </c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6"/>
      <c r="W610" s="7"/>
      <c r="X610" s="7"/>
      <c r="Y610" s="41"/>
    </row>
    <row r="611" spans="2:25">
      <c r="B611" s="5"/>
      <c r="C611" s="5"/>
      <c r="D611" s="5" t="str">
        <f>IFERROR(INDEX(회사별_교통수단매핑!$C$2:$C$1000,MATCH(1,INDEX(($C$14=회사별_교통수단매핑!$A$2:$A$1000)*($Y611=회사별_교통수단매핑!$B$2:$B$1000),0),0)),"")</f>
        <v/>
      </c>
      <c r="E611" s="5"/>
      <c r="F611" s="42"/>
      <c r="G611" s="8"/>
      <c r="H611" s="12"/>
      <c r="I611" s="5" t="str">
        <f t="shared" si="9"/>
        <v/>
      </c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6"/>
      <c r="W611" s="7"/>
      <c r="X611" s="7"/>
      <c r="Y611" s="41"/>
    </row>
    <row r="612" spans="2:25">
      <c r="B612" s="5"/>
      <c r="C612" s="5"/>
      <c r="D612" s="5" t="str">
        <f>IFERROR(INDEX(회사별_교통수단매핑!$C$2:$C$1000,MATCH(1,INDEX(($C$14=회사별_교통수단매핑!$A$2:$A$1000)*($Y612=회사별_교통수단매핑!$B$2:$B$1000),0),0)),"")</f>
        <v/>
      </c>
      <c r="E612" s="5"/>
      <c r="F612" s="42"/>
      <c r="G612" s="8"/>
      <c r="H612" s="12"/>
      <c r="I612" s="5" t="str">
        <f t="shared" si="9"/>
        <v/>
      </c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6"/>
      <c r="W612" s="7"/>
      <c r="X612" s="7"/>
      <c r="Y612" s="41"/>
    </row>
    <row r="613" spans="2:25">
      <c r="B613" s="5"/>
      <c r="C613" s="5"/>
      <c r="D613" s="5" t="str">
        <f>IFERROR(INDEX(회사별_교통수단매핑!$C$2:$C$1000,MATCH(1,INDEX(($C$14=회사별_교통수단매핑!$A$2:$A$1000)*($Y613=회사별_교통수단매핑!$B$2:$B$1000),0),0)),"")</f>
        <v/>
      </c>
      <c r="E613" s="5"/>
      <c r="F613" s="42"/>
      <c r="G613" s="8"/>
      <c r="H613" s="12"/>
      <c r="I613" s="5" t="str">
        <f t="shared" si="9"/>
        <v/>
      </c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6"/>
      <c r="W613" s="7"/>
      <c r="X613" s="7"/>
      <c r="Y613" s="41"/>
    </row>
    <row r="614" spans="2:25">
      <c r="B614" s="5"/>
      <c r="C614" s="5"/>
      <c r="D614" s="5" t="str">
        <f>IFERROR(INDEX(회사별_교통수단매핑!$C$2:$C$1000,MATCH(1,INDEX(($C$14=회사별_교통수단매핑!$A$2:$A$1000)*($Y614=회사별_교통수단매핑!$B$2:$B$1000),0),0)),"")</f>
        <v/>
      </c>
      <c r="E614" s="5"/>
      <c r="F614" s="42"/>
      <c r="G614" s="8"/>
      <c r="H614" s="12"/>
      <c r="I614" s="5" t="str">
        <f t="shared" si="9"/>
        <v/>
      </c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6"/>
      <c r="W614" s="7"/>
      <c r="X614" s="7"/>
      <c r="Y614" s="41"/>
    </row>
    <row r="615" spans="2:25">
      <c r="B615" s="5"/>
      <c r="C615" s="5"/>
      <c r="D615" s="5" t="str">
        <f>IFERROR(INDEX(회사별_교통수단매핑!$C$2:$C$1000,MATCH(1,INDEX(($C$14=회사별_교통수단매핑!$A$2:$A$1000)*($Y615=회사별_교통수단매핑!$B$2:$B$1000),0),0)),"")</f>
        <v/>
      </c>
      <c r="E615" s="5"/>
      <c r="F615" s="42"/>
      <c r="G615" s="8"/>
      <c r="H615" s="12"/>
      <c r="I615" s="5" t="str">
        <f t="shared" si="9"/>
        <v/>
      </c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6"/>
      <c r="W615" s="7"/>
      <c r="X615" s="7"/>
      <c r="Y615" s="41"/>
    </row>
    <row r="616" spans="2:25">
      <c r="B616" s="5"/>
      <c r="C616" s="5"/>
      <c r="D616" s="5" t="str">
        <f>IFERROR(INDEX(회사별_교통수단매핑!$C$2:$C$1000,MATCH(1,INDEX(($C$14=회사별_교통수단매핑!$A$2:$A$1000)*($Y616=회사별_교통수단매핑!$B$2:$B$1000),0),0)),"")</f>
        <v/>
      </c>
      <c r="E616" s="5"/>
      <c r="F616" s="42"/>
      <c r="G616" s="8"/>
      <c r="H616" s="12"/>
      <c r="I616" s="5" t="str">
        <f t="shared" si="9"/>
        <v/>
      </c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6"/>
      <c r="W616" s="7"/>
      <c r="X616" s="7"/>
      <c r="Y616" s="41"/>
    </row>
    <row r="617" spans="2:25">
      <c r="B617" s="5"/>
      <c r="C617" s="5"/>
      <c r="D617" s="5" t="str">
        <f>IFERROR(INDEX(회사별_교통수단매핑!$C$2:$C$1000,MATCH(1,INDEX(($C$14=회사별_교통수단매핑!$A$2:$A$1000)*($Y617=회사별_교통수단매핑!$B$2:$B$1000),0),0)),"")</f>
        <v/>
      </c>
      <c r="E617" s="5"/>
      <c r="F617" s="42"/>
      <c r="G617" s="8"/>
      <c r="H617" s="12"/>
      <c r="I617" s="5" t="str">
        <f t="shared" si="9"/>
        <v/>
      </c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6"/>
      <c r="W617" s="7"/>
      <c r="X617" s="7"/>
      <c r="Y617" s="41"/>
    </row>
    <row r="618" spans="2:25">
      <c r="B618" s="5"/>
      <c r="C618" s="5"/>
      <c r="D618" s="5" t="str">
        <f>IFERROR(INDEX(회사별_교통수단매핑!$C$2:$C$1000,MATCH(1,INDEX(($C$14=회사별_교통수단매핑!$A$2:$A$1000)*($Y618=회사별_교통수단매핑!$B$2:$B$1000),0),0)),"")</f>
        <v/>
      </c>
      <c r="E618" s="5"/>
      <c r="F618" s="42"/>
      <c r="G618" s="8"/>
      <c r="H618" s="12"/>
      <c r="I618" s="5" t="str">
        <f t="shared" si="9"/>
        <v/>
      </c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6"/>
      <c r="W618" s="7"/>
      <c r="X618" s="7"/>
      <c r="Y618" s="41"/>
    </row>
    <row r="619" spans="2:25">
      <c r="B619" s="5"/>
      <c r="C619" s="5"/>
      <c r="D619" s="5" t="str">
        <f>IFERROR(INDEX(회사별_교통수단매핑!$C$2:$C$1000,MATCH(1,INDEX(($C$14=회사별_교통수단매핑!$A$2:$A$1000)*($Y619=회사별_교통수단매핑!$B$2:$B$1000),0),0)),"")</f>
        <v/>
      </c>
      <c r="E619" s="5"/>
      <c r="F619" s="42"/>
      <c r="G619" s="8"/>
      <c r="H619" s="12"/>
      <c r="I619" s="5" t="str">
        <f t="shared" si="9"/>
        <v/>
      </c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6"/>
      <c r="W619" s="7"/>
      <c r="X619" s="7"/>
      <c r="Y619" s="41"/>
    </row>
    <row r="620" spans="2:25">
      <c r="B620" s="5"/>
      <c r="C620" s="5"/>
      <c r="D620" s="5" t="str">
        <f>IFERROR(INDEX(회사별_교통수단매핑!$C$2:$C$1000,MATCH(1,INDEX(($C$14=회사별_교통수단매핑!$A$2:$A$1000)*($Y620=회사별_교통수단매핑!$B$2:$B$1000),0),0)),"")</f>
        <v/>
      </c>
      <c r="E620" s="5"/>
      <c r="F620" s="42"/>
      <c r="G620" s="8"/>
      <c r="H620" s="12"/>
      <c r="I620" s="5" t="str">
        <f t="shared" si="9"/>
        <v/>
      </c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6"/>
      <c r="W620" s="7"/>
      <c r="X620" s="7"/>
      <c r="Y620" s="41"/>
    </row>
    <row r="621" spans="2:25">
      <c r="B621" s="5"/>
      <c r="C621" s="5"/>
      <c r="D621" s="5" t="str">
        <f>IFERROR(INDEX(회사별_교통수단매핑!$C$2:$C$1000,MATCH(1,INDEX(($C$14=회사별_교통수단매핑!$A$2:$A$1000)*($Y621=회사별_교통수단매핑!$B$2:$B$1000),0),0)),"")</f>
        <v/>
      </c>
      <c r="E621" s="5"/>
      <c r="F621" s="42"/>
      <c r="G621" s="8"/>
      <c r="H621" s="12"/>
      <c r="I621" s="5" t="str">
        <f t="shared" si="9"/>
        <v/>
      </c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6"/>
      <c r="W621" s="7"/>
      <c r="X621" s="7"/>
      <c r="Y621" s="41"/>
    </row>
    <row r="622" spans="2:25">
      <c r="B622" s="5"/>
      <c r="C622" s="5"/>
      <c r="D622" s="5" t="str">
        <f>IFERROR(INDEX(회사별_교통수단매핑!$C$2:$C$1000,MATCH(1,INDEX(($C$14=회사별_교통수단매핑!$A$2:$A$1000)*($Y622=회사별_교통수단매핑!$B$2:$B$1000),0),0)),"")</f>
        <v/>
      </c>
      <c r="E622" s="5"/>
      <c r="F622" s="42"/>
      <c r="G622" s="8"/>
      <c r="H622" s="12"/>
      <c r="I622" s="5" t="str">
        <f t="shared" si="9"/>
        <v/>
      </c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6"/>
      <c r="W622" s="7"/>
      <c r="X622" s="7"/>
      <c r="Y622" s="41"/>
    </row>
    <row r="623" spans="2:25">
      <c r="B623" s="5"/>
      <c r="C623" s="5"/>
      <c r="D623" s="5" t="str">
        <f>IFERROR(INDEX(회사별_교통수단매핑!$C$2:$C$1000,MATCH(1,INDEX(($C$14=회사별_교통수단매핑!$A$2:$A$1000)*($Y623=회사별_교통수단매핑!$B$2:$B$1000),0),0)),"")</f>
        <v/>
      </c>
      <c r="E623" s="5"/>
      <c r="F623" s="42"/>
      <c r="G623" s="8"/>
      <c r="H623" s="12"/>
      <c r="I623" s="5" t="str">
        <f t="shared" si="9"/>
        <v/>
      </c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6"/>
      <c r="W623" s="7"/>
      <c r="X623" s="7"/>
      <c r="Y623" s="41"/>
    </row>
    <row r="624" spans="2:25">
      <c r="B624" s="5"/>
      <c r="C624" s="5"/>
      <c r="D624" s="5" t="str">
        <f>IFERROR(INDEX(회사별_교통수단매핑!$C$2:$C$1000,MATCH(1,INDEX(($C$14=회사별_교통수단매핑!$A$2:$A$1000)*($Y624=회사별_교통수단매핑!$B$2:$B$1000),0),0)),"")</f>
        <v/>
      </c>
      <c r="E624" s="5"/>
      <c r="F624" s="42"/>
      <c r="G624" s="8"/>
      <c r="H624" s="12"/>
      <c r="I624" s="5" t="str">
        <f t="shared" si="9"/>
        <v/>
      </c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6"/>
      <c r="W624" s="7"/>
      <c r="X624" s="7"/>
      <c r="Y624" s="41"/>
    </row>
    <row r="625" spans="2:25">
      <c r="B625" s="5"/>
      <c r="C625" s="5"/>
      <c r="D625" s="5" t="str">
        <f>IFERROR(INDEX(회사별_교통수단매핑!$C$2:$C$1000,MATCH(1,INDEX(($C$14=회사별_교통수단매핑!$A$2:$A$1000)*($Y625=회사별_교통수단매핑!$B$2:$B$1000),0),0)),"")</f>
        <v/>
      </c>
      <c r="E625" s="5"/>
      <c r="F625" s="42"/>
      <c r="G625" s="8"/>
      <c r="H625" s="12"/>
      <c r="I625" s="5" t="str">
        <f t="shared" si="9"/>
        <v/>
      </c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6"/>
      <c r="W625" s="7"/>
      <c r="X625" s="7"/>
      <c r="Y625" s="41"/>
    </row>
    <row r="626" spans="2:25">
      <c r="B626" s="5"/>
      <c r="C626" s="5"/>
      <c r="D626" s="5" t="str">
        <f>IFERROR(INDEX(회사별_교통수단매핑!$C$2:$C$1000,MATCH(1,INDEX(($C$14=회사별_교통수단매핑!$A$2:$A$1000)*($Y626=회사별_교통수단매핑!$B$2:$B$1000),0),0)),"")</f>
        <v/>
      </c>
      <c r="E626" s="5"/>
      <c r="F626" s="42"/>
      <c r="G626" s="8"/>
      <c r="H626" s="12"/>
      <c r="I626" s="5" t="str">
        <f t="shared" si="9"/>
        <v/>
      </c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6"/>
      <c r="W626" s="7"/>
      <c r="X626" s="7"/>
      <c r="Y626" s="41"/>
    </row>
    <row r="627" spans="2:25">
      <c r="B627" s="5"/>
      <c r="C627" s="5"/>
      <c r="D627" s="5" t="str">
        <f>IFERROR(INDEX(회사별_교통수단매핑!$C$2:$C$1000,MATCH(1,INDEX(($C$14=회사별_교통수단매핑!$A$2:$A$1000)*($Y627=회사별_교통수단매핑!$B$2:$B$1000),0),0)),"")</f>
        <v/>
      </c>
      <c r="E627" s="5"/>
      <c r="F627" s="42"/>
      <c r="G627" s="8"/>
      <c r="H627" s="12"/>
      <c r="I627" s="5" t="str">
        <f t="shared" si="9"/>
        <v/>
      </c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6"/>
      <c r="W627" s="7"/>
      <c r="X627" s="7"/>
      <c r="Y627" s="41"/>
    </row>
    <row r="628" spans="2:25">
      <c r="B628" s="5"/>
      <c r="C628" s="5"/>
      <c r="D628" s="5" t="str">
        <f>IFERROR(INDEX(회사별_교통수단매핑!$C$2:$C$1000,MATCH(1,INDEX(($C$14=회사별_교통수단매핑!$A$2:$A$1000)*($Y628=회사별_교통수단매핑!$B$2:$B$1000),0),0)),"")</f>
        <v/>
      </c>
      <c r="E628" s="5"/>
      <c r="F628" s="42"/>
      <c r="G628" s="8"/>
      <c r="H628" s="12"/>
      <c r="I628" s="5" t="str">
        <f t="shared" si="9"/>
        <v/>
      </c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6"/>
      <c r="W628" s="7"/>
      <c r="X628" s="7"/>
      <c r="Y628" s="41"/>
    </row>
    <row r="629" spans="2:25">
      <c r="B629" s="5"/>
      <c r="C629" s="5"/>
      <c r="D629" s="5" t="str">
        <f>IFERROR(INDEX(회사별_교통수단매핑!$C$2:$C$1000,MATCH(1,INDEX(($C$14=회사별_교통수단매핑!$A$2:$A$1000)*($Y629=회사별_교통수단매핑!$B$2:$B$1000),0),0)),"")</f>
        <v/>
      </c>
      <c r="E629" s="5"/>
      <c r="F629" s="42"/>
      <c r="G629" s="8"/>
      <c r="H629" s="12"/>
      <c r="I629" s="5" t="str">
        <f t="shared" si="9"/>
        <v/>
      </c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6"/>
      <c r="W629" s="7"/>
      <c r="X629" s="7"/>
      <c r="Y629" s="41"/>
    </row>
    <row r="630" spans="2:25">
      <c r="B630" s="5"/>
      <c r="C630" s="5"/>
      <c r="D630" s="5" t="str">
        <f>IFERROR(INDEX(회사별_교통수단매핑!$C$2:$C$1000,MATCH(1,INDEX(($C$14=회사별_교통수단매핑!$A$2:$A$1000)*($Y630=회사별_교통수단매핑!$B$2:$B$1000),0),0)),"")</f>
        <v/>
      </c>
      <c r="E630" s="5"/>
      <c r="F630" s="42"/>
      <c r="G630" s="8"/>
      <c r="H630" s="12"/>
      <c r="I630" s="5" t="str">
        <f t="shared" si="9"/>
        <v/>
      </c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6"/>
      <c r="W630" s="7"/>
      <c r="X630" s="7"/>
      <c r="Y630" s="41"/>
    </row>
  </sheetData>
  <mergeCells count="10">
    <mergeCell ref="B19:B20"/>
    <mergeCell ref="C19:C20"/>
    <mergeCell ref="D19:D20"/>
    <mergeCell ref="Y19:Y20"/>
    <mergeCell ref="W19:W20"/>
    <mergeCell ref="F19:G19"/>
    <mergeCell ref="J19:U19"/>
    <mergeCell ref="V19:V20"/>
    <mergeCell ref="E19:E20"/>
    <mergeCell ref="X19:X20"/>
  </mergeCells>
  <phoneticPr fontId="8" type="noConversion"/>
  <dataValidations count="1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1:D630" xr:uid="{00000000-0002-0000-0100-000000000000}">
      <formula1>DD_TRAVEL_DISTANCE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8"/>
  <sheetViews>
    <sheetView workbookViewId="0">
      <pane ySplit="2" topLeftCell="A3" activePane="bottomLeft" state="frozen"/>
      <selection pane="bottomLeft"/>
    </sheetView>
  </sheetViews>
  <sheetFormatPr defaultRowHeight="14.25"/>
  <cols>
    <col min="1" max="11" width="24" customWidth="1"/>
    <col min="13" max="15" width="28" customWidth="1"/>
    <col min="16" max="16" width="52" customWidth="1"/>
  </cols>
  <sheetData>
    <row r="1" spans="1:16" ht="30" customHeight="1">
      <c r="A1" s="19" t="s">
        <v>539</v>
      </c>
      <c r="B1" s="19" t="s">
        <v>540</v>
      </c>
      <c r="C1" s="19" t="s">
        <v>541</v>
      </c>
      <c r="D1" s="19" t="s">
        <v>542</v>
      </c>
      <c r="E1" s="19" t="s">
        <v>543</v>
      </c>
      <c r="F1" s="19" t="s">
        <v>544</v>
      </c>
      <c r="G1" s="19" t="s">
        <v>545</v>
      </c>
      <c r="H1" s="19" t="s">
        <v>546</v>
      </c>
      <c r="I1" s="19" t="s">
        <v>547</v>
      </c>
      <c r="J1" s="19" t="s">
        <v>548</v>
      </c>
      <c r="K1" s="19" t="s">
        <v>549</v>
      </c>
      <c r="M1" s="50" t="s">
        <v>550</v>
      </c>
      <c r="N1" s="51"/>
      <c r="O1" s="51"/>
      <c r="P1" s="51"/>
    </row>
    <row r="2" spans="1:16" ht="30" customHeight="1">
      <c r="A2" s="21" t="s">
        <v>551</v>
      </c>
      <c r="B2" s="21" t="s">
        <v>552</v>
      </c>
      <c r="C2" s="21" t="s">
        <v>553</v>
      </c>
      <c r="D2" s="21" t="s">
        <v>554</v>
      </c>
      <c r="E2" s="21" t="s">
        <v>555</v>
      </c>
      <c r="F2" s="21" t="s">
        <v>556</v>
      </c>
      <c r="G2" s="21" t="s">
        <v>557</v>
      </c>
      <c r="H2" s="21" t="s">
        <v>558</v>
      </c>
      <c r="I2" s="21" t="s">
        <v>559</v>
      </c>
      <c r="J2" s="21" t="s">
        <v>560</v>
      </c>
      <c r="K2" s="21" t="s">
        <v>561</v>
      </c>
      <c r="M2" s="20" t="s">
        <v>562</v>
      </c>
      <c r="N2" s="20" t="s">
        <v>563</v>
      </c>
      <c r="O2" s="20" t="s">
        <v>564</v>
      </c>
      <c r="P2" s="20" t="s">
        <v>565</v>
      </c>
    </row>
    <row r="3" spans="1:16" ht="28.5" customHeight="1">
      <c r="A3" s="22" t="s">
        <v>566</v>
      </c>
      <c r="B3" s="22" t="s">
        <v>567</v>
      </c>
      <c r="C3" s="22" t="s">
        <v>568</v>
      </c>
      <c r="D3" s="22" t="s">
        <v>569</v>
      </c>
      <c r="E3" s="22" t="s">
        <v>570</v>
      </c>
      <c r="F3" s="22" t="s">
        <v>571</v>
      </c>
      <c r="G3" s="22" t="s">
        <v>572</v>
      </c>
      <c r="H3" s="22" t="s">
        <v>573</v>
      </c>
      <c r="I3" s="22" t="s">
        <v>574</v>
      </c>
      <c r="J3" s="22" t="s">
        <v>575</v>
      </c>
      <c r="K3" s="22" t="s">
        <v>575</v>
      </c>
      <c r="M3" s="22" t="s">
        <v>571</v>
      </c>
      <c r="N3" s="22" t="s">
        <v>576</v>
      </c>
      <c r="O3" s="22" t="s">
        <v>577</v>
      </c>
      <c r="P3" s="22" t="s">
        <v>578</v>
      </c>
    </row>
    <row r="4" spans="1:16">
      <c r="A4" s="22" t="s">
        <v>579</v>
      </c>
      <c r="B4" s="22" t="s">
        <v>580</v>
      </c>
      <c r="C4" s="22" t="s">
        <v>581</v>
      </c>
      <c r="D4" s="22" t="s">
        <v>582</v>
      </c>
      <c r="E4" s="22" t="s">
        <v>583</v>
      </c>
      <c r="F4" s="22" t="s">
        <v>116</v>
      </c>
      <c r="G4" s="22" t="s">
        <v>584</v>
      </c>
      <c r="H4" s="22" t="s">
        <v>585</v>
      </c>
      <c r="I4" s="22" t="s">
        <v>586</v>
      </c>
      <c r="J4" s="22" t="s">
        <v>587</v>
      </c>
      <c r="K4" s="22" t="s">
        <v>587</v>
      </c>
      <c r="M4" s="22" t="s">
        <v>116</v>
      </c>
      <c r="N4" s="22" t="s">
        <v>588</v>
      </c>
      <c r="O4" s="22" t="s">
        <v>589</v>
      </c>
      <c r="P4" s="22" t="s">
        <v>590</v>
      </c>
    </row>
    <row r="5" spans="1:16">
      <c r="A5" s="22" t="s">
        <v>591</v>
      </c>
      <c r="B5" s="22" t="s">
        <v>592</v>
      </c>
      <c r="C5" s="22" t="s">
        <v>593</v>
      </c>
      <c r="D5" s="22" t="s">
        <v>583</v>
      </c>
      <c r="E5" s="22" t="s">
        <v>594</v>
      </c>
      <c r="F5" s="22" t="s">
        <v>595</v>
      </c>
      <c r="G5" s="22" t="s">
        <v>596</v>
      </c>
      <c r="H5" s="22" t="s">
        <v>597</v>
      </c>
      <c r="I5" s="22" t="s">
        <v>598</v>
      </c>
      <c r="M5" s="22" t="s">
        <v>595</v>
      </c>
      <c r="N5" s="22" t="s">
        <v>599</v>
      </c>
      <c r="O5" s="22" t="s">
        <v>600</v>
      </c>
      <c r="P5" s="22" t="s">
        <v>601</v>
      </c>
    </row>
    <row r="6" spans="1:16" ht="28.5" customHeight="1">
      <c r="A6" s="22" t="s">
        <v>602</v>
      </c>
      <c r="B6" s="22" t="s">
        <v>603</v>
      </c>
      <c r="C6" s="22" t="s">
        <v>575</v>
      </c>
      <c r="D6" s="22" t="s">
        <v>604</v>
      </c>
      <c r="E6" s="22" t="s">
        <v>605</v>
      </c>
      <c r="F6" s="22" t="s">
        <v>606</v>
      </c>
      <c r="G6" s="22" t="s">
        <v>607</v>
      </c>
      <c r="H6" s="22" t="s">
        <v>608</v>
      </c>
      <c r="I6" s="22" t="s">
        <v>609</v>
      </c>
      <c r="M6" s="22" t="s">
        <v>606</v>
      </c>
      <c r="N6" s="22" t="s">
        <v>610</v>
      </c>
      <c r="O6" s="22" t="s">
        <v>611</v>
      </c>
      <c r="P6" s="22" t="s">
        <v>612</v>
      </c>
    </row>
    <row r="7" spans="1:16">
      <c r="A7" s="22" t="s">
        <v>613</v>
      </c>
      <c r="B7" s="22" t="s">
        <v>614</v>
      </c>
      <c r="C7" s="22" t="s">
        <v>615</v>
      </c>
      <c r="D7" s="22" t="s">
        <v>616</v>
      </c>
      <c r="E7" s="22" t="s">
        <v>617</v>
      </c>
      <c r="F7" s="22" t="s">
        <v>618</v>
      </c>
      <c r="G7" s="22" t="s">
        <v>619</v>
      </c>
      <c r="H7" s="22" t="s">
        <v>620</v>
      </c>
      <c r="M7" s="22" t="s">
        <v>618</v>
      </c>
      <c r="N7" s="22" t="s">
        <v>621</v>
      </c>
      <c r="O7" s="22" t="s">
        <v>622</v>
      </c>
      <c r="P7" s="22" t="s">
        <v>623</v>
      </c>
    </row>
    <row r="8" spans="1:16" ht="28.5" customHeight="1">
      <c r="A8" s="22" t="s">
        <v>624</v>
      </c>
      <c r="B8" s="22" t="s">
        <v>625</v>
      </c>
      <c r="D8" s="22" t="s">
        <v>626</v>
      </c>
      <c r="E8" s="22" t="s">
        <v>627</v>
      </c>
      <c r="F8" s="22" t="s">
        <v>628</v>
      </c>
      <c r="G8" s="22" t="s">
        <v>629</v>
      </c>
      <c r="H8" s="22" t="s">
        <v>630</v>
      </c>
      <c r="M8" s="22" t="s">
        <v>628</v>
      </c>
      <c r="N8" s="22" t="s">
        <v>631</v>
      </c>
      <c r="O8" s="22" t="s">
        <v>632</v>
      </c>
      <c r="P8" s="22" t="s">
        <v>633</v>
      </c>
    </row>
    <row r="9" spans="1:16">
      <c r="A9" s="22" t="s">
        <v>634</v>
      </c>
      <c r="B9" s="22" t="s">
        <v>635</v>
      </c>
      <c r="D9" s="22" t="s">
        <v>636</v>
      </c>
      <c r="E9" s="22" t="s">
        <v>637</v>
      </c>
      <c r="F9" s="22" t="s">
        <v>638</v>
      </c>
      <c r="G9" s="22"/>
      <c r="H9" s="22" t="s">
        <v>639</v>
      </c>
      <c r="M9" s="22" t="s">
        <v>638</v>
      </c>
      <c r="N9" s="22" t="s">
        <v>640</v>
      </c>
      <c r="O9" s="22" t="s">
        <v>641</v>
      </c>
      <c r="P9" s="22" t="s">
        <v>642</v>
      </c>
    </row>
    <row r="10" spans="1:16" ht="28.5" customHeight="1">
      <c r="A10" s="22" t="s">
        <v>643</v>
      </c>
      <c r="B10" s="22" t="s">
        <v>644</v>
      </c>
      <c r="E10" s="22" t="s">
        <v>645</v>
      </c>
      <c r="F10" s="22" t="s">
        <v>646</v>
      </c>
      <c r="G10" s="22"/>
      <c r="H10" s="22" t="s">
        <v>647</v>
      </c>
      <c r="M10" s="22" t="s">
        <v>646</v>
      </c>
      <c r="N10" s="22" t="s">
        <v>648</v>
      </c>
      <c r="O10" s="22" t="s">
        <v>649</v>
      </c>
      <c r="P10" s="22" t="s">
        <v>650</v>
      </c>
    </row>
    <row r="11" spans="1:16">
      <c r="A11" s="22" t="s">
        <v>651</v>
      </c>
      <c r="B11" s="22" t="s">
        <v>652</v>
      </c>
      <c r="E11" s="22" t="s">
        <v>653</v>
      </c>
      <c r="F11" s="22" t="s">
        <v>654</v>
      </c>
      <c r="G11" s="22"/>
      <c r="H11" s="22" t="s">
        <v>655</v>
      </c>
      <c r="M11" s="22" t="s">
        <v>654</v>
      </c>
      <c r="N11" s="22" t="s">
        <v>656</v>
      </c>
      <c r="O11" s="22" t="s">
        <v>657</v>
      </c>
      <c r="P11" s="22" t="s">
        <v>658</v>
      </c>
    </row>
    <row r="12" spans="1:16">
      <c r="A12" s="22" t="s">
        <v>659</v>
      </c>
      <c r="B12" s="22" t="s">
        <v>660</v>
      </c>
      <c r="E12" s="22" t="s">
        <v>661</v>
      </c>
      <c r="F12" s="22" t="s">
        <v>662</v>
      </c>
      <c r="G12" s="22"/>
      <c r="H12" s="22" t="s">
        <v>663</v>
      </c>
      <c r="M12" s="22" t="s">
        <v>662</v>
      </c>
      <c r="N12" s="22" t="s">
        <v>664</v>
      </c>
      <c r="O12" s="22" t="s">
        <v>665</v>
      </c>
      <c r="P12" s="22" t="s">
        <v>666</v>
      </c>
    </row>
    <row r="13" spans="1:16">
      <c r="A13" s="22" t="s">
        <v>667</v>
      </c>
      <c r="B13" s="22" t="s">
        <v>668</v>
      </c>
      <c r="E13" s="22" t="s">
        <v>669</v>
      </c>
      <c r="F13" s="22" t="s">
        <v>670</v>
      </c>
      <c r="G13" s="22"/>
      <c r="H13" s="22" t="s">
        <v>671</v>
      </c>
      <c r="M13" s="22" t="s">
        <v>670</v>
      </c>
      <c r="N13" s="22" t="s">
        <v>672</v>
      </c>
      <c r="O13" s="22" t="s">
        <v>673</v>
      </c>
      <c r="P13" s="22" t="s">
        <v>674</v>
      </c>
    </row>
    <row r="14" spans="1:16">
      <c r="A14" s="22" t="s">
        <v>675</v>
      </c>
      <c r="B14" s="22" t="s">
        <v>676</v>
      </c>
      <c r="E14" s="22" t="s">
        <v>677</v>
      </c>
      <c r="F14" s="22" t="s">
        <v>678</v>
      </c>
      <c r="G14" s="22"/>
      <c r="H14" s="22" t="s">
        <v>679</v>
      </c>
      <c r="M14" s="22" t="s">
        <v>678</v>
      </c>
      <c r="N14" s="22" t="s">
        <v>680</v>
      </c>
      <c r="O14" s="22" t="s">
        <v>681</v>
      </c>
      <c r="P14" s="22" t="s">
        <v>682</v>
      </c>
    </row>
    <row r="15" spans="1:16">
      <c r="A15" s="22" t="s">
        <v>683</v>
      </c>
      <c r="B15" s="22" t="s">
        <v>684</v>
      </c>
      <c r="E15" s="22" t="s">
        <v>685</v>
      </c>
      <c r="F15" s="22" t="s">
        <v>686</v>
      </c>
      <c r="G15" s="22"/>
      <c r="H15" s="22" t="s">
        <v>687</v>
      </c>
      <c r="M15" s="22" t="s">
        <v>686</v>
      </c>
      <c r="N15" s="22" t="s">
        <v>688</v>
      </c>
      <c r="O15" s="22" t="s">
        <v>689</v>
      </c>
      <c r="P15" s="22" t="s">
        <v>690</v>
      </c>
    </row>
    <row r="16" spans="1:16">
      <c r="A16" s="22" t="s">
        <v>691</v>
      </c>
      <c r="B16" s="22" t="s">
        <v>692</v>
      </c>
      <c r="E16" s="22" t="s">
        <v>693</v>
      </c>
      <c r="F16" s="22"/>
      <c r="G16" s="22"/>
      <c r="H16" s="22" t="s">
        <v>694</v>
      </c>
      <c r="M16" s="22"/>
      <c r="N16" s="22"/>
      <c r="O16" s="22"/>
      <c r="P16" s="22"/>
    </row>
    <row r="17" spans="1:16">
      <c r="A17" s="22" t="s">
        <v>695</v>
      </c>
      <c r="B17" s="22"/>
      <c r="E17" s="22" t="s">
        <v>696</v>
      </c>
      <c r="F17" s="22"/>
      <c r="H17" s="22" t="s">
        <v>609</v>
      </c>
      <c r="M17" s="22"/>
      <c r="N17" s="22"/>
      <c r="O17" s="22"/>
      <c r="P17" s="22"/>
    </row>
    <row r="18" spans="1:16">
      <c r="A18" s="22" t="s">
        <v>609</v>
      </c>
      <c r="E18" s="22" t="s">
        <v>697</v>
      </c>
      <c r="F18" s="22"/>
      <c r="H18" s="22" t="s">
        <v>698</v>
      </c>
      <c r="M18" s="22"/>
      <c r="N18" s="22"/>
      <c r="O18" s="22"/>
      <c r="P18" s="22"/>
    </row>
    <row r="19" spans="1:16" ht="28.5" customHeight="1">
      <c r="A19" s="22" t="s">
        <v>692</v>
      </c>
      <c r="E19" s="22" t="s">
        <v>699</v>
      </c>
      <c r="F19" s="22"/>
      <c r="M19" s="22"/>
      <c r="N19" s="22"/>
      <c r="O19" s="22"/>
      <c r="P19" s="22"/>
    </row>
    <row r="20" spans="1:16">
      <c r="E20" s="22"/>
      <c r="F20" s="22"/>
      <c r="M20" s="22"/>
      <c r="N20" s="22"/>
      <c r="O20" s="22"/>
      <c r="P20" s="22"/>
    </row>
    <row r="21" spans="1:16">
      <c r="E21" s="22"/>
      <c r="F21" s="22"/>
      <c r="M21" s="22"/>
      <c r="N21" s="22"/>
      <c r="O21" s="22"/>
      <c r="P21" s="22"/>
    </row>
    <row r="22" spans="1:16">
      <c r="E22" s="22"/>
      <c r="F22" s="22"/>
      <c r="M22" s="22"/>
      <c r="N22" s="22"/>
      <c r="O22" s="22"/>
      <c r="P22" s="22"/>
    </row>
    <row r="23" spans="1:16">
      <c r="E23" s="22"/>
      <c r="F23" s="22"/>
      <c r="M23" s="22"/>
      <c r="N23" s="22"/>
      <c r="O23" s="22"/>
      <c r="P23" s="22"/>
    </row>
    <row r="24" spans="1:16">
      <c r="E24" s="22"/>
      <c r="F24" s="22"/>
      <c r="M24" s="22"/>
      <c r="N24" s="22"/>
      <c r="O24" s="22"/>
      <c r="P24" s="22"/>
    </row>
    <row r="25" spans="1:16">
      <c r="E25" s="22"/>
      <c r="F25" s="22"/>
      <c r="M25" s="22"/>
      <c r="N25" s="22"/>
      <c r="O25" s="22"/>
      <c r="P25" s="22"/>
    </row>
    <row r="26" spans="1:16">
      <c r="E26" s="22"/>
      <c r="F26" s="22"/>
      <c r="M26" s="22"/>
      <c r="N26" s="22"/>
      <c r="O26" s="22"/>
      <c r="P26" s="22"/>
    </row>
    <row r="27" spans="1:16">
      <c r="E27" s="22"/>
      <c r="F27" s="22"/>
      <c r="M27" s="22"/>
      <c r="N27" s="22"/>
      <c r="O27" s="22"/>
      <c r="P27" s="22"/>
    </row>
    <row r="28" spans="1:16">
      <c r="E28" s="22"/>
      <c r="F28" s="22"/>
      <c r="M28" s="22"/>
      <c r="N28" s="22"/>
      <c r="O28" s="22"/>
      <c r="P28" s="22"/>
    </row>
    <row r="29" spans="1:16">
      <c r="E29" s="22"/>
      <c r="F29" s="22"/>
      <c r="M29" s="22"/>
      <c r="N29" s="22"/>
      <c r="O29" s="22"/>
      <c r="P29" s="22"/>
    </row>
    <row r="30" spans="1:16">
      <c r="F30" s="22"/>
      <c r="M30" s="22"/>
      <c r="N30" s="22"/>
      <c r="O30" s="22"/>
      <c r="P30" s="22"/>
    </row>
    <row r="31" spans="1:16">
      <c r="F31" s="22"/>
      <c r="M31" s="22"/>
      <c r="N31" s="22"/>
      <c r="O31" s="22"/>
      <c r="P31" s="22"/>
    </row>
    <row r="32" spans="1:16">
      <c r="F32" s="22"/>
      <c r="M32" s="22"/>
      <c r="N32" s="22"/>
      <c r="O32" s="22"/>
      <c r="P32" s="22"/>
    </row>
    <row r="33" spans="1:16">
      <c r="F33" s="22"/>
      <c r="M33" s="22"/>
      <c r="N33" s="22"/>
      <c r="O33" s="22"/>
      <c r="P33" s="22"/>
    </row>
    <row r="34" spans="1:16">
      <c r="F34" s="22"/>
      <c r="M34" s="22"/>
      <c r="N34" s="22"/>
      <c r="O34" s="22"/>
      <c r="P34" s="22"/>
    </row>
    <row r="35" spans="1:16">
      <c r="F35" s="22"/>
      <c r="M35" s="22"/>
      <c r="N35" s="22"/>
      <c r="O35" s="22"/>
      <c r="P35" s="22"/>
    </row>
    <row r="38" spans="1:16" ht="14.45" customHeight="1">
      <c r="A38" s="52" t="s">
        <v>700</v>
      </c>
      <c r="B38" s="51"/>
      <c r="C38" s="51"/>
      <c r="D38" s="51"/>
      <c r="E38" s="51"/>
    </row>
  </sheetData>
  <mergeCells count="2">
    <mergeCell ref="M1:P1"/>
    <mergeCell ref="A38:E38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4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8" customWidth="1"/>
    <col min="2" max="2" width="28" customWidth="1"/>
    <col min="3" max="4" width="32" customWidth="1"/>
    <col min="5" max="5" width="52" customWidth="1"/>
  </cols>
  <sheetData>
    <row r="1" spans="1:5" ht="15" customHeight="1">
      <c r="A1" s="23" t="s">
        <v>701</v>
      </c>
      <c r="B1" s="23" t="s">
        <v>702</v>
      </c>
      <c r="C1" s="23" t="s">
        <v>703</v>
      </c>
      <c r="D1" s="23" t="s">
        <v>704</v>
      </c>
      <c r="E1" s="23" t="s">
        <v>705</v>
      </c>
    </row>
    <row r="2" spans="1:5">
      <c r="A2" s="22" t="s">
        <v>706</v>
      </c>
      <c r="B2" s="22" t="s">
        <v>707</v>
      </c>
      <c r="C2" s="22" t="s">
        <v>708</v>
      </c>
      <c r="D2" s="22" t="s">
        <v>709</v>
      </c>
      <c r="E2" s="22" t="s">
        <v>710</v>
      </c>
    </row>
    <row r="3" spans="1:5" ht="28.5" customHeight="1">
      <c r="A3" s="22" t="s">
        <v>711</v>
      </c>
      <c r="B3" s="22" t="s">
        <v>552</v>
      </c>
      <c r="C3" s="22" t="s">
        <v>712</v>
      </c>
      <c r="D3" s="22" t="s">
        <v>713</v>
      </c>
      <c r="E3" s="22" t="s">
        <v>714</v>
      </c>
    </row>
    <row r="4" spans="1:5">
      <c r="A4" s="22" t="s">
        <v>715</v>
      </c>
      <c r="B4" s="22" t="s">
        <v>716</v>
      </c>
      <c r="C4" s="22" t="s">
        <v>717</v>
      </c>
      <c r="D4" s="22" t="s">
        <v>718</v>
      </c>
      <c r="E4" s="22" t="s">
        <v>719</v>
      </c>
    </row>
    <row r="5" spans="1:5">
      <c r="A5" s="22" t="s">
        <v>720</v>
      </c>
      <c r="B5" s="22" t="s">
        <v>721</v>
      </c>
      <c r="C5" s="22" t="s">
        <v>722</v>
      </c>
      <c r="D5" s="22" t="s">
        <v>723</v>
      </c>
      <c r="E5" s="22" t="s">
        <v>724</v>
      </c>
    </row>
    <row r="6" spans="1:5" ht="42" customHeight="1">
      <c r="A6" s="22" t="s">
        <v>725</v>
      </c>
      <c r="B6" s="22" t="s">
        <v>726</v>
      </c>
      <c r="C6" s="22" t="s">
        <v>722</v>
      </c>
      <c r="D6" s="22" t="s">
        <v>727</v>
      </c>
      <c r="E6" s="22" t="s">
        <v>728</v>
      </c>
    </row>
    <row r="7" spans="1:5" ht="69.95" customHeight="1">
      <c r="A7" s="22" t="s">
        <v>729</v>
      </c>
      <c r="B7" s="22" t="s">
        <v>730</v>
      </c>
      <c r="C7" s="22" t="s">
        <v>731</v>
      </c>
      <c r="D7" s="22" t="s">
        <v>732</v>
      </c>
      <c r="E7" s="22" t="s">
        <v>733</v>
      </c>
    </row>
    <row r="8" spans="1:5" ht="56.1" customHeight="1">
      <c r="A8" s="22" t="s">
        <v>734</v>
      </c>
      <c r="B8" s="22" t="s">
        <v>735</v>
      </c>
      <c r="C8" s="22" t="s">
        <v>736</v>
      </c>
      <c r="D8" s="22" t="s">
        <v>737</v>
      </c>
      <c r="E8" s="22" t="s">
        <v>738</v>
      </c>
    </row>
    <row r="9" spans="1:5">
      <c r="A9" s="22" t="s">
        <v>739</v>
      </c>
      <c r="B9" s="22" t="s">
        <v>740</v>
      </c>
      <c r="C9" s="22" t="s">
        <v>741</v>
      </c>
      <c r="D9" s="22" t="s">
        <v>742</v>
      </c>
      <c r="E9" s="22" t="s">
        <v>743</v>
      </c>
    </row>
    <row r="10" spans="1:5">
      <c r="A10" s="22" t="s">
        <v>744</v>
      </c>
      <c r="B10" s="22" t="s">
        <v>745</v>
      </c>
      <c r="C10" s="22" t="s">
        <v>746</v>
      </c>
      <c r="D10" s="22" t="s">
        <v>747</v>
      </c>
      <c r="E10" s="22" t="s">
        <v>748</v>
      </c>
    </row>
    <row r="11" spans="1:5" ht="42" customHeight="1">
      <c r="A11" s="35" t="s">
        <v>749</v>
      </c>
      <c r="B11" s="35" t="s">
        <v>750</v>
      </c>
      <c r="C11" s="35" t="s">
        <v>751</v>
      </c>
      <c r="D11" s="35" t="s">
        <v>752</v>
      </c>
      <c r="E11" s="35" t="s">
        <v>753</v>
      </c>
    </row>
    <row r="12" spans="1:5" ht="42" customHeight="1">
      <c r="A12" s="35" t="s">
        <v>754</v>
      </c>
      <c r="B12" s="35" t="s">
        <v>755</v>
      </c>
      <c r="C12" s="35" t="s">
        <v>756</v>
      </c>
      <c r="D12" s="35" t="s">
        <v>757</v>
      </c>
      <c r="E12" s="35" t="s">
        <v>758</v>
      </c>
    </row>
    <row r="13" spans="1:5" ht="16.5" customHeight="1">
      <c r="A13" s="24" t="s">
        <v>759</v>
      </c>
    </row>
    <row r="14" spans="1:5" ht="15" customHeight="1">
      <c r="A14" s="25" t="s">
        <v>760</v>
      </c>
      <c r="B14" s="25" t="s">
        <v>761</v>
      </c>
      <c r="C14" s="25" t="s">
        <v>762</v>
      </c>
      <c r="D14" s="25"/>
      <c r="E14" s="25"/>
    </row>
    <row r="15" spans="1:5">
      <c r="A15" s="22" t="s">
        <v>763</v>
      </c>
      <c r="B15" s="22" t="s">
        <v>764</v>
      </c>
      <c r="C15" s="22" t="s">
        <v>566</v>
      </c>
    </row>
    <row r="16" spans="1:5">
      <c r="A16" s="22" t="s">
        <v>763</v>
      </c>
      <c r="B16" s="22" t="s">
        <v>765</v>
      </c>
      <c r="C16" s="22" t="s">
        <v>566</v>
      </c>
    </row>
    <row r="17" spans="1:3">
      <c r="A17" s="22" t="s">
        <v>763</v>
      </c>
      <c r="B17" s="22" t="s">
        <v>766</v>
      </c>
      <c r="C17" s="22" t="s">
        <v>591</v>
      </c>
    </row>
    <row r="18" spans="1:3">
      <c r="A18" s="22" t="s">
        <v>763</v>
      </c>
      <c r="B18" s="22" t="s">
        <v>767</v>
      </c>
      <c r="C18" s="22" t="s">
        <v>613</v>
      </c>
    </row>
    <row r="19" spans="1:3">
      <c r="A19" s="22" t="s">
        <v>763</v>
      </c>
      <c r="B19" s="22" t="s">
        <v>768</v>
      </c>
      <c r="C19" s="22" t="s">
        <v>591</v>
      </c>
    </row>
    <row r="20" spans="1:3">
      <c r="A20" s="22" t="s">
        <v>763</v>
      </c>
      <c r="B20" s="22" t="s">
        <v>769</v>
      </c>
      <c r="C20" s="22" t="s">
        <v>566</v>
      </c>
    </row>
    <row r="21" spans="1:3">
      <c r="A21" s="22" t="s">
        <v>763</v>
      </c>
      <c r="B21" s="22" t="s">
        <v>770</v>
      </c>
      <c r="C21" s="22" t="s">
        <v>566</v>
      </c>
    </row>
    <row r="22" spans="1:3">
      <c r="A22" s="22" t="s">
        <v>763</v>
      </c>
      <c r="B22" s="22" t="s">
        <v>771</v>
      </c>
      <c r="C22" s="22" t="s">
        <v>566</v>
      </c>
    </row>
    <row r="23" spans="1:3">
      <c r="A23" s="22" t="s">
        <v>763</v>
      </c>
      <c r="B23" s="22" t="s">
        <v>772</v>
      </c>
      <c r="C23" s="22" t="s">
        <v>566</v>
      </c>
    </row>
    <row r="24" spans="1:3">
      <c r="A24" s="22" t="s">
        <v>763</v>
      </c>
      <c r="B24" s="22" t="s">
        <v>773</v>
      </c>
      <c r="C24" s="22" t="s">
        <v>602</v>
      </c>
    </row>
    <row r="25" spans="1:3">
      <c r="A25" s="22" t="s">
        <v>763</v>
      </c>
      <c r="B25" s="22" t="s">
        <v>774</v>
      </c>
      <c r="C25" s="22" t="s">
        <v>643</v>
      </c>
    </row>
    <row r="26" spans="1:3">
      <c r="A26" s="22" t="s">
        <v>763</v>
      </c>
      <c r="B26" s="22" t="s">
        <v>775</v>
      </c>
      <c r="C26" s="22" t="s">
        <v>643</v>
      </c>
    </row>
    <row r="27" spans="1:3">
      <c r="A27" s="22" t="s">
        <v>763</v>
      </c>
      <c r="B27" s="22" t="s">
        <v>776</v>
      </c>
      <c r="C27" s="22" t="s">
        <v>634</v>
      </c>
    </row>
    <row r="28" spans="1:3">
      <c r="A28" s="22" t="s">
        <v>763</v>
      </c>
      <c r="B28" s="22" t="s">
        <v>777</v>
      </c>
      <c r="C28" s="22" t="s">
        <v>643</v>
      </c>
    </row>
    <row r="29" spans="1:3">
      <c r="A29" s="22" t="s">
        <v>763</v>
      </c>
      <c r="B29" s="22" t="s">
        <v>579</v>
      </c>
      <c r="C29" s="22" t="s">
        <v>579</v>
      </c>
    </row>
    <row r="30" spans="1:3">
      <c r="A30" s="22" t="s">
        <v>763</v>
      </c>
      <c r="B30" s="22" t="s">
        <v>591</v>
      </c>
      <c r="C30" s="22" t="s">
        <v>591</v>
      </c>
    </row>
    <row r="31" spans="1:3">
      <c r="A31" s="22" t="s">
        <v>763</v>
      </c>
      <c r="B31" s="22" t="s">
        <v>692</v>
      </c>
      <c r="C31" s="22" t="s">
        <v>692</v>
      </c>
    </row>
    <row r="32" spans="1:3">
      <c r="A32" s="22" t="s">
        <v>778</v>
      </c>
      <c r="B32" s="22" t="s">
        <v>779</v>
      </c>
      <c r="C32" s="22" t="s">
        <v>683</v>
      </c>
    </row>
    <row r="33" spans="1:3">
      <c r="A33" s="22" t="s">
        <v>778</v>
      </c>
      <c r="B33" s="22" t="s">
        <v>780</v>
      </c>
      <c r="C33" s="22" t="s">
        <v>667</v>
      </c>
    </row>
    <row r="34" spans="1:3">
      <c r="A34" s="22" t="s">
        <v>778</v>
      </c>
      <c r="B34" s="22" t="s">
        <v>667</v>
      </c>
      <c r="C34" s="22" t="s">
        <v>667</v>
      </c>
    </row>
    <row r="35" spans="1:3">
      <c r="A35" s="22" t="s">
        <v>778</v>
      </c>
      <c r="B35" s="22" t="s">
        <v>781</v>
      </c>
      <c r="C35" s="22" t="s">
        <v>634</v>
      </c>
    </row>
    <row r="36" spans="1:3">
      <c r="A36" s="22" t="s">
        <v>778</v>
      </c>
      <c r="B36" s="22" t="s">
        <v>782</v>
      </c>
      <c r="C36" s="22" t="s">
        <v>634</v>
      </c>
    </row>
    <row r="37" spans="1:3">
      <c r="A37" s="22" t="s">
        <v>778</v>
      </c>
      <c r="B37" s="22" t="s">
        <v>783</v>
      </c>
      <c r="C37" s="22" t="s">
        <v>659</v>
      </c>
    </row>
    <row r="38" spans="1:3">
      <c r="A38" s="22" t="s">
        <v>778</v>
      </c>
      <c r="B38" s="22" t="s">
        <v>784</v>
      </c>
      <c r="C38" s="22" t="s">
        <v>667</v>
      </c>
    </row>
    <row r="39" spans="1:3">
      <c r="A39" s="22" t="s">
        <v>778</v>
      </c>
      <c r="B39" s="22" t="s">
        <v>785</v>
      </c>
      <c r="C39" s="22" t="s">
        <v>667</v>
      </c>
    </row>
    <row r="40" spans="1:3">
      <c r="A40" s="22" t="s">
        <v>778</v>
      </c>
      <c r="B40" s="22" t="s">
        <v>786</v>
      </c>
      <c r="C40" s="22" t="s">
        <v>624</v>
      </c>
    </row>
    <row r="41" spans="1:3">
      <c r="A41" s="22" t="s">
        <v>778</v>
      </c>
      <c r="B41" s="22" t="s">
        <v>613</v>
      </c>
      <c r="C41" s="22" t="s">
        <v>613</v>
      </c>
    </row>
    <row r="42" spans="1:3">
      <c r="A42" s="22" t="s">
        <v>778</v>
      </c>
      <c r="B42" s="22" t="s">
        <v>787</v>
      </c>
      <c r="C42" s="22" t="s">
        <v>613</v>
      </c>
    </row>
    <row r="43" spans="1:3">
      <c r="A43" s="22" t="s">
        <v>778</v>
      </c>
      <c r="B43" s="22" t="s">
        <v>788</v>
      </c>
      <c r="C43" s="22" t="s">
        <v>667</v>
      </c>
    </row>
    <row r="44" spans="1:3">
      <c r="A44" s="22" t="s">
        <v>778</v>
      </c>
      <c r="B44" s="22" t="s">
        <v>789</v>
      </c>
      <c r="C44" s="22" t="s">
        <v>659</v>
      </c>
    </row>
    <row r="45" spans="1:3">
      <c r="A45" s="22" t="s">
        <v>778</v>
      </c>
      <c r="B45" s="22" t="s">
        <v>790</v>
      </c>
      <c r="C45" s="22" t="s">
        <v>613</v>
      </c>
    </row>
    <row r="46" spans="1:3">
      <c r="A46" s="22" t="s">
        <v>778</v>
      </c>
      <c r="B46" s="22" t="s">
        <v>692</v>
      </c>
      <c r="C46" s="22" t="s">
        <v>692</v>
      </c>
    </row>
    <row r="47" spans="1:3">
      <c r="A47" s="22" t="s">
        <v>791</v>
      </c>
      <c r="B47" s="22" t="s">
        <v>792</v>
      </c>
      <c r="C47" s="22" t="s">
        <v>676</v>
      </c>
    </row>
    <row r="48" spans="1:3">
      <c r="A48" s="22" t="s">
        <v>791</v>
      </c>
      <c r="B48" s="22" t="s">
        <v>676</v>
      </c>
      <c r="C48" s="22" t="s">
        <v>676</v>
      </c>
    </row>
    <row r="49" spans="1:3">
      <c r="A49" s="22" t="s">
        <v>791</v>
      </c>
      <c r="B49" s="22" t="s">
        <v>793</v>
      </c>
      <c r="C49" s="22" t="s">
        <v>684</v>
      </c>
    </row>
    <row r="50" spans="1:3">
      <c r="A50" s="22" t="s">
        <v>791</v>
      </c>
      <c r="B50" s="22" t="s">
        <v>794</v>
      </c>
      <c r="C50" s="22" t="s">
        <v>684</v>
      </c>
    </row>
    <row r="51" spans="1:3">
      <c r="A51" s="22" t="s">
        <v>791</v>
      </c>
      <c r="B51" s="22" t="s">
        <v>684</v>
      </c>
      <c r="C51" s="22" t="s">
        <v>684</v>
      </c>
    </row>
    <row r="52" spans="1:3">
      <c r="A52" s="22" t="s">
        <v>791</v>
      </c>
      <c r="B52" s="22" t="s">
        <v>795</v>
      </c>
      <c r="C52" s="22" t="s">
        <v>567</v>
      </c>
    </row>
    <row r="53" spans="1:3">
      <c r="A53" s="22" t="s">
        <v>791</v>
      </c>
      <c r="B53" s="22" t="s">
        <v>567</v>
      </c>
      <c r="C53" s="22" t="s">
        <v>567</v>
      </c>
    </row>
    <row r="54" spans="1:3">
      <c r="A54" s="22" t="s">
        <v>791</v>
      </c>
      <c r="B54" s="22" t="s">
        <v>796</v>
      </c>
      <c r="C54" s="22" t="s">
        <v>580</v>
      </c>
    </row>
    <row r="55" spans="1:3">
      <c r="A55" s="22" t="s">
        <v>791</v>
      </c>
      <c r="B55" s="22" t="s">
        <v>580</v>
      </c>
      <c r="C55" s="22" t="s">
        <v>580</v>
      </c>
    </row>
    <row r="56" spans="1:3">
      <c r="A56" s="22" t="s">
        <v>791</v>
      </c>
      <c r="B56" s="22" t="s">
        <v>797</v>
      </c>
      <c r="C56" s="22" t="s">
        <v>580</v>
      </c>
    </row>
    <row r="57" spans="1:3">
      <c r="A57" s="22" t="s">
        <v>791</v>
      </c>
      <c r="B57" s="22" t="s">
        <v>798</v>
      </c>
      <c r="C57" s="22" t="s">
        <v>592</v>
      </c>
    </row>
    <row r="58" spans="1:3">
      <c r="A58" s="22" t="s">
        <v>791</v>
      </c>
      <c r="B58" s="22" t="s">
        <v>799</v>
      </c>
      <c r="C58" s="22" t="s">
        <v>635</v>
      </c>
    </row>
    <row r="59" spans="1:3">
      <c r="A59" s="22" t="s">
        <v>791</v>
      </c>
      <c r="B59" s="22" t="s">
        <v>800</v>
      </c>
      <c r="C59" s="22" t="s">
        <v>635</v>
      </c>
    </row>
    <row r="60" spans="1:3">
      <c r="A60" s="22" t="s">
        <v>791</v>
      </c>
      <c r="B60" s="22" t="s">
        <v>635</v>
      </c>
      <c r="C60" s="22" t="s">
        <v>635</v>
      </c>
    </row>
    <row r="61" spans="1:3">
      <c r="A61" s="22" t="s">
        <v>791</v>
      </c>
      <c r="B61" s="22" t="s">
        <v>644</v>
      </c>
      <c r="C61" s="22" t="s">
        <v>644</v>
      </c>
    </row>
    <row r="62" spans="1:3">
      <c r="A62" s="22" t="s">
        <v>791</v>
      </c>
      <c r="B62" s="22" t="s">
        <v>668</v>
      </c>
      <c r="C62" s="22" t="s">
        <v>668</v>
      </c>
    </row>
    <row r="63" spans="1:3">
      <c r="A63" s="22" t="s">
        <v>791</v>
      </c>
      <c r="B63" s="22" t="s">
        <v>801</v>
      </c>
      <c r="C63" s="22" t="s">
        <v>652</v>
      </c>
    </row>
    <row r="64" spans="1:3">
      <c r="A64" s="22" t="s">
        <v>791</v>
      </c>
      <c r="B64" s="22" t="s">
        <v>802</v>
      </c>
      <c r="C64" s="22" t="s">
        <v>802</v>
      </c>
    </row>
    <row r="65" spans="1:3">
      <c r="A65" s="22" t="s">
        <v>791</v>
      </c>
      <c r="B65" s="22" t="s">
        <v>652</v>
      </c>
      <c r="C65" s="22" t="s">
        <v>652</v>
      </c>
    </row>
    <row r="66" spans="1:3">
      <c r="A66" s="22" t="s">
        <v>791</v>
      </c>
      <c r="B66" s="22" t="s">
        <v>660</v>
      </c>
      <c r="C66" s="22" t="s">
        <v>660</v>
      </c>
    </row>
    <row r="67" spans="1:3">
      <c r="A67" s="22" t="s">
        <v>791</v>
      </c>
      <c r="B67" s="22" t="s">
        <v>692</v>
      </c>
      <c r="C67" s="22" t="s">
        <v>692</v>
      </c>
    </row>
    <row r="68" spans="1:3">
      <c r="A68" s="22" t="s">
        <v>803</v>
      </c>
      <c r="B68" s="22" t="s">
        <v>804</v>
      </c>
      <c r="C68" s="22" t="s">
        <v>569</v>
      </c>
    </row>
    <row r="69" spans="1:3">
      <c r="A69" s="22" t="s">
        <v>803</v>
      </c>
      <c r="B69" s="22" t="s">
        <v>805</v>
      </c>
      <c r="C69" s="22" t="s">
        <v>582</v>
      </c>
    </row>
    <row r="70" spans="1:3">
      <c r="A70" s="22" t="s">
        <v>803</v>
      </c>
      <c r="B70" s="22" t="s">
        <v>806</v>
      </c>
      <c r="C70" s="22" t="s">
        <v>582</v>
      </c>
    </row>
    <row r="71" spans="1:3">
      <c r="A71" s="22" t="s">
        <v>803</v>
      </c>
      <c r="B71" s="22" t="s">
        <v>807</v>
      </c>
      <c r="C71" s="22" t="s">
        <v>583</v>
      </c>
    </row>
    <row r="72" spans="1:3">
      <c r="A72" s="22" t="s">
        <v>803</v>
      </c>
      <c r="B72" s="22" t="s">
        <v>808</v>
      </c>
      <c r="C72" s="22" t="s">
        <v>604</v>
      </c>
    </row>
    <row r="73" spans="1:3">
      <c r="A73" s="22" t="s">
        <v>803</v>
      </c>
      <c r="B73" s="22" t="s">
        <v>809</v>
      </c>
      <c r="C73" s="22" t="s">
        <v>616</v>
      </c>
    </row>
    <row r="74" spans="1:3">
      <c r="A74" s="22" t="s">
        <v>803</v>
      </c>
      <c r="B74" s="22" t="s">
        <v>810</v>
      </c>
      <c r="C74" s="22" t="s">
        <v>626</v>
      </c>
    </row>
    <row r="75" spans="1:3">
      <c r="A75" s="22" t="s">
        <v>803</v>
      </c>
      <c r="B75" s="22" t="s">
        <v>811</v>
      </c>
      <c r="C75" s="22" t="s">
        <v>636</v>
      </c>
    </row>
    <row r="76" spans="1:3">
      <c r="A76" s="22" t="s">
        <v>812</v>
      </c>
      <c r="B76" s="22" t="s">
        <v>804</v>
      </c>
      <c r="C76" s="22" t="s">
        <v>617</v>
      </c>
    </row>
    <row r="77" spans="1:3">
      <c r="A77" s="22" t="s">
        <v>812</v>
      </c>
      <c r="B77" s="22" t="s">
        <v>813</v>
      </c>
      <c r="C77" s="22" t="s">
        <v>617</v>
      </c>
    </row>
    <row r="78" spans="1:3">
      <c r="A78" s="22" t="s">
        <v>812</v>
      </c>
      <c r="B78" s="22" t="s">
        <v>805</v>
      </c>
      <c r="C78" s="22" t="s">
        <v>697</v>
      </c>
    </row>
    <row r="79" spans="1:3">
      <c r="A79" s="22" t="s">
        <v>812</v>
      </c>
      <c r="B79" s="22" t="s">
        <v>806</v>
      </c>
      <c r="C79" s="22" t="s">
        <v>697</v>
      </c>
    </row>
    <row r="80" spans="1:3">
      <c r="A80" s="22" t="s">
        <v>812</v>
      </c>
      <c r="B80" s="22" t="s">
        <v>807</v>
      </c>
      <c r="C80" s="22" t="s">
        <v>583</v>
      </c>
    </row>
    <row r="81" spans="1:3">
      <c r="A81" s="22" t="s">
        <v>812</v>
      </c>
      <c r="B81" s="22" t="s">
        <v>808</v>
      </c>
      <c r="C81" s="22" t="s">
        <v>594</v>
      </c>
    </row>
    <row r="82" spans="1:3">
      <c r="A82" s="22" t="s">
        <v>812</v>
      </c>
      <c r="B82" s="22" t="s">
        <v>810</v>
      </c>
      <c r="C82" s="22" t="s">
        <v>570</v>
      </c>
    </row>
    <row r="83" spans="1:3" ht="27.95" customHeight="1">
      <c r="A83" s="22" t="s">
        <v>812</v>
      </c>
      <c r="B83" s="22" t="s">
        <v>814</v>
      </c>
      <c r="C83" s="22" t="s">
        <v>815</v>
      </c>
    </row>
    <row r="84" spans="1:3" ht="27.95" customHeight="1">
      <c r="A84" s="22" t="s">
        <v>812</v>
      </c>
      <c r="B84" s="22" t="s">
        <v>816</v>
      </c>
      <c r="C84" s="22" t="s">
        <v>815</v>
      </c>
    </row>
    <row r="85" spans="1:3">
      <c r="A85" s="22" t="s">
        <v>812</v>
      </c>
      <c r="B85" s="22" t="s">
        <v>817</v>
      </c>
      <c r="C85" s="22" t="s">
        <v>661</v>
      </c>
    </row>
    <row r="86" spans="1:3">
      <c r="A86" s="22" t="s">
        <v>812</v>
      </c>
      <c r="B86" s="22" t="s">
        <v>646</v>
      </c>
      <c r="C86" s="22" t="s">
        <v>685</v>
      </c>
    </row>
    <row r="87" spans="1:3">
      <c r="A87" s="22" t="s">
        <v>812</v>
      </c>
      <c r="B87" s="22" t="s">
        <v>609</v>
      </c>
      <c r="C87" s="22" t="s">
        <v>669</v>
      </c>
    </row>
    <row r="88" spans="1:3">
      <c r="A88" s="22" t="s">
        <v>818</v>
      </c>
      <c r="B88" s="22" t="s">
        <v>819</v>
      </c>
      <c r="C88" s="22" t="s">
        <v>654</v>
      </c>
    </row>
    <row r="89" spans="1:3">
      <c r="A89" s="22" t="s">
        <v>818</v>
      </c>
      <c r="B89" s="22" t="s">
        <v>820</v>
      </c>
      <c r="C89" s="22" t="s">
        <v>654</v>
      </c>
    </row>
    <row r="90" spans="1:3">
      <c r="A90" s="22" t="s">
        <v>818</v>
      </c>
      <c r="B90" s="22" t="s">
        <v>821</v>
      </c>
      <c r="C90" s="22" t="s">
        <v>654</v>
      </c>
    </row>
    <row r="91" spans="1:3">
      <c r="A91" s="22" t="s">
        <v>818</v>
      </c>
      <c r="B91" s="22" t="s">
        <v>670</v>
      </c>
      <c r="C91" s="22" t="s">
        <v>670</v>
      </c>
    </row>
    <row r="92" spans="1:3">
      <c r="A92" s="22" t="s">
        <v>818</v>
      </c>
      <c r="B92" s="22" t="s">
        <v>606</v>
      </c>
      <c r="C92" s="22" t="s">
        <v>606</v>
      </c>
    </row>
    <row r="93" spans="1:3">
      <c r="A93" s="22" t="s">
        <v>818</v>
      </c>
      <c r="B93" s="22" t="s">
        <v>822</v>
      </c>
      <c r="C93" s="22" t="s">
        <v>606</v>
      </c>
    </row>
    <row r="94" spans="1:3">
      <c r="A94" s="22" t="s">
        <v>818</v>
      </c>
      <c r="B94" s="22" t="s">
        <v>823</v>
      </c>
      <c r="C94" s="22" t="s">
        <v>638</v>
      </c>
    </row>
    <row r="95" spans="1:3">
      <c r="A95" s="22" t="s">
        <v>818</v>
      </c>
      <c r="B95" s="22" t="s">
        <v>134</v>
      </c>
      <c r="C95" s="22" t="s">
        <v>628</v>
      </c>
    </row>
    <row r="96" spans="1:3">
      <c r="A96" s="22" t="s">
        <v>818</v>
      </c>
      <c r="B96" s="22" t="s">
        <v>824</v>
      </c>
      <c r="C96" s="22" t="s">
        <v>628</v>
      </c>
    </row>
    <row r="97" spans="1:3">
      <c r="A97" s="22" t="s">
        <v>818</v>
      </c>
      <c r="B97" s="22" t="s">
        <v>116</v>
      </c>
      <c r="C97" s="22" t="s">
        <v>116</v>
      </c>
    </row>
    <row r="98" spans="1:3">
      <c r="A98" s="22" t="s">
        <v>818</v>
      </c>
      <c r="B98" s="22" t="s">
        <v>825</v>
      </c>
      <c r="C98" s="22" t="s">
        <v>571</v>
      </c>
    </row>
    <row r="99" spans="1:3">
      <c r="A99" s="22" t="s">
        <v>818</v>
      </c>
      <c r="B99" s="22" t="s">
        <v>826</v>
      </c>
      <c r="C99" s="22" t="s">
        <v>571</v>
      </c>
    </row>
    <row r="100" spans="1:3">
      <c r="A100" s="22" t="s">
        <v>818</v>
      </c>
      <c r="B100" s="22" t="s">
        <v>646</v>
      </c>
      <c r="C100" s="22" t="s">
        <v>646</v>
      </c>
    </row>
    <row r="101" spans="1:3">
      <c r="A101" s="22" t="s">
        <v>818</v>
      </c>
      <c r="B101" s="22" t="s">
        <v>827</v>
      </c>
      <c r="C101" s="22" t="s">
        <v>654</v>
      </c>
    </row>
    <row r="102" spans="1:3">
      <c r="A102" s="22" t="s">
        <v>818</v>
      </c>
      <c r="B102" s="22" t="s">
        <v>828</v>
      </c>
      <c r="C102" s="22" t="s">
        <v>686</v>
      </c>
    </row>
    <row r="103" spans="1:3">
      <c r="A103" s="22" t="s">
        <v>818</v>
      </c>
      <c r="B103" s="22" t="s">
        <v>829</v>
      </c>
      <c r="C103" s="22" t="s">
        <v>686</v>
      </c>
    </row>
    <row r="104" spans="1:3">
      <c r="A104" s="22" t="s">
        <v>830</v>
      </c>
      <c r="B104" s="22" t="s">
        <v>810</v>
      </c>
      <c r="C104" s="22" t="s">
        <v>572</v>
      </c>
    </row>
    <row r="105" spans="1:3">
      <c r="A105" s="22" t="s">
        <v>830</v>
      </c>
      <c r="B105" s="22" t="s">
        <v>831</v>
      </c>
      <c r="C105" s="22" t="s">
        <v>572</v>
      </c>
    </row>
    <row r="106" spans="1:3">
      <c r="A106" s="22" t="s">
        <v>830</v>
      </c>
      <c r="B106" s="22" t="s">
        <v>807</v>
      </c>
      <c r="C106" s="22" t="s">
        <v>607</v>
      </c>
    </row>
    <row r="107" spans="1:3">
      <c r="A107" s="22" t="s">
        <v>830</v>
      </c>
      <c r="B107" s="22" t="s">
        <v>832</v>
      </c>
      <c r="C107" s="22" t="s">
        <v>607</v>
      </c>
    </row>
    <row r="108" spans="1:3">
      <c r="A108" s="22" t="s">
        <v>830</v>
      </c>
      <c r="B108" s="22" t="s">
        <v>646</v>
      </c>
      <c r="C108" s="22" t="s">
        <v>584</v>
      </c>
    </row>
    <row r="109" spans="1:3">
      <c r="A109" s="22" t="s">
        <v>830</v>
      </c>
      <c r="B109" s="22" t="s">
        <v>827</v>
      </c>
      <c r="C109" s="22" t="s">
        <v>619</v>
      </c>
    </row>
    <row r="110" spans="1:3">
      <c r="A110" s="22" t="s">
        <v>830</v>
      </c>
      <c r="B110" s="22" t="s">
        <v>833</v>
      </c>
      <c r="C110" s="22" t="s">
        <v>629</v>
      </c>
    </row>
    <row r="111" spans="1:3" ht="27.95" customHeight="1">
      <c r="A111" s="22" t="s">
        <v>830</v>
      </c>
      <c r="B111" s="22" t="s">
        <v>834</v>
      </c>
      <c r="C111" s="22" t="s">
        <v>835</v>
      </c>
    </row>
    <row r="112" spans="1:3" ht="27.95" customHeight="1">
      <c r="A112" s="22" t="s">
        <v>830</v>
      </c>
      <c r="B112" s="22" t="s">
        <v>609</v>
      </c>
      <c r="C112" s="22" t="s">
        <v>835</v>
      </c>
    </row>
    <row r="113" spans="1:3">
      <c r="A113" s="22" t="s">
        <v>836</v>
      </c>
      <c r="B113" s="22" t="s">
        <v>837</v>
      </c>
      <c r="C113" s="22" t="s">
        <v>694</v>
      </c>
    </row>
    <row r="114" spans="1:3">
      <c r="A114" s="22" t="s">
        <v>836</v>
      </c>
      <c r="B114" s="22" t="s">
        <v>838</v>
      </c>
      <c r="C114" s="22" t="s">
        <v>694</v>
      </c>
    </row>
    <row r="115" spans="1:3">
      <c r="A115" s="22" t="s">
        <v>836</v>
      </c>
      <c r="B115" s="22" t="s">
        <v>839</v>
      </c>
      <c r="C115" s="22" t="s">
        <v>694</v>
      </c>
    </row>
    <row r="116" spans="1:3">
      <c r="A116" s="22" t="s">
        <v>836</v>
      </c>
      <c r="B116" s="22" t="s">
        <v>840</v>
      </c>
      <c r="C116" s="22" t="s">
        <v>694</v>
      </c>
    </row>
    <row r="117" spans="1:3">
      <c r="A117" s="22" t="s">
        <v>836</v>
      </c>
      <c r="B117" s="22" t="s">
        <v>841</v>
      </c>
      <c r="C117" s="22" t="s">
        <v>609</v>
      </c>
    </row>
    <row r="118" spans="1:3">
      <c r="A118" s="22" t="s">
        <v>836</v>
      </c>
      <c r="B118" s="22" t="s">
        <v>842</v>
      </c>
      <c r="C118" s="22" t="s">
        <v>679</v>
      </c>
    </row>
    <row r="119" spans="1:3">
      <c r="A119" s="22" t="s">
        <v>843</v>
      </c>
      <c r="B119" s="22" t="s">
        <v>844</v>
      </c>
      <c r="C119" s="22" t="s">
        <v>615</v>
      </c>
    </row>
    <row r="120" spans="1:3">
      <c r="A120" s="22" t="s">
        <v>843</v>
      </c>
      <c r="B120" s="22" t="s">
        <v>845</v>
      </c>
      <c r="C120" s="22" t="s">
        <v>615</v>
      </c>
    </row>
    <row r="121" spans="1:3">
      <c r="A121" s="22" t="s">
        <v>843</v>
      </c>
      <c r="B121" s="22" t="s">
        <v>846</v>
      </c>
      <c r="C121" s="22" t="s">
        <v>615</v>
      </c>
    </row>
    <row r="122" spans="1:3">
      <c r="A122" s="22" t="s">
        <v>843</v>
      </c>
      <c r="B122" s="22" t="s">
        <v>847</v>
      </c>
      <c r="C122" s="22" t="s">
        <v>615</v>
      </c>
    </row>
    <row r="123" spans="1:3">
      <c r="A123" s="22" t="s">
        <v>843</v>
      </c>
      <c r="B123" s="22" t="s">
        <v>848</v>
      </c>
      <c r="C123" s="22" t="s">
        <v>615</v>
      </c>
    </row>
    <row r="124" spans="1:3">
      <c r="A124" s="22" t="s">
        <v>843</v>
      </c>
      <c r="B124" s="22" t="s">
        <v>849</v>
      </c>
      <c r="C124" s="22" t="s">
        <v>615</v>
      </c>
    </row>
    <row r="125" spans="1:3">
      <c r="A125" s="22" t="s">
        <v>843</v>
      </c>
      <c r="B125" s="22" t="s">
        <v>850</v>
      </c>
      <c r="C125" s="22" t="s">
        <v>568</v>
      </c>
    </row>
    <row r="126" spans="1:3">
      <c r="A126" s="22" t="s">
        <v>843</v>
      </c>
      <c r="B126" s="22" t="s">
        <v>851</v>
      </c>
      <c r="C126" s="22" t="s">
        <v>568</v>
      </c>
    </row>
    <row r="127" spans="1:3">
      <c r="A127" s="22" t="s">
        <v>843</v>
      </c>
      <c r="B127" s="22" t="s">
        <v>852</v>
      </c>
      <c r="C127" s="22" t="s">
        <v>568</v>
      </c>
    </row>
    <row r="128" spans="1:3">
      <c r="A128" s="22" t="s">
        <v>843</v>
      </c>
      <c r="B128" s="22" t="s">
        <v>587</v>
      </c>
      <c r="C128" s="22" t="s">
        <v>587</v>
      </c>
    </row>
    <row r="129" spans="1:3">
      <c r="A129" s="22" t="s">
        <v>843</v>
      </c>
      <c r="B129" s="22" t="s">
        <v>853</v>
      </c>
      <c r="C129" s="22" t="s">
        <v>587</v>
      </c>
    </row>
    <row r="130" spans="1:3">
      <c r="A130" s="22" t="s">
        <v>843</v>
      </c>
      <c r="B130" s="22" t="s">
        <v>575</v>
      </c>
      <c r="C130" s="22" t="s">
        <v>575</v>
      </c>
    </row>
    <row r="131" spans="1:3">
      <c r="A131" s="22" t="s">
        <v>843</v>
      </c>
      <c r="B131" s="22" t="s">
        <v>854</v>
      </c>
      <c r="C131" s="22" t="s">
        <v>575</v>
      </c>
    </row>
    <row r="132" spans="1:3">
      <c r="A132" s="22" t="s">
        <v>843</v>
      </c>
      <c r="B132" s="22" t="s">
        <v>593</v>
      </c>
      <c r="C132" s="22" t="s">
        <v>593</v>
      </c>
    </row>
    <row r="133" spans="1:3">
      <c r="A133" s="22" t="s">
        <v>843</v>
      </c>
      <c r="B133" s="22" t="s">
        <v>855</v>
      </c>
      <c r="C133" s="22" t="s">
        <v>593</v>
      </c>
    </row>
    <row r="134" spans="1:3">
      <c r="A134" s="22" t="s">
        <v>843</v>
      </c>
      <c r="B134" s="22" t="s">
        <v>856</v>
      </c>
      <c r="C134" s="22" t="s">
        <v>856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"/>
  <sheetViews>
    <sheetView workbookViewId="0">
      <selection activeCell="F1" sqref="F1"/>
    </sheetView>
  </sheetViews>
  <sheetFormatPr defaultRowHeight="14.25"/>
  <cols>
    <col min="1" max="1" width="14" customWidth="1"/>
    <col min="2" max="2" width="22" customWidth="1"/>
    <col min="3" max="3" width="16" customWidth="1"/>
    <col min="4" max="4" width="3" customWidth="1"/>
    <col min="5" max="5" width="22" customWidth="1"/>
  </cols>
  <sheetData>
    <row r="1" spans="1:7" ht="15" customHeight="1">
      <c r="A1" s="34" t="s">
        <v>857</v>
      </c>
      <c r="B1" s="34" t="s">
        <v>858</v>
      </c>
      <c r="C1" s="34" t="s">
        <v>859</v>
      </c>
      <c r="E1" s="30" t="s">
        <v>860</v>
      </c>
      <c r="G1" s="32" t="s">
        <v>861</v>
      </c>
    </row>
    <row r="2" spans="1:7" ht="17.100000000000001" customHeight="1">
      <c r="A2" t="s">
        <v>535</v>
      </c>
      <c r="B2" t="s">
        <v>45</v>
      </c>
      <c r="C2" s="36" t="s">
        <v>618</v>
      </c>
      <c r="E2" t="str">
        <f>IF(기업정보!E2="","",기업정보!E2)</f>
        <v>공연공</v>
      </c>
    </row>
    <row r="3" spans="1:7" ht="17.100000000000001" customHeight="1">
      <c r="A3" t="s">
        <v>535</v>
      </c>
      <c r="B3" s="36" t="s">
        <v>116</v>
      </c>
      <c r="C3" t="s">
        <v>116</v>
      </c>
    </row>
    <row r="4" spans="1:7">
      <c r="A4" t="s">
        <v>535</v>
      </c>
      <c r="B4" t="s">
        <v>122</v>
      </c>
      <c r="C4" t="s">
        <v>654</v>
      </c>
    </row>
    <row r="5" spans="1:7" ht="17.100000000000001" customHeight="1">
      <c r="A5" t="s">
        <v>535</v>
      </c>
      <c r="B5" s="37" t="s">
        <v>134</v>
      </c>
      <c r="C5" t="s">
        <v>628</v>
      </c>
    </row>
    <row r="6" spans="1:7">
      <c r="A6" t="s">
        <v>535</v>
      </c>
      <c r="B6" s="37" t="s">
        <v>528</v>
      </c>
      <c r="C6" t="s">
        <v>595</v>
      </c>
      <c r="E6" t="str">
        <f>IF(기업정보!E6="","",기업정보!E6)</f>
        <v/>
      </c>
    </row>
    <row r="7" spans="1:7">
      <c r="E7" t="str">
        <f>IF(기업정보!E7="","",기업정보!E7)</f>
        <v/>
      </c>
    </row>
    <row r="8" spans="1:7">
      <c r="E8" t="str">
        <f>IF(기업정보!E8="","",기업정보!E8)</f>
        <v/>
      </c>
    </row>
    <row r="9" spans="1:7">
      <c r="E9" t="str">
        <f>IF(기업정보!E9="","",기업정보!E9)</f>
        <v/>
      </c>
    </row>
    <row r="10" spans="1:7">
      <c r="E10" t="str">
        <f>IF(기업정보!E10="","",기업정보!E10)</f>
        <v/>
      </c>
    </row>
    <row r="11" spans="1:7">
      <c r="E11" t="str">
        <f>IF(기업정보!E11="","",기업정보!E11)</f>
        <v/>
      </c>
    </row>
    <row r="12" spans="1:7">
      <c r="E12" t="str">
        <f>IF(기업정보!E12="","",기업정보!E12)</f>
        <v/>
      </c>
    </row>
    <row r="13" spans="1:7">
      <c r="E13" t="str">
        <f>IF(기업정보!E13="","",기업정보!E13)</f>
        <v/>
      </c>
    </row>
    <row r="14" spans="1:7">
      <c r="E14" t="str">
        <f>IF(기업정보!E14="","",기업정보!E14)</f>
        <v/>
      </c>
    </row>
    <row r="15" spans="1:7">
      <c r="E15" t="str">
        <f>IF(기업정보!E15="","",기업정보!E15)</f>
        <v/>
      </c>
    </row>
    <row r="16" spans="1:7">
      <c r="E16" t="str">
        <f>IF(기업정보!E16="","",기업정보!E16)</f>
        <v/>
      </c>
    </row>
    <row r="17" spans="5:5">
      <c r="E17" t="str">
        <f>IF(기업정보!E17="","",기업정보!E17)</f>
        <v/>
      </c>
    </row>
    <row r="18" spans="5:5">
      <c r="E18" t="str">
        <f>IF(기업정보!E18="","",기업정보!E18)</f>
        <v/>
      </c>
    </row>
    <row r="19" spans="5:5">
      <c r="E19" t="str">
        <f>IF(기업정보!E19="","",기업정보!E19)</f>
        <v/>
      </c>
    </row>
    <row r="20" spans="5:5">
      <c r="E20" t="str">
        <f>IF(기업정보!E20="","",기업정보!E20)</f>
        <v/>
      </c>
    </row>
    <row r="21" spans="5:5">
      <c r="E21" t="str">
        <f>IF(기업정보!E21="","",기업정보!E21)</f>
        <v/>
      </c>
    </row>
    <row r="22" spans="5:5">
      <c r="E22" t="str">
        <f>IF(기업정보!E22="","",기업정보!E22)</f>
        <v/>
      </c>
    </row>
    <row r="23" spans="5:5">
      <c r="E23" t="str">
        <f>IF(기업정보!E23="","",기업정보!E23)</f>
        <v/>
      </c>
    </row>
    <row r="24" spans="5:5">
      <c r="E24" t="str">
        <f>IF(기업정보!E24="","",기업정보!E24)</f>
        <v/>
      </c>
    </row>
    <row r="25" spans="5:5">
      <c r="E25" t="str">
        <f>IF(기업정보!E25="","",기업정보!E25)</f>
        <v/>
      </c>
    </row>
    <row r="26" spans="5:5">
      <c r="E26" t="str">
        <f>IF(기업정보!E26="","",기업정보!E26)</f>
        <v/>
      </c>
    </row>
    <row r="27" spans="5:5">
      <c r="E27" t="str">
        <f>IF(기업정보!E27="","",기업정보!E27)</f>
        <v/>
      </c>
    </row>
    <row r="28" spans="5:5">
      <c r="E28" t="str">
        <f>IF(기업정보!E28="","",기업정보!E28)</f>
        <v/>
      </c>
    </row>
    <row r="29" spans="5:5">
      <c r="E29" t="str">
        <f>IF(기업정보!E29="","",기업정보!E29)</f>
        <v/>
      </c>
    </row>
    <row r="30" spans="5:5">
      <c r="E30" t="str">
        <f>IF(기업정보!E30="","",기업정보!E30)</f>
        <v/>
      </c>
    </row>
    <row r="31" spans="5:5">
      <c r="E31" t="str">
        <f>IF(기업정보!E31="","",기업정보!E31)</f>
        <v/>
      </c>
    </row>
    <row r="32" spans="5:5">
      <c r="E32" t="str">
        <f>IF(기업정보!E32="","",기업정보!E32)</f>
        <v/>
      </c>
    </row>
    <row r="33" spans="5:5">
      <c r="E33" t="str">
        <f>IF(기업정보!E33="","",기업정보!E33)</f>
        <v/>
      </c>
    </row>
    <row r="34" spans="5:5">
      <c r="E34" t="str">
        <f>IF(기업정보!E34="","",기업정보!E34)</f>
        <v/>
      </c>
    </row>
    <row r="35" spans="5:5">
      <c r="E35" t="str">
        <f>IF(기업정보!E35="","",기업정보!E35)</f>
        <v/>
      </c>
    </row>
    <row r="36" spans="5:5">
      <c r="E36" t="str">
        <f>IF(기업정보!E36="","",기업정보!E36)</f>
        <v/>
      </c>
    </row>
    <row r="37" spans="5:5">
      <c r="E37" t="str">
        <f>IF(기업정보!E37="","",기업정보!E37)</f>
        <v/>
      </c>
    </row>
    <row r="38" spans="5:5">
      <c r="E38" t="str">
        <f>IF(기업정보!E38="","",기업정보!E38)</f>
        <v/>
      </c>
    </row>
    <row r="39" spans="5:5">
      <c r="E39" t="str">
        <f>IF(기업정보!E39="","",기업정보!E39)</f>
        <v/>
      </c>
    </row>
    <row r="40" spans="5:5">
      <c r="E40" t="str">
        <f>IF(기업정보!E40="","",기업정보!E40)</f>
        <v/>
      </c>
    </row>
    <row r="41" spans="5:5">
      <c r="E41" t="str">
        <f>IF(기업정보!E41="","",기업정보!E41)</f>
        <v/>
      </c>
    </row>
    <row r="42" spans="5:5">
      <c r="E42" t="str">
        <f>IF(기업정보!E42="","",기업정보!E42)</f>
        <v/>
      </c>
    </row>
    <row r="43" spans="5:5">
      <c r="E43" t="str">
        <f>IF(기업정보!E43="","",기업정보!E43)</f>
        <v/>
      </c>
    </row>
    <row r="44" spans="5:5">
      <c r="E44" t="str">
        <f>IF(기업정보!E44="","",기업정보!E44)</f>
        <v/>
      </c>
    </row>
    <row r="45" spans="5:5">
      <c r="E45" t="str">
        <f>IF(기업정보!E45="","",기업정보!E45)</f>
        <v/>
      </c>
    </row>
    <row r="46" spans="5:5">
      <c r="E46" t="str">
        <f>IF(기업정보!E46="","",기업정보!E46)</f>
        <v/>
      </c>
    </row>
    <row r="47" spans="5:5">
      <c r="E47" t="str">
        <f>IF(기업정보!E47="","",기업정보!E47)</f>
        <v/>
      </c>
    </row>
    <row r="48" spans="5:5">
      <c r="E48" t="str">
        <f>IF(기업정보!E48="","",기업정보!E48)</f>
        <v/>
      </c>
    </row>
    <row r="49" spans="5:5">
      <c r="E49" t="str">
        <f>IF(기업정보!E49="","",기업정보!E49)</f>
        <v/>
      </c>
    </row>
    <row r="50" spans="5:5">
      <c r="E50" t="str">
        <f>IF(기업정보!E50="","",기업정보!E50)</f>
        <v/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12</vt:i4>
      </vt:variant>
    </vt:vector>
  </HeadingPairs>
  <TitlesOfParts>
    <vt:vector size="17" baseType="lpstr">
      <vt:lpstr>기업정보</vt:lpstr>
      <vt:lpstr>C6-1_출장거리</vt:lpstr>
      <vt:lpstr>배출계수_드롭다운</vt:lpstr>
      <vt:lpstr>드롭다운_매핑검토</vt:lpstr>
      <vt:lpstr>회사별_교통수단매핑</vt:lpstr>
      <vt:lpstr>DD_APPLIED_COMPANY</vt:lpstr>
      <vt:lpstr>DD_ENERGY</vt:lpstr>
      <vt:lpstr>DD_ENERGY_UNIT</vt:lpstr>
      <vt:lpstr>DD_PURCHASE_GROUP</vt:lpstr>
      <vt:lpstr>DD_TRANSPORT_DISTANCE</vt:lpstr>
      <vt:lpstr>DD_TRANSPORT_SPEND</vt:lpstr>
      <vt:lpstr>DD_TRANSPORT_WEIGHT_UNIT</vt:lpstr>
      <vt:lpstr>DD_TRAVEL_DISTANCE</vt:lpstr>
      <vt:lpstr>DD_TRAVEL_SPEND</vt:lpstr>
      <vt:lpstr>DD_WASTE_C5_TYPE</vt:lpstr>
      <vt:lpstr>DD_WASTE_METHOD</vt:lpstr>
      <vt:lpstr>DD_WASTE_UNIT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박세현 선임 컨1DS</cp:lastModifiedBy>
  <dcterms:created xsi:type="dcterms:W3CDTF">2026-06-08T01:44:01Z</dcterms:created>
  <dcterms:modified xsi:type="dcterms:W3CDTF">2026-08-21T02:34:40Z</dcterms:modified>
</cp:coreProperties>
</file>