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56B389A-50CE-4FEA-B025-EB7A612F6EC1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에너지" sheetId="1" r:id="rId1"/>
    <sheet name="에너지_C3" sheetId="20" r:id="rId2"/>
    <sheet name="운송" sheetId="2" r:id="rId3"/>
    <sheet name="출장_통근" sheetId="3" r:id="rId4"/>
    <sheet name="폐기물_C5" sheetId="4" r:id="rId5"/>
    <sheet name="폐기물_C12" sheetId="5" r:id="rId6"/>
    <sheet name="구매_USEPA" sheetId="6" r:id="rId7"/>
    <sheet name="운송_Spend" sheetId="7" r:id="rId8"/>
    <sheet name="출장_Spend" sheetId="8" r:id="rId9"/>
    <sheet name="환율_참조" sheetId="9" r:id="rId10"/>
    <sheet name="전력_국가별" sheetId="10" r:id="rId11"/>
    <sheet name="이동연소" sheetId="11" r:id="rId12"/>
    <sheet name="고정연소_IPCC" sheetId="12" r:id="rId13"/>
    <sheet name="발열량_상세" sheetId="13" r:id="rId14"/>
    <sheet name="GWP" sheetId="14" r:id="rId15"/>
    <sheet name="연료명매핑" sheetId="15" r:id="rId16"/>
    <sheet name="코드_배출활동" sheetId="16" r:id="rId17"/>
    <sheet name="코드_배출시설" sheetId="17" r:id="rId18"/>
    <sheet name="코드_활동자료" sheetId="18" r:id="rId19"/>
    <sheet name="공정배출" sheetId="19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8" l="1"/>
  <c r="I14" i="8"/>
  <c r="H14" i="8"/>
  <c r="J13" i="8"/>
  <c r="I13" i="8"/>
  <c r="H13" i="8"/>
  <c r="J12" i="8"/>
  <c r="I12" i="8"/>
  <c r="H12" i="8"/>
  <c r="J11" i="8"/>
  <c r="I11" i="8"/>
  <c r="H11" i="8"/>
  <c r="J10" i="8"/>
  <c r="I10" i="8"/>
  <c r="H10" i="8"/>
  <c r="J9" i="8"/>
  <c r="I9" i="8"/>
  <c r="H9" i="8"/>
  <c r="J8" i="8"/>
  <c r="I8" i="8"/>
  <c r="H8" i="8"/>
  <c r="J7" i="8"/>
  <c r="I7" i="8"/>
  <c r="H7" i="8"/>
  <c r="J6" i="8"/>
  <c r="I6" i="8"/>
  <c r="H6" i="8"/>
  <c r="J5" i="8"/>
  <c r="I5" i="8"/>
  <c r="H5" i="8"/>
  <c r="J4" i="8"/>
  <c r="I4" i="8"/>
  <c r="H4" i="8"/>
  <c r="J20" i="7"/>
  <c r="I20" i="7"/>
  <c r="H20" i="7"/>
  <c r="J19" i="7"/>
  <c r="I19" i="7"/>
  <c r="H19" i="7"/>
  <c r="J18" i="7"/>
  <c r="I18" i="7"/>
  <c r="H18" i="7"/>
  <c r="J17" i="7"/>
  <c r="I17" i="7"/>
  <c r="H17" i="7"/>
  <c r="J16" i="7"/>
  <c r="I16" i="7"/>
  <c r="H16" i="7"/>
  <c r="J15" i="7"/>
  <c r="I15" i="7"/>
  <c r="H15" i="7"/>
  <c r="J14" i="7"/>
  <c r="I14" i="7"/>
  <c r="H14" i="7"/>
  <c r="J13" i="7"/>
  <c r="I13" i="7"/>
  <c r="H13" i="7"/>
  <c r="J12" i="7"/>
  <c r="I12" i="7"/>
  <c r="H12" i="7"/>
  <c r="J11" i="7"/>
  <c r="I11" i="7"/>
  <c r="H11" i="7"/>
  <c r="J10" i="7"/>
  <c r="I10" i="7"/>
  <c r="H10" i="7"/>
  <c r="J9" i="7"/>
  <c r="I9" i="7"/>
  <c r="H9" i="7"/>
  <c r="J8" i="7"/>
  <c r="I8" i="7"/>
  <c r="H8" i="7"/>
  <c r="J7" i="7"/>
  <c r="I7" i="7"/>
  <c r="H7" i="7"/>
  <c r="J6" i="7"/>
  <c r="I6" i="7"/>
  <c r="H6" i="7"/>
  <c r="J5" i="7"/>
  <c r="I5" i="7"/>
  <c r="H5" i="7"/>
  <c r="J4" i="7"/>
  <c r="I4" i="7"/>
  <c r="H4" i="7"/>
  <c r="K193" i="6"/>
  <c r="J193" i="6"/>
  <c r="I193" i="6"/>
  <c r="K192" i="6"/>
  <c r="J192" i="6"/>
  <c r="I192" i="6"/>
  <c r="K191" i="6"/>
  <c r="J191" i="6"/>
  <c r="I191" i="6"/>
  <c r="K190" i="6"/>
  <c r="J190" i="6"/>
  <c r="I190" i="6"/>
  <c r="K189" i="6"/>
  <c r="J189" i="6"/>
  <c r="I189" i="6"/>
  <c r="K188" i="6"/>
  <c r="J188" i="6"/>
  <c r="I188" i="6"/>
  <c r="K187" i="6"/>
  <c r="J187" i="6"/>
  <c r="I187" i="6"/>
  <c r="K186" i="6"/>
  <c r="J186" i="6"/>
  <c r="I186" i="6"/>
  <c r="K185" i="6"/>
  <c r="J185" i="6"/>
  <c r="I185" i="6"/>
  <c r="K184" i="6"/>
  <c r="J184" i="6"/>
  <c r="I184" i="6"/>
  <c r="K183" i="6"/>
  <c r="J183" i="6"/>
  <c r="I183" i="6"/>
  <c r="K182" i="6"/>
  <c r="J182" i="6"/>
  <c r="I182" i="6"/>
  <c r="K181" i="6"/>
  <c r="J181" i="6"/>
  <c r="I181" i="6"/>
  <c r="K180" i="6"/>
  <c r="J180" i="6"/>
  <c r="I180" i="6"/>
  <c r="K179" i="6"/>
  <c r="J179" i="6"/>
  <c r="I179" i="6"/>
  <c r="K178" i="6"/>
  <c r="J178" i="6"/>
  <c r="I178" i="6"/>
  <c r="K177" i="6"/>
  <c r="J177" i="6"/>
  <c r="I177" i="6"/>
  <c r="K176" i="6"/>
  <c r="J176" i="6"/>
  <c r="I176" i="6"/>
  <c r="K175" i="6"/>
  <c r="J175" i="6"/>
  <c r="I175" i="6"/>
  <c r="K174" i="6"/>
  <c r="J174" i="6"/>
  <c r="I174" i="6"/>
  <c r="K173" i="6"/>
  <c r="J173" i="6"/>
  <c r="I173" i="6"/>
  <c r="K172" i="6"/>
  <c r="J172" i="6"/>
  <c r="I172" i="6"/>
  <c r="K171" i="6"/>
  <c r="J171" i="6"/>
  <c r="I171" i="6"/>
  <c r="K170" i="6"/>
  <c r="J170" i="6"/>
  <c r="I170" i="6"/>
  <c r="K169" i="6"/>
  <c r="J169" i="6"/>
  <c r="I169" i="6"/>
  <c r="K168" i="6"/>
  <c r="J168" i="6"/>
  <c r="I168" i="6"/>
  <c r="K167" i="6"/>
  <c r="J167" i="6"/>
  <c r="I167" i="6"/>
  <c r="K166" i="6"/>
  <c r="J166" i="6"/>
  <c r="I166" i="6"/>
  <c r="K165" i="6"/>
  <c r="J165" i="6"/>
  <c r="I165" i="6"/>
  <c r="K164" i="6"/>
  <c r="J164" i="6"/>
  <c r="I164" i="6"/>
  <c r="K163" i="6"/>
  <c r="J163" i="6"/>
  <c r="I163" i="6"/>
  <c r="K162" i="6"/>
  <c r="J162" i="6"/>
  <c r="I162" i="6"/>
  <c r="K161" i="6"/>
  <c r="J161" i="6"/>
  <c r="I161" i="6"/>
  <c r="K160" i="6"/>
  <c r="J160" i="6"/>
  <c r="I160" i="6"/>
  <c r="K159" i="6"/>
  <c r="J159" i="6"/>
  <c r="I159" i="6"/>
  <c r="K158" i="6"/>
  <c r="J158" i="6"/>
  <c r="I158" i="6"/>
  <c r="K157" i="6"/>
  <c r="J157" i="6"/>
  <c r="I157" i="6"/>
  <c r="K156" i="6"/>
  <c r="J156" i="6"/>
  <c r="I156" i="6"/>
  <c r="K155" i="6"/>
  <c r="J155" i="6"/>
  <c r="I155" i="6"/>
  <c r="K154" i="6"/>
  <c r="J154" i="6"/>
  <c r="I154" i="6"/>
  <c r="K153" i="6"/>
  <c r="J153" i="6"/>
  <c r="I153" i="6"/>
  <c r="K152" i="6"/>
  <c r="J152" i="6"/>
  <c r="I152" i="6"/>
  <c r="K151" i="6"/>
  <c r="J151" i="6"/>
  <c r="I151" i="6"/>
  <c r="K150" i="6"/>
  <c r="J150" i="6"/>
  <c r="I150" i="6"/>
  <c r="K149" i="6"/>
  <c r="J149" i="6"/>
  <c r="I149" i="6"/>
  <c r="K148" i="6"/>
  <c r="J148" i="6"/>
  <c r="I148" i="6"/>
  <c r="K147" i="6"/>
  <c r="J147" i="6"/>
  <c r="I147" i="6"/>
  <c r="K146" i="6"/>
  <c r="J146" i="6"/>
  <c r="I146" i="6"/>
  <c r="K145" i="6"/>
  <c r="J145" i="6"/>
  <c r="I145" i="6"/>
  <c r="K144" i="6"/>
  <c r="J144" i="6"/>
  <c r="I144" i="6"/>
  <c r="K143" i="6"/>
  <c r="J143" i="6"/>
  <c r="I143" i="6"/>
  <c r="K142" i="6"/>
  <c r="J142" i="6"/>
  <c r="I142" i="6"/>
  <c r="K141" i="6"/>
  <c r="J141" i="6"/>
  <c r="I141" i="6"/>
  <c r="K140" i="6"/>
  <c r="J140" i="6"/>
  <c r="I140" i="6"/>
  <c r="K139" i="6"/>
  <c r="J139" i="6"/>
  <c r="I139" i="6"/>
  <c r="K138" i="6"/>
  <c r="J138" i="6"/>
  <c r="I138" i="6"/>
  <c r="K137" i="6"/>
  <c r="J137" i="6"/>
  <c r="I137" i="6"/>
  <c r="K136" i="6"/>
  <c r="J136" i="6"/>
  <c r="I136" i="6"/>
  <c r="K135" i="6"/>
  <c r="J135" i="6"/>
  <c r="I135" i="6"/>
  <c r="K134" i="6"/>
  <c r="J134" i="6"/>
  <c r="I134" i="6"/>
  <c r="K133" i="6"/>
  <c r="J133" i="6"/>
  <c r="I133" i="6"/>
  <c r="K132" i="6"/>
  <c r="J132" i="6"/>
  <c r="I132" i="6"/>
  <c r="K131" i="6"/>
  <c r="J131" i="6"/>
  <c r="I131" i="6"/>
  <c r="K130" i="6"/>
  <c r="J130" i="6"/>
  <c r="I130" i="6"/>
  <c r="K129" i="6"/>
  <c r="J129" i="6"/>
  <c r="I129" i="6"/>
  <c r="K128" i="6"/>
  <c r="J128" i="6"/>
  <c r="I128" i="6"/>
  <c r="K127" i="6"/>
  <c r="J127" i="6"/>
  <c r="I127" i="6"/>
  <c r="K126" i="6"/>
  <c r="J126" i="6"/>
  <c r="I126" i="6"/>
  <c r="K125" i="6"/>
  <c r="J125" i="6"/>
  <c r="I125" i="6"/>
  <c r="K124" i="6"/>
  <c r="J124" i="6"/>
  <c r="I124" i="6"/>
  <c r="K123" i="6"/>
  <c r="J123" i="6"/>
  <c r="I123" i="6"/>
  <c r="K122" i="6"/>
  <c r="J122" i="6"/>
  <c r="I122" i="6"/>
  <c r="K121" i="6"/>
  <c r="J121" i="6"/>
  <c r="I121" i="6"/>
  <c r="K120" i="6"/>
  <c r="J120" i="6"/>
  <c r="I120" i="6"/>
  <c r="K119" i="6"/>
  <c r="J119" i="6"/>
  <c r="I119" i="6"/>
  <c r="K118" i="6"/>
  <c r="J118" i="6"/>
  <c r="I118" i="6"/>
  <c r="K117" i="6"/>
  <c r="J117" i="6"/>
  <c r="I117" i="6"/>
  <c r="K116" i="6"/>
  <c r="J116" i="6"/>
  <c r="I116" i="6"/>
  <c r="K115" i="6"/>
  <c r="J115" i="6"/>
  <c r="I115" i="6"/>
  <c r="K114" i="6"/>
  <c r="J114" i="6"/>
  <c r="I114" i="6"/>
  <c r="K113" i="6"/>
  <c r="J113" i="6"/>
  <c r="I113" i="6"/>
  <c r="K112" i="6"/>
  <c r="J112" i="6"/>
  <c r="I112" i="6"/>
  <c r="K111" i="6"/>
  <c r="J111" i="6"/>
  <c r="I111" i="6"/>
  <c r="K110" i="6"/>
  <c r="J110" i="6"/>
  <c r="I110" i="6"/>
  <c r="K109" i="6"/>
  <c r="J109" i="6"/>
  <c r="I109" i="6"/>
  <c r="K108" i="6"/>
  <c r="J108" i="6"/>
  <c r="I108" i="6"/>
  <c r="K107" i="6"/>
  <c r="J107" i="6"/>
  <c r="I107" i="6"/>
  <c r="K106" i="6"/>
  <c r="J106" i="6"/>
  <c r="I106" i="6"/>
  <c r="K105" i="6"/>
  <c r="J105" i="6"/>
  <c r="I105" i="6"/>
  <c r="K104" i="6"/>
  <c r="J104" i="6"/>
  <c r="I104" i="6"/>
  <c r="K103" i="6"/>
  <c r="J103" i="6"/>
  <c r="I103" i="6"/>
  <c r="K102" i="6"/>
  <c r="J102" i="6"/>
  <c r="I102" i="6"/>
  <c r="K101" i="6"/>
  <c r="J101" i="6"/>
  <c r="I101" i="6"/>
  <c r="K100" i="6"/>
  <c r="J100" i="6"/>
  <c r="I100" i="6"/>
  <c r="K99" i="6"/>
  <c r="J99" i="6"/>
  <c r="I99" i="6"/>
  <c r="K98" i="6"/>
  <c r="J98" i="6"/>
  <c r="I98" i="6"/>
  <c r="K97" i="6"/>
  <c r="J97" i="6"/>
  <c r="I97" i="6"/>
  <c r="K96" i="6"/>
  <c r="J96" i="6"/>
  <c r="I96" i="6"/>
  <c r="K95" i="6"/>
  <c r="J95" i="6"/>
  <c r="I95" i="6"/>
  <c r="K94" i="6"/>
  <c r="J94" i="6"/>
  <c r="I94" i="6"/>
  <c r="K93" i="6"/>
  <c r="J93" i="6"/>
  <c r="I93" i="6"/>
  <c r="K92" i="6"/>
  <c r="J92" i="6"/>
  <c r="I92" i="6"/>
  <c r="K91" i="6"/>
  <c r="J91" i="6"/>
  <c r="I91" i="6"/>
  <c r="K90" i="6"/>
  <c r="J90" i="6"/>
  <c r="I90" i="6"/>
  <c r="K89" i="6"/>
  <c r="J89" i="6"/>
  <c r="I89" i="6"/>
  <c r="K88" i="6"/>
  <c r="J88" i="6"/>
  <c r="I88" i="6"/>
  <c r="K87" i="6"/>
  <c r="J87" i="6"/>
  <c r="I87" i="6"/>
  <c r="K86" i="6"/>
  <c r="J86" i="6"/>
  <c r="I86" i="6"/>
  <c r="K85" i="6"/>
  <c r="J85" i="6"/>
  <c r="I85" i="6"/>
  <c r="K84" i="6"/>
  <c r="J84" i="6"/>
  <c r="I84" i="6"/>
  <c r="K83" i="6"/>
  <c r="J83" i="6"/>
  <c r="I83" i="6"/>
  <c r="K82" i="6"/>
  <c r="J82" i="6"/>
  <c r="I82" i="6"/>
  <c r="K81" i="6"/>
  <c r="J81" i="6"/>
  <c r="I81" i="6"/>
  <c r="K80" i="6"/>
  <c r="J80" i="6"/>
  <c r="I80" i="6"/>
  <c r="K79" i="6"/>
  <c r="J79" i="6"/>
  <c r="I79" i="6"/>
  <c r="K78" i="6"/>
  <c r="J78" i="6"/>
  <c r="I78" i="6"/>
  <c r="K77" i="6"/>
  <c r="J77" i="6"/>
  <c r="I77" i="6"/>
  <c r="K76" i="6"/>
  <c r="J76" i="6"/>
  <c r="I76" i="6"/>
  <c r="K75" i="6"/>
  <c r="J75" i="6"/>
  <c r="I75" i="6"/>
  <c r="K74" i="6"/>
  <c r="J74" i="6"/>
  <c r="I74" i="6"/>
  <c r="K73" i="6"/>
  <c r="J73" i="6"/>
  <c r="I73" i="6"/>
  <c r="K72" i="6"/>
  <c r="J72" i="6"/>
  <c r="I72" i="6"/>
  <c r="K71" i="6"/>
  <c r="J71" i="6"/>
  <c r="I71" i="6"/>
  <c r="K70" i="6"/>
  <c r="J70" i="6"/>
  <c r="I70" i="6"/>
  <c r="K69" i="6"/>
  <c r="J69" i="6"/>
  <c r="I69" i="6"/>
  <c r="K68" i="6"/>
  <c r="J68" i="6"/>
  <c r="I68" i="6"/>
  <c r="K67" i="6"/>
  <c r="J67" i="6"/>
  <c r="I67" i="6"/>
  <c r="K66" i="6"/>
  <c r="J66" i="6"/>
  <c r="I66" i="6"/>
  <c r="K65" i="6"/>
  <c r="J65" i="6"/>
  <c r="I65" i="6"/>
  <c r="K64" i="6"/>
  <c r="J64" i="6"/>
  <c r="I64" i="6"/>
  <c r="K63" i="6"/>
  <c r="J63" i="6"/>
  <c r="I63" i="6"/>
  <c r="K62" i="6"/>
  <c r="J62" i="6"/>
  <c r="I62" i="6"/>
  <c r="K61" i="6"/>
  <c r="J61" i="6"/>
  <c r="I61" i="6"/>
  <c r="K60" i="6"/>
  <c r="J60" i="6"/>
  <c r="I60" i="6"/>
  <c r="K59" i="6"/>
  <c r="J59" i="6"/>
  <c r="I59" i="6"/>
  <c r="K58" i="6"/>
  <c r="J58" i="6"/>
  <c r="I58" i="6"/>
  <c r="K57" i="6"/>
  <c r="J57" i="6"/>
  <c r="I57" i="6"/>
  <c r="K56" i="6"/>
  <c r="J56" i="6"/>
  <c r="I56" i="6"/>
  <c r="K55" i="6"/>
  <c r="J55" i="6"/>
  <c r="I55" i="6"/>
  <c r="K54" i="6"/>
  <c r="J54" i="6"/>
  <c r="I54" i="6"/>
  <c r="K53" i="6"/>
  <c r="J53" i="6"/>
  <c r="I53" i="6"/>
  <c r="K52" i="6"/>
  <c r="J52" i="6"/>
  <c r="I52" i="6"/>
  <c r="K51" i="6"/>
  <c r="J51" i="6"/>
  <c r="I51" i="6"/>
  <c r="K50" i="6"/>
  <c r="J50" i="6"/>
  <c r="I50" i="6"/>
  <c r="K49" i="6"/>
  <c r="J49" i="6"/>
  <c r="I49" i="6"/>
  <c r="K48" i="6"/>
  <c r="J48" i="6"/>
  <c r="I48" i="6"/>
  <c r="K47" i="6"/>
  <c r="J47" i="6"/>
  <c r="I47" i="6"/>
  <c r="K46" i="6"/>
  <c r="J46" i="6"/>
  <c r="I46" i="6"/>
  <c r="K45" i="6"/>
  <c r="J45" i="6"/>
  <c r="I45" i="6"/>
  <c r="K44" i="6"/>
  <c r="J44" i="6"/>
  <c r="I44" i="6"/>
  <c r="K43" i="6"/>
  <c r="J43" i="6"/>
  <c r="I43" i="6"/>
  <c r="K42" i="6"/>
  <c r="J42" i="6"/>
  <c r="I42" i="6"/>
  <c r="K41" i="6"/>
  <c r="J41" i="6"/>
  <c r="I41" i="6"/>
  <c r="K40" i="6"/>
  <c r="J40" i="6"/>
  <c r="I40" i="6"/>
  <c r="K39" i="6"/>
  <c r="J39" i="6"/>
  <c r="I39" i="6"/>
  <c r="K38" i="6"/>
  <c r="J38" i="6"/>
  <c r="I38" i="6"/>
  <c r="K37" i="6"/>
  <c r="J37" i="6"/>
  <c r="I37" i="6"/>
  <c r="K36" i="6"/>
  <c r="J36" i="6"/>
  <c r="I36" i="6"/>
  <c r="K35" i="6"/>
  <c r="J35" i="6"/>
  <c r="I35" i="6"/>
  <c r="K34" i="6"/>
  <c r="J34" i="6"/>
  <c r="I34" i="6"/>
  <c r="K33" i="6"/>
  <c r="J33" i="6"/>
  <c r="I33" i="6"/>
  <c r="K32" i="6"/>
  <c r="J32" i="6"/>
  <c r="I32" i="6"/>
  <c r="K31" i="6"/>
  <c r="J31" i="6"/>
  <c r="I31" i="6"/>
  <c r="K30" i="6"/>
  <c r="J30" i="6"/>
  <c r="I30" i="6"/>
  <c r="K29" i="6"/>
  <c r="J29" i="6"/>
  <c r="I29" i="6"/>
  <c r="K28" i="6"/>
  <c r="J28" i="6"/>
  <c r="I28" i="6"/>
  <c r="K27" i="6"/>
  <c r="J27" i="6"/>
  <c r="I27" i="6"/>
  <c r="K26" i="6"/>
  <c r="J26" i="6"/>
  <c r="I26" i="6"/>
  <c r="K25" i="6"/>
  <c r="J25" i="6"/>
  <c r="I25" i="6"/>
  <c r="K24" i="6"/>
  <c r="J24" i="6"/>
  <c r="I24" i="6"/>
  <c r="K23" i="6"/>
  <c r="J23" i="6"/>
  <c r="I23" i="6"/>
  <c r="K22" i="6"/>
  <c r="J22" i="6"/>
  <c r="I22" i="6"/>
  <c r="K21" i="6"/>
  <c r="J21" i="6"/>
  <c r="I21" i="6"/>
  <c r="K20" i="6"/>
  <c r="J20" i="6"/>
  <c r="I20" i="6"/>
  <c r="K19" i="6"/>
  <c r="J19" i="6"/>
  <c r="I19" i="6"/>
  <c r="K18" i="6"/>
  <c r="J18" i="6"/>
  <c r="I18" i="6"/>
  <c r="K17" i="6"/>
  <c r="J17" i="6"/>
  <c r="I17" i="6"/>
  <c r="K16" i="6"/>
  <c r="J16" i="6"/>
  <c r="I16" i="6"/>
  <c r="K15" i="6"/>
  <c r="J15" i="6"/>
  <c r="I15" i="6"/>
  <c r="K14" i="6"/>
  <c r="J14" i="6"/>
  <c r="I14" i="6"/>
  <c r="K13" i="6"/>
  <c r="J13" i="6"/>
  <c r="I13" i="6"/>
  <c r="K12" i="6"/>
  <c r="J12" i="6"/>
  <c r="I12" i="6"/>
  <c r="K11" i="6"/>
  <c r="J11" i="6"/>
  <c r="I11" i="6"/>
  <c r="K10" i="6"/>
  <c r="J10" i="6"/>
  <c r="I10" i="6"/>
  <c r="K9" i="6"/>
  <c r="J9" i="6"/>
  <c r="I9" i="6"/>
  <c r="K8" i="6"/>
  <c r="J8" i="6"/>
  <c r="I8" i="6"/>
  <c r="K7" i="6"/>
  <c r="J7" i="6"/>
  <c r="I7" i="6"/>
  <c r="K6" i="6"/>
  <c r="J6" i="6"/>
  <c r="I6" i="6"/>
  <c r="K5" i="6"/>
  <c r="J5" i="6"/>
  <c r="I5" i="6"/>
  <c r="K4" i="6"/>
  <c r="J4" i="6"/>
  <c r="I4" i="6"/>
</calcChain>
</file>

<file path=xl/sharedStrings.xml><?xml version="1.0" encoding="utf-8"?>
<sst xmlns="http://schemas.openxmlformats.org/spreadsheetml/2006/main" count="4732" uniqueCount="2939">
  <si>
    <t>C1/C2 구매 배출계수 매핑 DB  |  US EPA Supply Chain GHG Emission Factors v1.3 (NAICS 기반)  |  한국 기업 구매 품목 → NAICS 매핑</t>
  </si>
  <si>
    <t>← 템플릿 입력값</t>
  </si>
  <si>
    <t>← NAICS 매핑</t>
  </si>
  <si>
    <t>← 참고</t>
  </si>
  <si>
    <t>품목군
(C1/C2 템플릿)</t>
  </si>
  <si>
    <t>상세 카테고리
(세부 품목 유형)</t>
  </si>
  <si>
    <t>한국어 매핑 키워드</t>
  </si>
  <si>
    <t>NAICS 코드
(2017)</t>
  </si>
  <si>
    <t>NAICS Title
(US EPA 원본)</t>
  </si>
  <si>
    <t>EF
(kgCO2eq/USD)</t>
  </si>
  <si>
    <t>EF 단위
설명</t>
  </si>
  <si>
    <t>비고</t>
  </si>
  <si>
    <t>EF (kgCO2e/KRW)
2023년말 기준
(2023-12-29
1,264.50 KRW/USD)</t>
  </si>
  <si>
    <t>EF (kgCO2e/KRW)
2024년말 기준
(2024-12-30
1,472.50 KRW/USD)</t>
  </si>
  <si>
    <t>EF (kgCO2e/KRW)
2025년말 기준
(2025-12-31
1,439.00 KRW/USD)</t>
  </si>
  <si>
    <t>원재료/부자재</t>
  </si>
  <si>
    <t>철강·금속 원재료</t>
  </si>
  <si>
    <t>철강,철판,열연강판,냉연강판,스테인리스,스틸,steel,철근,형강,파이프,튜브</t>
  </si>
  <si>
    <t>331110</t>
  </si>
  <si>
    <t>Iron and Steel Mills and Ferroalloy Manufacturing</t>
  </si>
  <si>
    <t>kgCO2eq/USD</t>
  </si>
  <si>
    <t>US EPA Supply Chain GHG EF v1.3(USD2022) · with margins</t>
  </si>
  <si>
    <t>알루미늄·비철금속</t>
  </si>
  <si>
    <t>알루미늄,알루미늄합금,동,구리,아연,납,니켈,비철금속,aluminum,copper</t>
  </si>
  <si>
    <t>331315</t>
  </si>
  <si>
    <t>Aluminum Sheet, Plate, and Foil Manufacturing</t>
  </si>
  <si>
    <t>합성수지·플라스틱 원료</t>
  </si>
  <si>
    <t>수지,레진,PE,PP,PET,PS,ABS,PVC,나일론,폴리머,플라스틱원료,resin,polymer</t>
  </si>
  <si>
    <t>325211</t>
  </si>
  <si>
    <t>Plastics Material and Resin Manufacturing</t>
  </si>
  <si>
    <t>고무 원료</t>
  </si>
  <si>
    <t>고무,합성고무,천연고무,NBR,EPDM,rubber</t>
  </si>
  <si>
    <t>325212</t>
  </si>
  <si>
    <t>Synthetic Rubber Manufacturing</t>
  </si>
  <si>
    <t>섬유·직물 원단</t>
  </si>
  <si>
    <t>원단,직물,면,폴리에스터,나일론원단,섬유원료,fiber,fabric,textile</t>
  </si>
  <si>
    <t>313210</t>
  </si>
  <si>
    <t>Broadwoven Fabric Mills</t>
  </si>
  <si>
    <t>화학원료·시약</t>
  </si>
  <si>
    <t>화학원료,시약,용제,솔벤트,아세톤,에탄올,IPA,화학물질,chemical</t>
  </si>
  <si>
    <t>325180</t>
  </si>
  <si>
    <t>Other Basic Inorganic Chemical Manufacturing</t>
  </si>
  <si>
    <t>유리·세라믹 원료</t>
  </si>
  <si>
    <t>유리원료,세라믹,내화재,glass,ceramic</t>
  </si>
  <si>
    <t>327211</t>
  </si>
  <si>
    <t>Flat Glass Manufacturing</t>
  </si>
  <si>
    <t>목재·합판 원자재</t>
  </si>
  <si>
    <t>목재원자재,원목,합판,MDF,OSB,lumber,plywood</t>
  </si>
  <si>
    <t>321113</t>
  </si>
  <si>
    <t>Sawmills</t>
  </si>
  <si>
    <t>종이·펄프 원료</t>
  </si>
  <si>
    <t>펄프,종이원료,pulp,paper material</t>
  </si>
  <si>
    <t>322110</t>
  </si>
  <si>
    <t>Pulp Mills</t>
  </si>
  <si>
    <t>도료·코팅 원료</t>
  </si>
  <si>
    <t>도료,페인트원료,코팅재,안료,pigment,coating material</t>
  </si>
  <si>
    <t>325510</t>
  </si>
  <si>
    <t>Paint and Coating Manufacturing</t>
  </si>
  <si>
    <t>자동차 전장부품·모듈(완제품)</t>
  </si>
  <si>
    <t>전장모듈,전자제어모듈,전장부품모듈,전장 컨트롤모듈,ECU</t>
  </si>
  <si>
    <t>Motor Vehicle Electrical and Electronic Equipment Manufacturing</t>
  </si>
  <si>
    <t>석유화학 원료(나프타·모노머)</t>
  </si>
  <si>
    <t>석유화학,나프타,에틸렌,프로필렌,모노머,petrochemical</t>
  </si>
  <si>
    <t>325110</t>
  </si>
  <si>
    <t>Petrochemical Manufacturing</t>
  </si>
  <si>
    <t>산업용 가스</t>
  </si>
  <si>
    <t>산업가스,질소,산소,아르곤,이산화탄소,수소가스,industrial gas</t>
  </si>
  <si>
    <t>325120</t>
  </si>
  <si>
    <t>Industrial Gas Manufacturing</t>
  </si>
  <si>
    <t>염료·안료</t>
  </si>
  <si>
    <t>염료,안료,dye,pigment</t>
  </si>
  <si>
    <t>325130</t>
  </si>
  <si>
    <t>Synthetic Dye and Pigment Manufacturing</t>
  </si>
  <si>
    <t>비료·농약 원료</t>
  </si>
  <si>
    <t>비료,농약,살충제,제초제,fertilizer,pesticide</t>
  </si>
  <si>
    <t>325320</t>
  </si>
  <si>
    <t>Pesticide and Other Agricultural Chemical Manufacturing</t>
  </si>
  <si>
    <t>화장품·향장 원료</t>
  </si>
  <si>
    <t>화장품원료,향료,계면활성제,toiletry,cosmetic ingredient</t>
  </si>
  <si>
    <t>325620</t>
  </si>
  <si>
    <t>Toilet Preparation Manufacturing</t>
  </si>
  <si>
    <t>인쇄잉크</t>
  </si>
  <si>
    <t>인쇄잉크,잉크원료,printing ink</t>
  </si>
  <si>
    <t>325910</t>
  </si>
  <si>
    <t>Printing Ink Manufacturing</t>
  </si>
  <si>
    <t>고무 호스·벨트</t>
  </si>
  <si>
    <t>호스,벨트,컨베이어벨트,고무호스,rubber hose,belting</t>
  </si>
  <si>
    <t>326220</t>
  </si>
  <si>
    <t>Rubber and Plastics Hoses and Belting Manufacturing</t>
  </si>
  <si>
    <t>비철금속 제련·1차가공</t>
  </si>
  <si>
    <t>알루미늄괴,비철금속괴,제련,전기동,primary aluminum,smelting</t>
  </si>
  <si>
    <t>331313</t>
  </si>
  <si>
    <t>Alumina Refining and Primary Aluminum Production</t>
  </si>
  <si>
    <t>금속 주조품(주물)</t>
  </si>
  <si>
    <t>주물,주조품,캐스팅,foundry,casting</t>
  </si>
  <si>
    <t>331511</t>
  </si>
  <si>
    <t>Iron Foundries</t>
  </si>
  <si>
    <t>금속 단조·프레스 가공품</t>
  </si>
  <si>
    <t>단조,프레스가공,포징,forging,stamping</t>
  </si>
  <si>
    <t>332111</t>
  </si>
  <si>
    <t>Iron and Steel Forging</t>
  </si>
  <si>
    <t>체결구(볼트·너트·나사)</t>
  </si>
  <si>
    <t>볼트,너트,나사,와셔,리벳,bolt,nut,screw,rivet</t>
  </si>
  <si>
    <t>332722</t>
  </si>
  <si>
    <t>Bolt, Nut, Screw, Rivet, and Washer Manufacturing</t>
  </si>
  <si>
    <t>산업용 밸브·피팅</t>
  </si>
  <si>
    <t>밸브,피팅,산업용밸브,industrial valve,fitting</t>
  </si>
  <si>
    <t>332911</t>
  </si>
  <si>
    <t>Industrial Valve Manufacturing</t>
  </si>
  <si>
    <t>베어링</t>
  </si>
  <si>
    <t>베어링,볼베어링,롤러베어링,bearing</t>
  </si>
  <si>
    <t>332991</t>
  </si>
  <si>
    <t>Ball and Roller Bearing Manufacturing</t>
  </si>
  <si>
    <t>스프링·와이어 성형품</t>
  </si>
  <si>
    <t>스프링,와이어,코일스프링,spring,wire form</t>
  </si>
  <si>
    <t>332613</t>
  </si>
  <si>
    <t>Spring Manufacturing</t>
  </si>
  <si>
    <t>판금·구조용 금속가공품</t>
  </si>
  <si>
    <t>판금,구조용철골,철골가공,sheet metal,structural metal</t>
  </si>
  <si>
    <t>332312</t>
  </si>
  <si>
    <t>Fabricated Structural Metal Manufacturing</t>
  </si>
  <si>
    <t>표면처리·도금·열처리</t>
  </si>
  <si>
    <t>도금,표면처리,열처리,아노다이징,electroplating,anodizing,heat treating</t>
  </si>
  <si>
    <t>332813</t>
  </si>
  <si>
    <t>Electroplating, Plating, Polishing, Anodizing, and Coloring</t>
  </si>
  <si>
    <t>정밀부품가공(CNC 등)</t>
  </si>
  <si>
    <t>정밀가공,선삭,CNC가공,precision machining</t>
  </si>
  <si>
    <t>332721</t>
  </si>
  <si>
    <t>Precision Turned Product Manufacturing</t>
  </si>
  <si>
    <t>산업용 유리제품</t>
  </si>
  <si>
    <t>산업유리,강화유리,공업용유리,industrial glass</t>
  </si>
  <si>
    <t>327212</t>
  </si>
  <si>
    <t>Other Pressed and Blown Glass and Glassware Manufacturing</t>
  </si>
  <si>
    <t>세라믹·내화물</t>
  </si>
  <si>
    <t>세라믹,내화물,내화벽돌,refractory,ceramic</t>
  </si>
  <si>
    <t>327110</t>
  </si>
  <si>
    <t>Pottery, Ceramics, and Plumbing Fixture Manufacturing</t>
  </si>
  <si>
    <t>연마재·연마공구</t>
  </si>
  <si>
    <t>연마재,사포,연마석,그라인딩휠,abrasive,grinding wheel</t>
  </si>
  <si>
    <t>327910</t>
  </si>
  <si>
    <t>Abrasive Product Manufacturing</t>
  </si>
  <si>
    <t>목재 가공재(합판·집성재)</t>
  </si>
  <si>
    <t>합판,집성재,MDF,베니어,engineered wood,veneer,plywood</t>
  </si>
  <si>
    <t>321211</t>
  </si>
  <si>
    <t>Hardwood Veneer and Plywood Manufacturing</t>
  </si>
  <si>
    <t>산업용 필름·시트</t>
  </si>
  <si>
    <t>필름,시트,플라스틱시트,industrial film,plastic sheet</t>
  </si>
  <si>
    <t>326113</t>
  </si>
  <si>
    <t>Unlaminated Plastics Film and Sheet (except Packaging) Manufacturing</t>
  </si>
  <si>
    <t>플라스틱 파이프·배관재</t>
  </si>
  <si>
    <t>플라스틱파이프,PVC관,배관재,plastic pipe</t>
  </si>
  <si>
    <t>326122</t>
  </si>
  <si>
    <t>Plastics Pipe and Pipe Fitting Manufacturing</t>
  </si>
  <si>
    <t>발포·우레탄폼 소재</t>
  </si>
  <si>
    <t>우레탄폼,발포소재,폼,urethane foam</t>
  </si>
  <si>
    <t>326150</t>
  </si>
  <si>
    <t>Urethane and Other Foam Product (except Polystyrene) Manufacturing</t>
  </si>
  <si>
    <t>합성섬유·필라멘트 원사</t>
  </si>
  <si>
    <t>합성섬유,필라멘트,폴리에스터원사,synthetic fiber,filament</t>
  </si>
  <si>
    <t>325220</t>
  </si>
  <si>
    <t>Artificial and Synthetic Fibers and Filaments Manufacturing</t>
  </si>
  <si>
    <t>방적사·원사</t>
  </si>
  <si>
    <t>방적사,면사,모사,원사,yarn,thread</t>
  </si>
  <si>
    <t>313110</t>
  </si>
  <si>
    <t>Fiber, Yarn, and Thread Mills</t>
  </si>
  <si>
    <t>부직포</t>
  </si>
  <si>
    <t>부직포,nonwoven fabric</t>
  </si>
  <si>
    <t>313230</t>
  </si>
  <si>
    <t>Nonwoven Fabric Mills</t>
  </si>
  <si>
    <t>원피·가죽 원자재</t>
  </si>
  <si>
    <t>원피,가죽원단,피혁,leather,hide</t>
  </si>
  <si>
    <t>316110</t>
  </si>
  <si>
    <t>Leather and Hide Tanning and Finishing</t>
  </si>
  <si>
    <t>식품·음료 원재료</t>
  </si>
  <si>
    <t>곡물 제분·전분</t>
  </si>
  <si>
    <t>밀가루,전분,제분,곡물가루,flour,starch</t>
  </si>
  <si>
    <t>311211</t>
  </si>
  <si>
    <t>Flour Milling</t>
  </si>
  <si>
    <t>식용유지</t>
  </si>
  <si>
    <t>식용유,팜유,대두유,edible oil</t>
  </si>
  <si>
    <t>311225</t>
  </si>
  <si>
    <t>Fats and Oils Refining and Blending</t>
  </si>
  <si>
    <t>설탕·당류</t>
  </si>
  <si>
    <t>설탕,당류,원당,sugar</t>
  </si>
  <si>
    <t>311313</t>
  </si>
  <si>
    <t>Beet Sugar Manufacturing</t>
  </si>
  <si>
    <t>육가공 원료</t>
  </si>
  <si>
    <t>육가공,정육,축산물가공,meat processing</t>
  </si>
  <si>
    <t>311612</t>
  </si>
  <si>
    <t>Meat Processed from Carcasses</t>
  </si>
  <si>
    <t>수산물 가공 원료</t>
  </si>
  <si>
    <t>수산물가공,어묵,냉동수산물,seafood processing</t>
  </si>
  <si>
    <t>311710</t>
  </si>
  <si>
    <t>Seafood Product Preparation and Packaging</t>
  </si>
  <si>
    <t>유제품 원료</t>
  </si>
  <si>
    <t>우유,유제품,분유,dairy</t>
  </si>
  <si>
    <t>311511</t>
  </si>
  <si>
    <t>Fluid Milk Manufacturing</t>
  </si>
  <si>
    <t>제과·베이커리 원부재료</t>
  </si>
  <si>
    <t>제과,제빵,베이커리원료,bakery ingredient</t>
  </si>
  <si>
    <t>311812</t>
  </si>
  <si>
    <t>Commercial Bakeries</t>
  </si>
  <si>
    <t>조미료·소스·향신료</t>
  </si>
  <si>
    <t>조미료,소스,향신료,드레싱,seasoning,sauce,spice</t>
  </si>
  <si>
    <t>311941</t>
  </si>
  <si>
    <t>Mayonnaise, Dressing, and Other Prepared Sauce Manufacturing</t>
  </si>
  <si>
    <t>냉동·통조림 식품원료</t>
  </si>
  <si>
    <t>냉동식품,통조림,과채가공,canned food,frozen food</t>
  </si>
  <si>
    <t>311421</t>
  </si>
  <si>
    <t>Fruit and Vegetable Canning</t>
  </si>
  <si>
    <t>주류(맥주·와인·증류주)</t>
  </si>
  <si>
    <t>맥주,와인,증류주,양조,beer,wine,distillery</t>
  </si>
  <si>
    <t>312120</t>
  </si>
  <si>
    <t>Breweries</t>
  </si>
  <si>
    <t>포장재</t>
  </si>
  <si>
    <t>종이·골판지 포장재</t>
  </si>
  <si>
    <t>포장박스,골판지박스,종이포장,carton,corrugated box,골판지,박스</t>
  </si>
  <si>
    <t>322211</t>
  </si>
  <si>
    <t>Corrugated and Solid Fiber Box Manufacturing</t>
  </si>
  <si>
    <t>비닐·플라스틱 포장재</t>
  </si>
  <si>
    <t>비닐백,PE백,PP백,OPP,LLDPE,포장비닐,shrink film,wrap,필름</t>
  </si>
  <si>
    <t>326112</t>
  </si>
  <si>
    <t>Plastics Packaging Film and Sheet Manufacturing</t>
  </si>
  <si>
    <t>완충재·에어캡</t>
  </si>
  <si>
    <t>에어캡,버블랩,스티로폼,EPS완충재,폴리폼,bubble wrap,foam</t>
  </si>
  <si>
    <t>326140</t>
  </si>
  <si>
    <t>Polystyrene Foam Product Manufacturing</t>
  </si>
  <si>
    <t>금속 포장재·캔</t>
  </si>
  <si>
    <t>금속캔,알루미늄캔,틴캔,metal can,steel can</t>
  </si>
  <si>
    <t>332431</t>
  </si>
  <si>
    <t>Metal Can Manufacturing</t>
  </si>
  <si>
    <t>유리 포장재·병</t>
  </si>
  <si>
    <t>유리병,유리용기,glass bottle,glass container</t>
  </si>
  <si>
    <t>327213</t>
  </si>
  <si>
    <t>Glass Container Manufacturing</t>
  </si>
  <si>
    <t>테이프·접착제</t>
  </si>
  <si>
    <t>테이프,OPP테이프,박스테이프,접착제,adhesive,tape</t>
  </si>
  <si>
    <t>325520</t>
  </si>
  <si>
    <t>Adhesive Manufacturing</t>
  </si>
  <si>
    <t>라벨·스티커</t>
  </si>
  <si>
    <t>라벨,스티커,바코드라벨,label,sticker</t>
  </si>
  <si>
    <t>323111</t>
  </si>
  <si>
    <t>Commercial Printing (except Screen and Books)</t>
  </si>
  <si>
    <t>사무용품</t>
  </si>
  <si>
    <t>종이류 (A4·복사지)</t>
  </si>
  <si>
    <t>A4용지,복사지,복사용지,인쇄용지,프린터용지,a4,a3,B5,paper</t>
  </si>
  <si>
    <t>424110</t>
  </si>
  <si>
    <t>Printing and Writing Paper Merchant Wholesalers</t>
  </si>
  <si>
    <t>토너·잉크 카트리지</t>
  </si>
  <si>
    <t>토너,잉크,잉크카트리지,토너카트리지,드럼,toner,ink cartridge</t>
  </si>
  <si>
    <t>423420</t>
  </si>
  <si>
    <t>Office Equipment Merchant Wholesalers</t>
  </si>
  <si>
    <t>문구·일반 사무소모품</t>
  </si>
  <si>
    <t>문구,스테플러,볼펜,연필,노트,클립,가위,자,칼,형광펜,마커,포스트잇,서류봉투,파일,바인더,고무인,도장,명찰</t>
  </si>
  <si>
    <t>453210</t>
  </si>
  <si>
    <t>Office Supplies and Stationery Stores</t>
  </si>
  <si>
    <t>위생·청소용품</t>
  </si>
  <si>
    <t>화장지,휴지,물티슈,비누,손세정제,청소포,세제,락스,일회용장갑,마스크,청소용품,tissue,soap</t>
  </si>
  <si>
    <t>322291</t>
  </si>
  <si>
    <t>Sanitary Paper Product Manufacturing</t>
  </si>
  <si>
    <t>종이컵·일회용품</t>
  </si>
  <si>
    <t>종이컵,종이접시,일회용컵,포크,나이프,스푼,paper cup,disposable</t>
  </si>
  <si>
    <t>322212</t>
  </si>
  <si>
    <t>Folding Paperboard Box Manufacturing</t>
  </si>
  <si>
    <t>탕비·식음료</t>
  </si>
  <si>
    <t>커피·원두·캡슐</t>
  </si>
  <si>
    <t>커피,원두,캡슐커피,드립백,인스턴트커피,coffee bean,capsule</t>
  </si>
  <si>
    <t>311920</t>
  </si>
  <si>
    <t>Coffee and Tea Manufacturing</t>
  </si>
  <si>
    <t>음료·주스·탄산</t>
  </si>
  <si>
    <t>음료,주스,탄산음료,에너지음료,이온음료,beverage,juice,soda</t>
  </si>
  <si>
    <t>312111</t>
  </si>
  <si>
    <t>Soft Drink Manufacturing</t>
  </si>
  <si>
    <t>생수·정수</t>
  </si>
  <si>
    <t>생수,미네랄워터,정수기,물,water,mineral water</t>
  </si>
  <si>
    <t>312112</t>
  </si>
  <si>
    <t>Bottled Water Manufacturing</t>
  </si>
  <si>
    <t>식품·간식·다과</t>
  </si>
  <si>
    <t>과자,간식,다과,쿠키,빵,케이크,초콜릿,캔디,snack,food</t>
  </si>
  <si>
    <t>424410</t>
  </si>
  <si>
    <t>General Line Grocery Merchant Wholesalers</t>
  </si>
  <si>
    <t>차·티백</t>
  </si>
  <si>
    <t>녹차,홍차,허브티,티백,tea</t>
  </si>
  <si>
    <t>IT장비</t>
  </si>
  <si>
    <t>노트북·데스크탑 컴퓨터</t>
  </si>
  <si>
    <t>노트북,랩탑,데스크탑,컴퓨터,PC,맥북,laptop,desktop,computer</t>
  </si>
  <si>
    <t>334111</t>
  </si>
  <si>
    <t>Electronic Computer Manufacturing</t>
  </si>
  <si>
    <t>모니터·디스플레이</t>
  </si>
  <si>
    <t>모니터,디스플레이,LCD,OLED,모니터arm,monitor,display</t>
  </si>
  <si>
    <t>334310</t>
  </si>
  <si>
    <t>Audio and Video Equipment Manufacturing</t>
  </si>
  <si>
    <t>태블릿·스마트폰</t>
  </si>
  <si>
    <t>태블릿,아이패드,갤럭시탭,스마트폰,핸드폰,폰,tablet,smartphone,phone</t>
  </si>
  <si>
    <t>334220</t>
  </si>
  <si>
    <t>Radio and Television Broadcasting and Wireless Communications Equipment Manufacturing</t>
  </si>
  <si>
    <t>프린터·복합기·스캐너</t>
  </si>
  <si>
    <t>프린터,복합기,스캐너,레이저프린터,잉크젯,printer,scanner,copier</t>
  </si>
  <si>
    <t>333244</t>
  </si>
  <si>
    <t>Printing Machinery, Equipment, and Supplies Manufacturing</t>
  </si>
  <si>
    <t>서버·네트워크 장비</t>
  </si>
  <si>
    <t>서버,NAS,스위치,라우터,방화벽,UPS,네트워크장비,server,router,switch,network</t>
  </si>
  <si>
    <t>IT 주변기기·악세서리</t>
  </si>
  <si>
    <t>키보드,마우스,웹캠,헤드셋,스피커,USB허브,충전기,케이블,peripheral,keyboard,mouse</t>
  </si>
  <si>
    <t>소프트웨어·라이선스</t>
  </si>
  <si>
    <t>소프트웨어,SW,라이선스,license,ERP,오피스,MS,Adobe,AutoCAD,software</t>
  </si>
  <si>
    <t>511210</t>
  </si>
  <si>
    <t>Software Publishers</t>
  </si>
  <si>
    <t>SaaS·클라우드 서비스</t>
  </si>
  <si>
    <t>클라우드,AWS,Azure,GCP,SaaS,구독,subscription,cloud</t>
  </si>
  <si>
    <t>518210</t>
  </si>
  <si>
    <t>Data Processing, Hosting, and Related Services</t>
  </si>
  <si>
    <t>전자부품·소자</t>
  </si>
  <si>
    <t>인쇄회로기판(PCB)</t>
  </si>
  <si>
    <t>인쇄회로기판,PCB,베어기판</t>
  </si>
  <si>
    <t>Bare Printed Circuit Board Manufacturing</t>
  </si>
  <si>
    <t>반도체·소자</t>
  </si>
  <si>
    <t>반도체,반도체소자,집적회로,다이오드,트랜지스터</t>
  </si>
  <si>
    <t>Semiconductor and Related Device Manufacturing</t>
  </si>
  <si>
    <t>수동소자(콘덴서·저항·코일)</t>
  </si>
  <si>
    <t>콘덴서,저항기,인덕터,수동소자,코일부품</t>
  </si>
  <si>
    <t>Capacitor, Resistor, Coil, Transformer, and Other Inductor Manufacturing</t>
  </si>
  <si>
    <t>전자 커넥터·단자</t>
  </si>
  <si>
    <t>전자커넥터,커넥터하우징,단자대</t>
  </si>
  <si>
    <t>Electronic Connector Manufacturing</t>
  </si>
  <si>
    <t>PCB 조립품(PCBA)</t>
  </si>
  <si>
    <t>PCBA,기판조립,PCB조립</t>
  </si>
  <si>
    <t>Printed Circuit Assembly (Electronic Assembly) Manufacturing</t>
  </si>
  <si>
    <t>변압기</t>
  </si>
  <si>
    <t>변압기,트랜스포머,파워트랜스</t>
  </si>
  <si>
    <t>Power, Distribution, and Specialty Transformer Manufacturing</t>
  </si>
  <si>
    <t>전동기·발전기</t>
  </si>
  <si>
    <t>전동기,모터코어,스테이터,로터,발전기부품</t>
  </si>
  <si>
    <t>Motor and Generator Manufacturing</t>
  </si>
  <si>
    <t>릴레이·산업제어</t>
  </si>
  <si>
    <t>릴레이,산업제어,콘택터</t>
  </si>
  <si>
    <t>Relay and Industrial Control Manufacturing</t>
  </si>
  <si>
    <t>축전지·배터리</t>
  </si>
  <si>
    <t>축전지,배터리,이차전지,배터리셀</t>
  </si>
  <si>
    <t>Storage Battery Manufacturing</t>
  </si>
  <si>
    <t>배선기구(단자·소켓·스위치)</t>
  </si>
  <si>
    <t>배선기구,소켓,스위치부품,단자블록</t>
  </si>
  <si>
    <t>Current-Carrying Wiring Device Manufacturing</t>
  </si>
  <si>
    <t>저장장치(HDD/SSD)</t>
  </si>
  <si>
    <t>하드디스크,SSD,저장장치,storage device</t>
  </si>
  <si>
    <t>334112</t>
  </si>
  <si>
    <t>Computer Storage Device Manufacturing</t>
  </si>
  <si>
    <t>통신단말장비</t>
  </si>
  <si>
    <t>전화기,유선단말,telephone apparatus</t>
  </si>
  <si>
    <t>334210</t>
  </si>
  <si>
    <t>Telephone Apparatus Manufacturing</t>
  </si>
  <si>
    <t>계측·제어기기</t>
  </si>
  <si>
    <t>계측기,제어기기,산업계측,measuring device,control instrument</t>
  </si>
  <si>
    <t>334513</t>
  </si>
  <si>
    <t>Instruments and Related Products Manufacturing for Measuring, Displaying, and Controlling Industrial Process Variables</t>
  </si>
  <si>
    <t>실험·분석장비</t>
  </si>
  <si>
    <t>분석장비,실험장비,랩장비,laboratory instrument</t>
  </si>
  <si>
    <t>334516</t>
  </si>
  <si>
    <t>Analytical Laboratory Instrument Manufacturing</t>
  </si>
  <si>
    <t>의료용 전자기기</t>
  </si>
  <si>
    <t>의료전자기기,전기의료기기,electromedical device</t>
  </si>
  <si>
    <t>334510</t>
  </si>
  <si>
    <t>Electromedical and Electrotherapeutic Apparatus Manufacturing</t>
  </si>
  <si>
    <t>1차전지(건전지)</t>
  </si>
  <si>
    <t>건전지,1차전지,알카라인전지,primary battery</t>
  </si>
  <si>
    <t>335912</t>
  </si>
  <si>
    <t>Primary Battery Manufacturing</t>
  </si>
  <si>
    <t>소형 가전제품</t>
  </si>
  <si>
    <t>소형가전,휴대용가전,small appliance</t>
  </si>
  <si>
    <t>335210</t>
  </si>
  <si>
    <t>Small Electrical Appliance Manufacturing</t>
  </si>
  <si>
    <t>대형 가전제품</t>
  </si>
  <si>
    <t>냉장고,세탁기,대형가전,major appliance</t>
  </si>
  <si>
    <t>335220</t>
  </si>
  <si>
    <t>Major Household Appliance Manufacturing</t>
  </si>
  <si>
    <t>광학기기(렌즈 등)</t>
  </si>
  <si>
    <t>광학기기,렌즈,optical instrument,lens</t>
  </si>
  <si>
    <t>333314</t>
  </si>
  <si>
    <t>Optical Instrument and Lens Manufacturing</t>
  </si>
  <si>
    <t>사진·영상 장비</t>
  </si>
  <si>
    <t>카메라,영상장비,복사기,photographic equipment</t>
  </si>
  <si>
    <t>333316</t>
  </si>
  <si>
    <t>Photographic and Photocopying Equipment Manufacturing</t>
  </si>
  <si>
    <t>사무가구·비품</t>
  </si>
  <si>
    <t>사무용 의자</t>
  </si>
  <si>
    <t>의자,사무의자,ergonomic,허먼밀러,시디즈,chair,office chair</t>
  </si>
  <si>
    <t>337214</t>
  </si>
  <si>
    <t>Office Furniture (except Wood) Manufacturing</t>
  </si>
  <si>
    <t>책상·보조책상·테이블</t>
  </si>
  <si>
    <t>책상,보조책상,회의테이블,테이블,스탠딩책상,desk,table,workstation</t>
  </si>
  <si>
    <t>337211</t>
  </si>
  <si>
    <t>Wood Office Furniture Manufacturing</t>
  </si>
  <si>
    <t>파티션·칸막이</t>
  </si>
  <si>
    <t>파티션,칸막이,partition,divider</t>
  </si>
  <si>
    <t>337215</t>
  </si>
  <si>
    <t>Showcase, Partition, Shelving, and Locker Manufacturing</t>
  </si>
  <si>
    <t>수납·캐비닛·옷장·락커</t>
  </si>
  <si>
    <t>캐비닛,수납장,옷장,락커,서랍장,filing cabinet,locker</t>
  </si>
  <si>
    <t>소파·휴게가구</t>
  </si>
  <si>
    <t>소파,쇼파,lounge,sofa,couch</t>
  </si>
  <si>
    <t>337121</t>
  </si>
  <si>
    <t>Upholstered Household Furniture Manufacturing</t>
  </si>
  <si>
    <t>조명기구</t>
  </si>
  <si>
    <t>조명,형광등,LED조명,스탠드,lamp,light,lighting</t>
  </si>
  <si>
    <t>335110</t>
  </si>
  <si>
    <t>Electric Lamp Bulb and Part Manufacturing</t>
  </si>
  <si>
    <t>화이트보드·칠판·시청각</t>
  </si>
  <si>
    <t>화이트보드,칠판,프로젝터,스크린,TV,whiteboard,projector</t>
  </si>
  <si>
    <t>매트리스·침구가구</t>
  </si>
  <si>
    <t>매트리스,침구,mattress</t>
  </si>
  <si>
    <t>337910</t>
  </si>
  <si>
    <t>Mattress Manufacturing</t>
  </si>
  <si>
    <t>의류·섬유·잡화</t>
  </si>
  <si>
    <t>편직물·니트 원단</t>
  </si>
  <si>
    <t>니트원단,편직물,knit fabric</t>
  </si>
  <si>
    <t>313240</t>
  </si>
  <si>
    <t>Knit Fabric Mills</t>
  </si>
  <si>
    <t>카펫·러그</t>
  </si>
  <si>
    <t>카펫,러그,carpet,rug</t>
  </si>
  <si>
    <t>314110</t>
  </si>
  <si>
    <t>Carpet and Rug Mills</t>
  </si>
  <si>
    <t>의류 부자재(지퍼·단추 등)</t>
  </si>
  <si>
    <t>지퍼,단추,실,부자재,zipper,button,fastener</t>
  </si>
  <si>
    <t>339993</t>
  </si>
  <si>
    <t>Fastener, Button, Needle, and Pin Manufacturing</t>
  </si>
  <si>
    <t>완성 의류(단체복·유니폼)</t>
  </si>
  <si>
    <t>유니폼,단체복,작업복,근무복,uniform,workwear</t>
  </si>
  <si>
    <t>315210</t>
  </si>
  <si>
    <t>Cut and Sew Apparel Contractors</t>
  </si>
  <si>
    <t>신발</t>
  </si>
  <si>
    <t>신발,안전화,footwear,shoes</t>
  </si>
  <si>
    <t>316210</t>
  </si>
  <si>
    <t>Footwear Manufacturing</t>
  </si>
  <si>
    <t>가방·핸드백</t>
  </si>
  <si>
    <t>가방,핸드백,파우치,bag,handbag</t>
  </si>
  <si>
    <t>316992</t>
  </si>
  <si>
    <t>Women's Handbag and Purse Manufacturing</t>
  </si>
  <si>
    <t>시설·유지보수</t>
  </si>
  <si>
    <t>건물 유지보수·설비공사(전기·공조·소방 등)</t>
  </si>
  <si>
    <t>유지보수,인테리어,리모델링,도배,도색,페인트,수리,maintenance,repair,renovation,전기공사,전기설비,배선,분전반,UPS설치,electrical installation,에어컨,냉난방,HVAC,공조기,보일러,히터,냉각탑,air conditioning,소화기,스프링클러,소방설비,안전장비,fire suppression,safety equipment</t>
  </si>
  <si>
    <t>238350</t>
  </si>
  <si>
    <t>Finish Carpentry Contractors</t>
  </si>
  <si>
    <t>청소·조경·방역 등 시설관리 용역</t>
  </si>
  <si>
    <t>청소용역,시설관리,건물관리,빌딩관리,building management,cleaning service,조경,조경관리,정원관리,landscaping,방역,해충방제,소독,pest control,disinfection</t>
  </si>
  <si>
    <t>561720</t>
  </si>
  <si>
    <t>Janitorial Services</t>
  </si>
  <si>
    <t>신축공사(주거용)</t>
  </si>
  <si>
    <t>신축,주택건설,아파트건설,housing construction</t>
  </si>
  <si>
    <t>236115</t>
  </si>
  <si>
    <t>New Single-Family Housing Construction (except For-Sale Builders)</t>
  </si>
  <si>
    <t>신축공사(상업·산업용)</t>
  </si>
  <si>
    <t>신축공사,상업용건축,공장건축,commercial construction</t>
  </si>
  <si>
    <t>236220</t>
  </si>
  <si>
    <t>Commercial and Institutional Building Construction</t>
  </si>
  <si>
    <t>토목공사(도로·교량)</t>
  </si>
  <si>
    <t>토목공사,도로공사,교량공사,civil engineering,road construction</t>
  </si>
  <si>
    <t>237310</t>
  </si>
  <si>
    <t>Highway, Street, and Bridge Construction</t>
  </si>
  <si>
    <t>배관·상하수도 공사</t>
  </si>
  <si>
    <t>배관공사,상하수도공사,water line construction</t>
  </si>
  <si>
    <t>237110</t>
  </si>
  <si>
    <t>Water and Sewer Line and Related Structures Construction</t>
  </si>
  <si>
    <t>폐기물 수거·처리 서비스</t>
  </si>
  <si>
    <t>폐기물수거,쓰레기수거,산업폐기물처리,waste collection,disposal</t>
  </si>
  <si>
    <t>562111</t>
  </si>
  <si>
    <t>Solid Waste Collection</t>
  </si>
  <si>
    <t>산업 세탁·린넨공급 서비스</t>
  </si>
  <si>
    <t>산업세탁,린넨공급,유니폼세탁,linen supply,industrial laundry</t>
  </si>
  <si>
    <t>812331</t>
  </si>
  <si>
    <t>Linen Supply</t>
  </si>
  <si>
    <t>외주·서비스</t>
  </si>
  <si>
    <t>외주가공·위탁생산</t>
  </si>
  <si>
    <t>외주가공,위탁생산,OEM,하청,임가공,outsourcing,contract manufacturing</t>
  </si>
  <si>
    <t>332710</t>
  </si>
  <si>
    <t>Machine Shops</t>
  </si>
  <si>
    <t>컨설팅·경영자문</t>
  </si>
  <si>
    <t>컨설팅,자문,자문료,경영컨설팅,consulting,advisory,management consulting</t>
  </si>
  <si>
    <t>541610</t>
  </si>
  <si>
    <t>Management Consulting Services</t>
  </si>
  <si>
    <t>IT컨설팅·SI·개발</t>
  </si>
  <si>
    <t>IT컨설팅,시스템통합,SI,개발용역,소프트웨어개발,IT서비스,IT outsourcing</t>
  </si>
  <si>
    <t>541511</t>
  </si>
  <si>
    <t>Custom Computer Programming Services</t>
  </si>
  <si>
    <t>법률·회계·감사</t>
  </si>
  <si>
    <t>법률,법무,변호사,회계,감사,세무,법률자문,accounting,audit,legal</t>
  </si>
  <si>
    <t>541110</t>
  </si>
  <si>
    <t>Offices of Lawyers</t>
  </si>
  <si>
    <t>광고·마케팅·홍보</t>
  </si>
  <si>
    <t>광고,마케팅,홍보,SNS광고,온라인마케팅,브랜딩,advertising,marketing,PR</t>
  </si>
  <si>
    <t>541810</t>
  </si>
  <si>
    <t>Advertising Agencies</t>
  </si>
  <si>
    <t>인쇄·출판·디자인</t>
  </si>
  <si>
    <t>인쇄,출판,디자인,카탈로그,브로셔,명함,인쇄물,printing,design</t>
  </si>
  <si>
    <t>경비·보안 용역</t>
  </si>
  <si>
    <t>경비,보안,CCTV,출입통제,security,guard service</t>
  </si>
  <si>
    <t>561612</t>
  </si>
  <si>
    <t>Security Guards and Patrol Services</t>
  </si>
  <si>
    <t>운반·물류 용역</t>
  </si>
  <si>
    <t>운반,배송,물류,포워딩,3PL,logistics,freight,delivery</t>
  </si>
  <si>
    <t>488510</t>
  </si>
  <si>
    <t>Freight Transportation Arrangement</t>
  </si>
  <si>
    <t>교육·훈련 서비스</t>
  </si>
  <si>
    <t>교육,훈련,연수,세미나,강의,온라인교육,training,education</t>
  </si>
  <si>
    <t>611430</t>
  </si>
  <si>
    <t>Professional and Management Development Training</t>
  </si>
  <si>
    <t>연구개발·시험분석</t>
  </si>
  <si>
    <t>R&amp;D,연구개발,시험,분석,시험성적서,시험인증,R&amp;D,laboratory,testing</t>
  </si>
  <si>
    <t>541711</t>
  </si>
  <si>
    <t>Research and Development in Biotechnology</t>
  </si>
  <si>
    <t>건축·엔지니어링 설계 서비스</t>
  </si>
  <si>
    <t>건축설계,설계용역,architectural service,엔지니어링,설계엔지니어링,engineering service</t>
  </si>
  <si>
    <t>541310</t>
  </si>
  <si>
    <t>Architectural Services</t>
  </si>
  <si>
    <t>디자인 서비스(인테리어·그래픽·산업디자인)</t>
  </si>
  <si>
    <t>인테리어디자인,공간디자인,interior design,그래픽디자인,산업디자인,제품디자인,graphic design,industrial design</t>
  </si>
  <si>
    <t>541410</t>
  </si>
  <si>
    <t>Interior Design Services</t>
  </si>
  <si>
    <t>환경 컨설팅 서비스</t>
  </si>
  <si>
    <t>환경컨설팅,ESG컨설팅,환경영향평가,environmental consulting</t>
  </si>
  <si>
    <t>541620</t>
  </si>
  <si>
    <t>Environmental Consulting Services</t>
  </si>
  <si>
    <t>시장조사·여론조사 서비스</t>
  </si>
  <si>
    <t>시장조사,설문조사,여론조사,market research</t>
  </si>
  <si>
    <t>541910</t>
  </si>
  <si>
    <t>Marketing Research and Public Opinion Polling</t>
  </si>
  <si>
    <t>번역·통역 서비스</t>
  </si>
  <si>
    <t>번역,통역,translation,interpretation</t>
  </si>
  <si>
    <t>541930</t>
  </si>
  <si>
    <t>Translation and Interpretation Services</t>
  </si>
  <si>
    <t>사진·영상 촬영 서비스</t>
  </si>
  <si>
    <t>사진촬영,영상촬영,commercial photography</t>
  </si>
  <si>
    <t>541922</t>
  </si>
  <si>
    <t>Commercial Photography</t>
  </si>
  <si>
    <t>인력파견·아웃소싱 서비스</t>
  </si>
  <si>
    <t>인력파견,파견직,아웃소싱,temp staffing,outsourcing labor</t>
  </si>
  <si>
    <t>561320</t>
  </si>
  <si>
    <t>Temporary Help Services</t>
  </si>
  <si>
    <t>사무지원 서비스(콜센터·문서작성 등)</t>
  </si>
  <si>
    <t>콜센터,텔레마케팅,고객센터,call center,telemarketing,문서작성대행,속기,타이핑,document preparation</t>
  </si>
  <si>
    <t>561422</t>
  </si>
  <si>
    <t>Telemarketing Bureaus and Other Contact Centers</t>
  </si>
  <si>
    <t>전시·컨벤션 대행 서비스</t>
  </si>
  <si>
    <t>전시회,컨벤션,박람회대행,trade show,convention</t>
  </si>
  <si>
    <t>561920</t>
  </si>
  <si>
    <t>Convention and Trade Show Organizers</t>
  </si>
  <si>
    <t>행사·공연 기획 대행</t>
  </si>
  <si>
    <t>행사대행,공연기획,이벤트대행,event planning,promoter</t>
  </si>
  <si>
    <t>711320</t>
  </si>
  <si>
    <t>Promoters of Performing Arts, Sports, and Similar Events without Facilities</t>
  </si>
  <si>
    <t>구내식당·케이터링 서비스</t>
  </si>
  <si>
    <t>구내식당,단체급식,위탁급식,cafeteria,food service contractor,케이터링,출장뷔페,catering</t>
  </si>
  <si>
    <t>722310</t>
  </si>
  <si>
    <t>Food Service Contractors</t>
  </si>
  <si>
    <t>외부 식당·회식비</t>
  </si>
  <si>
    <t>식당,회식,외식,restaurant</t>
  </si>
  <si>
    <t>722511</t>
  </si>
  <si>
    <t>Full-Service Restaurants</t>
  </si>
  <si>
    <t>차량 정비·수리 서비스</t>
  </si>
  <si>
    <t>차량정비,자동차수리,정비소,auto repair</t>
  </si>
  <si>
    <t>811111</t>
  </si>
  <si>
    <t>General Automotive Repair</t>
  </si>
  <si>
    <t>사무기기 수리 서비스</t>
  </si>
  <si>
    <t>사무기기수리,복합기수리,PC수리,office machine repair</t>
  </si>
  <si>
    <t>811212</t>
  </si>
  <si>
    <t>Computer and Office Machine Repair and Maintenance</t>
  </si>
  <si>
    <t>산업기계 정비·수리 서비스</t>
  </si>
  <si>
    <t>설비정비,기계수리,산업기계보수,industrial machinery repair</t>
  </si>
  <si>
    <t>811310</t>
  </si>
  <si>
    <t>Commercial and Industrial Machinery and Equipment (except Automotive and Electronic) Repair and Maintenance</t>
  </si>
  <si>
    <t>가전제품 수리 서비스</t>
  </si>
  <si>
    <t>가전수리,전자제품수리,appliance repair</t>
  </si>
  <si>
    <t>811412</t>
  </si>
  <si>
    <t>Appliance Repair and Maintenance</t>
  </si>
  <si>
    <t>건강검진·의료 서비스</t>
  </si>
  <si>
    <t>건강검진,의료서비스,건강검진비,medical service,physician</t>
  </si>
  <si>
    <t>621111</t>
  </si>
  <si>
    <t>Offices of Physicians (except Mental Health Specialists)</t>
  </si>
  <si>
    <t>사내 어린이집·보육 서비스</t>
  </si>
  <si>
    <t>어린이집,직장보육,보육서비스,child day care</t>
  </si>
  <si>
    <t>624410</t>
  </si>
  <si>
    <t>Child Day Care Services</t>
  </si>
  <si>
    <t>임직원 상담·복지 서비스(EAP)</t>
  </si>
  <si>
    <t>상담서비스,EAP,복지서비스,employee assistance</t>
  </si>
  <si>
    <t>624190</t>
  </si>
  <si>
    <t>Other Individual and Family Services</t>
  </si>
  <si>
    <t>비영리단체 회비·후원</t>
  </si>
  <si>
    <t>협회비,단체회비,후원회비,membership dues,civic organization</t>
  </si>
  <si>
    <t>813410</t>
  </si>
  <si>
    <t>Civic and Social Organizations</t>
  </si>
  <si>
    <t>차량·운송장비</t>
  </si>
  <si>
    <t>승용차·SUV</t>
  </si>
  <si>
    <t>승용차,차량,SUV,세단,electric car,EV,자동차,car,vehicle</t>
  </si>
  <si>
    <t>336111</t>
  </si>
  <si>
    <t>Automobile Manufacturing</t>
  </si>
  <si>
    <t>화물차·트럭·밴</t>
  </si>
  <si>
    <t>화물차,트럭,밴,탑차,냉동차,van,truck,freight vehicle</t>
  </si>
  <si>
    <t>336120</t>
  </si>
  <si>
    <t>Light Truck and Utility Vehicle Manufacturing</t>
  </si>
  <si>
    <t>지게차·산업차량</t>
  </si>
  <si>
    <t>지게차,포크리프트,산업차량,electric forklift,forklift</t>
  </si>
  <si>
    <t>333924</t>
  </si>
  <si>
    <t>Industrial Truck, Tractor, Trailer, and Stacker Machinery Manufacturing</t>
  </si>
  <si>
    <t>차량 부품·소모품</t>
  </si>
  <si>
    <t>타이어,엔진오일,브레이크패드,배터리,필터,차량부품,auto parts</t>
  </si>
  <si>
    <t>441310</t>
  </si>
  <si>
    <t>Automotive Parts and Accessories Stores</t>
  </si>
  <si>
    <t>자동차 엔진·구동부품(OEM)</t>
  </si>
  <si>
    <t>자동차엔진,엔진부품,구동계부품,engine parts</t>
  </si>
  <si>
    <t>336310</t>
  </si>
  <si>
    <t>Motor Vehicle Gasoline Engine and Engine Parts Manufacturing</t>
  </si>
  <si>
    <t>자동차 차체·바디 부품</t>
  </si>
  <si>
    <t>차체,바디부품,프레임,motor vehicle body</t>
  </si>
  <si>
    <t>336211</t>
  </si>
  <si>
    <t>Motor Vehicle Body Manufacturing</t>
  </si>
  <si>
    <t>트레일러</t>
  </si>
  <si>
    <t>트레일러,화물트레일러,truck trailer</t>
  </si>
  <si>
    <t>336212</t>
  </si>
  <si>
    <t>Truck Trailer Manufacturing</t>
  </si>
  <si>
    <t>항공기 및 부품</t>
  </si>
  <si>
    <t>항공기,항공기부품,aircraft manufacturing</t>
  </si>
  <si>
    <t>336411</t>
  </si>
  <si>
    <t>Aircraft Manufacturing</t>
  </si>
  <si>
    <t>선박 건조·수리</t>
  </si>
  <si>
    <t>선박,조선,선박건조,ship building</t>
  </si>
  <si>
    <t>336611</t>
  </si>
  <si>
    <t>Ship Building and Repairing</t>
  </si>
  <si>
    <t>철도차량</t>
  </si>
  <si>
    <t>철도차량,열차,전동차,railroad rolling stock</t>
  </si>
  <si>
    <t>336510</t>
  </si>
  <si>
    <t>Railroad Rolling Stock Manufacturing</t>
  </si>
  <si>
    <t>이륜차·자전거</t>
  </si>
  <si>
    <t>오토바이,이륜차,자전거,motorcycle,bicycle</t>
  </si>
  <si>
    <t>336991</t>
  </si>
  <si>
    <t>Motorcycle, Bicycle, and Parts Manufacturing</t>
  </si>
  <si>
    <t>생산설비</t>
  </si>
  <si>
    <t>제조 기계·설비</t>
  </si>
  <si>
    <t>생산설비,기계장치,프레스,CNC,선반,밀링,드릴,용접기,machine,equipment,machinery</t>
  </si>
  <si>
    <t>333249</t>
  </si>
  <si>
    <t>Other Industrial Machinery Manufacturing</t>
  </si>
  <si>
    <t>컨베이어·자동화 설비</t>
  </si>
  <si>
    <t>컨베이어,자동화,로봇,PLC,conveyor,automation,robot</t>
  </si>
  <si>
    <t>333922</t>
  </si>
  <si>
    <t>Conveyor and Conveying Equipment Manufacturing</t>
  </si>
  <si>
    <t>공구·공구류</t>
  </si>
  <si>
    <t>공구,드라이버,렌치,드릴비트,그라인더,CNC공구,tool,tooling</t>
  </si>
  <si>
    <t>332210</t>
  </si>
  <si>
    <t>Cutlery and Handtool Manufacturing</t>
  </si>
  <si>
    <t>계측기·검사 장비</t>
  </si>
  <si>
    <t>계측기,측정기,검사장비,스캐너,CMM,measurement,inspection equipment</t>
  </si>
  <si>
    <t>334519</t>
  </si>
  <si>
    <t>Other Measuring and Controlling Device Manufacturing</t>
  </si>
  <si>
    <t>금형·지그·치공구</t>
  </si>
  <si>
    <t>금형,mold,jig,fixture,치공구,die</t>
  </si>
  <si>
    <t>333514</t>
  </si>
  <si>
    <t>Special Industry Machinery Manufacturing</t>
  </si>
  <si>
    <t>건설·농업용 중장비</t>
  </si>
  <si>
    <t>건설기계,농업기계,중장비,construction machinery,farm machinery</t>
  </si>
  <si>
    <t>333120</t>
  </si>
  <si>
    <t>Construction Machinery Manufacturing</t>
  </si>
  <si>
    <t>식품·포장 기계</t>
  </si>
  <si>
    <t>식품가공기계,포장기계,food machinery,packaging machinery</t>
  </si>
  <si>
    <t>333241</t>
  </si>
  <si>
    <t>Food Product Machinery Manufacturing</t>
  </si>
  <si>
    <t>반도체 제조장비</t>
  </si>
  <si>
    <t>반도체장비,웨이퍼장비,semiconductor equipment</t>
  </si>
  <si>
    <t>333242</t>
  </si>
  <si>
    <t>Semiconductor Machinery Manufacturing</t>
  </si>
  <si>
    <t>산업용 공조·냉동기계</t>
  </si>
  <si>
    <t>산업용냉동기,공조기계,산업용에어컨,industrial HVAC equipment</t>
  </si>
  <si>
    <t>333415</t>
  </si>
  <si>
    <t>Air-Conditioning and Warm Air Heating Equipment and Commercial and Industrial Refrigeration Equipment Manufacturing</t>
  </si>
  <si>
    <t>터빈·발전설비</t>
  </si>
  <si>
    <t>터빈,발전기,발전설비,turbine,generator</t>
  </si>
  <si>
    <t>333611</t>
  </si>
  <si>
    <t>Turbine and Turbine Generator Set Units Manufacturing</t>
  </si>
  <si>
    <t>압축기·펌프</t>
  </si>
  <si>
    <t>압축기,에어컴프레서,펌프,compressor,pump</t>
  </si>
  <si>
    <t>333912</t>
  </si>
  <si>
    <t>Air and Gas Compressor Manufacturing</t>
  </si>
  <si>
    <t>승강기·물류설비</t>
  </si>
  <si>
    <t>엘리베이터,에스컬레이터,물류설비,elevator,escalator</t>
  </si>
  <si>
    <t>333921</t>
  </si>
  <si>
    <t>Elevator and Moving Stairway Manufacturing</t>
  </si>
  <si>
    <t>용접장비</t>
  </si>
  <si>
    <t>용접기,용접장비,welding equipment</t>
  </si>
  <si>
    <t>333992</t>
  </si>
  <si>
    <t>Welding and Soldering Equipment Manufacturing</t>
  </si>
  <si>
    <t>포장기계</t>
  </si>
  <si>
    <t>포장기계,충전기계,packaging machinery</t>
  </si>
  <si>
    <t>333993</t>
  </si>
  <si>
    <t>Packaging Machinery Manufacturing</t>
  </si>
  <si>
    <t>안전·위생</t>
  </si>
  <si>
    <t>안전장비·보호구</t>
  </si>
  <si>
    <t>안전모,안전화,안전조끼,장갑,보안경,귀마개,PPE,safety helmet,gloves,safety</t>
  </si>
  <si>
    <t>339113</t>
  </si>
  <si>
    <t>Surgical Appliance and Supplies Manufacturing</t>
  </si>
  <si>
    <t>의약품·의료용품</t>
  </si>
  <si>
    <t>의약품,의료용품,응급키트,약품,pharmaceutical,medical supplies</t>
  </si>
  <si>
    <t>325412</t>
  </si>
  <si>
    <t>Pharmaceutical Preparation Manufacturing</t>
  </si>
  <si>
    <t>건설자재</t>
  </si>
  <si>
    <t>시멘트·콘크리트</t>
  </si>
  <si>
    <t>시멘트,콘크리트,레미콘,cement,concrete</t>
  </si>
  <si>
    <t>327310</t>
  </si>
  <si>
    <t>Cement Manufacturing</t>
  </si>
  <si>
    <t>철근·형강·구조재</t>
  </si>
  <si>
    <t>철근,형강,H빔,구조용철강,structural steel,rebar</t>
  </si>
  <si>
    <t>단열재·방수재</t>
  </si>
  <si>
    <t>단열재,방수재,스티로폼단열,폼보드,insulation,waterproofing</t>
  </si>
  <si>
    <t>전선·케이블</t>
  </si>
  <si>
    <t>전선,케이블,광케이블,fiber optic,wire,cable</t>
  </si>
  <si>
    <t>335921</t>
  </si>
  <si>
    <t>Fiber Optic Cable Manufacturing</t>
  </si>
  <si>
    <t>아스팔트 포장재</t>
  </si>
  <si>
    <t>아스팔트,아스콘,포장재,asphalt</t>
  </si>
  <si>
    <t>324121</t>
  </si>
  <si>
    <t>Asphalt Paving Mixture and Block Manufacturing</t>
  </si>
  <si>
    <t>석회·석고</t>
  </si>
  <si>
    <t>석회,석고,생석회,lime,gypsum</t>
  </si>
  <si>
    <t>327410</t>
  </si>
  <si>
    <t>Lime Manufacturing</t>
  </si>
  <si>
    <t>콘크리트·레미콘</t>
  </si>
  <si>
    <t>레미콘,콘크리트,생콘크리트,ready-mix concrete</t>
  </si>
  <si>
    <t>327320</t>
  </si>
  <si>
    <t>Ready-Mix Concrete Manufacturing</t>
  </si>
  <si>
    <t>콘크리트 블록·벽돌</t>
  </si>
  <si>
    <t>콘크리트블록,벽돌,block,brick</t>
  </si>
  <si>
    <t>327331</t>
  </si>
  <si>
    <t>Concrete Block and Brick Manufacturing</t>
  </si>
  <si>
    <t>지붕재(아스팔트슁글 등)</t>
  </si>
  <si>
    <t>지붕재,슁글,방수시트,roofing,shingle</t>
  </si>
  <si>
    <t>324122</t>
  </si>
  <si>
    <t>Asphalt Shingle and Coating Materials Manufacturing</t>
  </si>
  <si>
    <t>목재 창호</t>
  </si>
  <si>
    <t>목재창호,나무문,나무창,wood window,wood door</t>
  </si>
  <si>
    <t>321911</t>
  </si>
  <si>
    <t>Wood Window and Door Manufacturing</t>
  </si>
  <si>
    <t>통신·미디어</t>
  </si>
  <si>
    <t>통신 서비스 (전화·인터넷)</t>
  </si>
  <si>
    <t>통신요금,전화,인터넷,회선,telecommunication,phone bill,internet</t>
  </si>
  <si>
    <t>517110</t>
  </si>
  <si>
    <t>Wired Telecommunications Carriers</t>
  </si>
  <si>
    <t>우편·택배·배송</t>
  </si>
  <si>
    <t>우편,택배,등기,courier,parcel,postal</t>
  </si>
  <si>
    <t>492110</t>
  </si>
  <si>
    <t>Couriers and Express Delivery Services</t>
  </si>
  <si>
    <t>이동통신 서비스</t>
  </si>
  <si>
    <t>이동통신,휴대폰요금,모바일통신,wireless carrier</t>
  </si>
  <si>
    <t>517312</t>
  </si>
  <si>
    <t>Wireless Telecommunications Carriers (except Satellite)</t>
  </si>
  <si>
    <t>인터넷·웹 서비스</t>
  </si>
  <si>
    <t>포털,웹서비스,스트리밍,internet publishing</t>
  </si>
  <si>
    <t>519130</t>
  </si>
  <si>
    <t>Internet Publishing and Broadcasting and Web Search Portals</t>
  </si>
  <si>
    <t>기타</t>
  </si>
  <si>
    <t>행사·판촉물·기념품</t>
  </si>
  <si>
    <t>판촉물,기념품,굿즈,행사용품,promotional item,gift</t>
  </si>
  <si>
    <t>453220</t>
  </si>
  <si>
    <t>Gift, Novelty, and Souvenir Stores</t>
  </si>
  <si>
    <t>회원제 시설 이용(복지몰 등)</t>
  </si>
  <si>
    <t>헬스장,골프장,회원권,피트니스,fitness membership</t>
  </si>
  <si>
    <t>713940</t>
  </si>
  <si>
    <t>Fitness and Recreational Sports Centers</t>
  </si>
  <si>
    <t>스포츠·문화 후원(스폰서십)</t>
  </si>
  <si>
    <t>스폰서십,구단후원,스포츠후원,sponsorship</t>
  </si>
  <si>
    <t>711219</t>
  </si>
  <si>
    <t>Other Spectator Sports</t>
  </si>
  <si>
    <t>산정식: 사용량(단위) × EF(kgCO2eq/단위) / 1000 → tCO2e  |  CO2 계수: GIR 2022.1 (tC/TJ 기준, 순발열량 적용)  |  Non-CO2: GWP AR5 (CH4=28, N2O=265)  |  전력: GIR 2025.12 '23년 소비단  |  열: 제시값 적용</t>
  </si>
  <si>
    <t>← 배출활동 분류</t>
  </si>
  <si>
    <t>← 발열량 기준</t>
  </si>
  <si>
    <t>← 배출계수 (kgCO2eq/단위)</t>
  </si>
  <si>
    <t>구분</t>
  </si>
  <si>
    <t>배출활동</t>
  </si>
  <si>
    <t>활동유형
(에너지원)</t>
  </si>
  <si>
    <t>투입량 기준단위</t>
  </si>
  <si>
    <t>순발열량
(MJ/단위)</t>
  </si>
  <si>
    <t>CO2 계수
(tC/TJ)</t>
  </si>
  <si>
    <t>CO2만
(kgCO2/단위)</t>
  </si>
  <si>
    <t>Non-CO2
(kgCO2eq/단위)</t>
  </si>
  <si>
    <t>CO2eq
(kgCO2eq/단위) ★</t>
  </si>
  <si>
    <t>에너지</t>
  </si>
  <si>
    <t>기체연료연소</t>
  </si>
  <si>
    <t>도시가스(LNG)</t>
  </si>
  <si>
    <t>Nm³</t>
  </si>
  <si>
    <t>천연가스(LNG)</t>
  </si>
  <si>
    <t>kg</t>
  </si>
  <si>
    <t>CNG(차량)</t>
  </si>
  <si>
    <t>LNG(차량)</t>
  </si>
  <si>
    <t>LPG(차량)</t>
  </si>
  <si>
    <t>도시가스(LPG)</t>
  </si>
  <si>
    <t>액화석유가스(LPG)</t>
  </si>
  <si>
    <t>액체연료연소</t>
  </si>
  <si>
    <t>경유</t>
  </si>
  <si>
    <t>L</t>
  </si>
  <si>
    <t>보일러 등유</t>
  </si>
  <si>
    <t>실내 등유</t>
  </si>
  <si>
    <t>항공유</t>
  </si>
  <si>
    <t>휘발유</t>
  </si>
  <si>
    <t>간접배출(외부전기사용)</t>
  </si>
  <si>
    <t>전력</t>
  </si>
  <si>
    <t>kWh</t>
  </si>
  <si>
    <t>-</t>
  </si>
  <si>
    <t>※ 한국값. 사업장 국가별은 '전력_국가별' 시트 참조</t>
  </si>
  <si>
    <t>간접배출(외부 열사용)</t>
  </si>
  <si>
    <t>열(스팀)</t>
  </si>
  <si>
    <t>TJ</t>
  </si>
  <si>
    <t>※ 출처  ① CO2 배출계수: GIR 2022.1 공표 (tC/TJ → kgCO2eq/단위 변환, 순발열량 에너지법 8차 적용)  ② Non-CO2: GIR 2017.9 공고 (CH4·N2O, GWP AR5)  ③ 전력: GIR 2025.12 최신, '23년 소비단 0.4173 tCO2eq/MWh  ④ 열(스팀): 59,685 kgCO2eq/TJ (59.685 kgCO2eq/GJ)</t>
  </si>
  <si>
    <t>운송 배출계수 DB  |  C4 업스트림 운송 / C9 다운스트림 운송  |  출처: 환경성적표지(EPD)</t>
  </si>
  <si>
    <t>대분류</t>
  </si>
  <si>
    <t>운송수단
(EPD 원본명)</t>
  </si>
  <si>
    <t>표준코드
(코드 매핑용)</t>
  </si>
  <si>
    <t>배출계수
(kgCO2eq/ton·km)</t>
  </si>
  <si>
    <t>운송</t>
  </si>
  <si>
    <t>도로</t>
  </si>
  <si>
    <t>도로 운송 (일반화물트럭)</t>
  </si>
  <si>
    <t>road</t>
  </si>
  <si>
    <t>기본 도로 운송</t>
  </si>
  <si>
    <t>도로 운송 (택배·소화물)</t>
  </si>
  <si>
    <t>parcel</t>
  </si>
  <si>
    <t>택배·소화물 배송</t>
  </si>
  <si>
    <t>철도</t>
  </si>
  <si>
    <t>철도 운송</t>
  </si>
  <si>
    <t>rail</t>
  </si>
  <si>
    <t>해상</t>
  </si>
  <si>
    <t>해상 운송 (컨테이너선)</t>
  </si>
  <si>
    <t>sea</t>
  </si>
  <si>
    <t>원양 컨테이너 기준</t>
  </si>
  <si>
    <t>항공</t>
  </si>
  <si>
    <t>항공 운송</t>
  </si>
  <si>
    <t>air</t>
  </si>
  <si>
    <t>내륙수로</t>
  </si>
  <si>
    <t>내륙수로 운송</t>
  </si>
  <si>
    <t>inland_water</t>
  </si>
  <si>
    <t>출장·통근 배출계수 DB  |  C6 임직원출장 / C7 임직원통근  |  출처: UK DEFRA GHG Conversion Factors 2025</t>
  </si>
  <si>
    <t>DEFRA 원본 분류</t>
  </si>
  <si>
    <t>세부 유형 (Type)</t>
  </si>
  <si>
    <t>표준코드</t>
  </si>
  <si>
    <t>EF
(kgCO2e/km)</t>
  </si>
  <si>
    <t>출장</t>
  </si>
  <si>
    <t>Flights</t>
  </si>
  <si>
    <t>International, non-UK - Average passenger</t>
  </si>
  <si>
    <t>flight</t>
  </si>
  <si>
    <t>항공,비행기,비행,airplane,flight,국제선,해외출장</t>
  </si>
  <si>
    <t>passenger·km | DEFRA 2025 국제선 평균 (기본값)</t>
  </si>
  <si>
    <t>Ferry</t>
  </si>
  <si>
    <t>Average (all passenger)</t>
  </si>
  <si>
    <t>ferry</t>
  </si>
  <si>
    <t>페리,ferry,선박,배</t>
  </si>
  <si>
    <t>passenger·km | DEFRA 2025 평균</t>
  </si>
  <si>
    <t>출장·통근</t>
  </si>
  <si>
    <t>Bus</t>
  </si>
  <si>
    <t>Average local bus</t>
  </si>
  <si>
    <t>bus</t>
  </si>
  <si>
    <t>버스,bus,고속버스,시외버스,시내버스,광역버스,전세버스,셔틀</t>
  </si>
  <si>
    <t>passenger·km | DEFRA 2025</t>
  </si>
  <si>
    <t>Rail</t>
  </si>
  <si>
    <t>National rail</t>
  </si>
  <si>
    <t>train</t>
  </si>
  <si>
    <t>기차,KTX,SRT,ITX,새마을,무궁화,열차,철도</t>
  </si>
  <si>
    <t>London Underground / Metro</t>
  </si>
  <si>
    <t>subway</t>
  </si>
  <si>
    <t>지하철,subway,metro,전철,도시철도</t>
  </si>
  <si>
    <t>Taxis</t>
  </si>
  <si>
    <t>Regular taxi</t>
  </si>
  <si>
    <t>taxi</t>
  </si>
  <si>
    <t>택시,taxi,cab,카카오t,카카오택시,우버,uber</t>
  </si>
  <si>
    <t>passenger·km 고정 | DEFRA 2025 (vehicle·km: 0.20806이나 실무상 1인 기록 기준 적용)</t>
  </si>
  <si>
    <t>Cars (by size)</t>
  </si>
  <si>
    <t>Average car</t>
  </si>
  <si>
    <t>car</t>
  </si>
  <si>
    <t>승용차,자가용,car,차량,렌터카,자동차,승합차,밴,미니밴</t>
  </si>
  <si>
    <t>vehicle·km | DEFRA 2025 평균 승용차</t>
  </si>
  <si>
    <t>Cars (plug-in hybrid)</t>
  </si>
  <si>
    <t>PHEV - Method 2</t>
  </si>
  <si>
    <t>car_hybrid</t>
  </si>
  <si>
    <t>하이브리드,hybrid,HEV,PHEV,플러그인하이브리드</t>
  </si>
  <si>
    <t>vehicle·km | DEFRA 2025 Method 2 (fuel+elec 통합 EF)</t>
  </si>
  <si>
    <t>Cars (battery electric)</t>
  </si>
  <si>
    <t>BEV</t>
  </si>
  <si>
    <t>car_ev</t>
  </si>
  <si>
    <t>전기차,전기자동차,EV,BEV,테슬라,아이오닉,EV6</t>
  </si>
  <si>
    <t>vehicle·km | 운행 직접배출 0 (WTT/T&amp;D 포함 시 UK electricity for EVs 별도)</t>
  </si>
  <si>
    <t>Motorbike</t>
  </si>
  <si>
    <t>Average</t>
  </si>
  <si>
    <t>motorcycle</t>
  </si>
  <si>
    <t>오토바이,motorcycle,바이크</t>
  </si>
  <si>
    <t>vehicle·km | DEFRA 2025</t>
  </si>
  <si>
    <t>통근</t>
  </si>
  <si>
    <t>Walk / Bicycle</t>
  </si>
  <si>
    <t>도보·자전거</t>
  </si>
  <si>
    <t>walk</t>
  </si>
  <si>
    <t>도보,자전거,walk,bicycle,bike</t>
  </si>
  <si>
    <t>배출 없음</t>
  </si>
  <si>
    <t>C5 사업장폐기물 배출계수 DB  |  템플릿 (폐기물종류 × 처리방법) → 환경부 EPD 매핑</t>
  </si>
  <si>
    <t>← 환경부 EPD 매핑값</t>
  </si>
  <si>
    <t>폐기물 종류
(템플릿 드롭다운)</t>
  </si>
  <si>
    <t>처리방법
(템플릿 드롭다운)</t>
  </si>
  <si>
    <t>매칭 키워드
(추가 동의어)</t>
  </si>
  <si>
    <t>구분
(지정/일반/생활)</t>
  </si>
  <si>
    <t>매핑 EPD 원본명</t>
  </si>
  <si>
    <t>배출계수
(kgCO2eq/kg)</t>
  </si>
  <si>
    <t>음식물류 폐기물</t>
  </si>
  <si>
    <t>매립</t>
  </si>
  <si>
    <t>음식물,음식물쓰레기,food</t>
  </si>
  <si>
    <t>일반/생활</t>
  </si>
  <si>
    <t>유기성 폐기물 매립</t>
  </si>
  <si>
    <t>소각</t>
  </si>
  <si>
    <t>유기성폐기물 소각</t>
  </si>
  <si>
    <t>재활용</t>
  </si>
  <si>
    <t>음식물류폐기물 재활용</t>
  </si>
  <si>
    <t>음식물</t>
  </si>
  <si>
    <t>(매립 평균)</t>
  </si>
  <si>
    <t>처리방법 미상 → 매립 평균</t>
  </si>
  <si>
    <t>폐지류</t>
  </si>
  <si>
    <t>폐지,신문지,골판지,종이,paper</t>
  </si>
  <si>
    <t>폐지 매립</t>
  </si>
  <si>
    <t>폐지 소각</t>
  </si>
  <si>
    <t>폐지,신문지,잡지,백상지,크라프트</t>
  </si>
  <si>
    <t>폐지 재활용</t>
  </si>
  <si>
    <t>골판지,corrugated</t>
  </si>
  <si>
    <t>폐골판지 재활용</t>
  </si>
  <si>
    <t>골판지 전용</t>
  </si>
  <si>
    <t>폐지,종이</t>
  </si>
  <si>
    <t>(소각 평균)</t>
  </si>
  <si>
    <t>처리방법 미상 → 소각 평균</t>
  </si>
  <si>
    <t>폐플라스틱류</t>
  </si>
  <si>
    <t>플라스틱,PE,PP,PVC,PET,PS,ABS,EPS,스티로폼</t>
  </si>
  <si>
    <t>일반/지정</t>
  </si>
  <si>
    <t>혼합폐플라스틱 매립</t>
  </si>
  <si>
    <t>혼합폐플라스틱 소각</t>
  </si>
  <si>
    <t>혼합폐플라스틱 재활용</t>
  </si>
  <si>
    <t>플라스틱</t>
  </si>
  <si>
    <t>폐목재류</t>
  </si>
  <si>
    <t>목재,나무,wood,팔레트,가구</t>
  </si>
  <si>
    <t>폐목 매립</t>
  </si>
  <si>
    <t>폐목 소각</t>
  </si>
  <si>
    <t>폐목 재활용</t>
  </si>
  <si>
    <t>목재</t>
  </si>
  <si>
    <t>폐섬유류</t>
  </si>
  <si>
    <t>섬유,의류,원단,천</t>
  </si>
  <si>
    <t>일반폐기물 매립</t>
  </si>
  <si>
    <t>생활폐기물 소각</t>
  </si>
  <si>
    <t>(재활용 평균)</t>
  </si>
  <si>
    <t>직접매핑 없음</t>
  </si>
  <si>
    <t>섬유</t>
  </si>
  <si>
    <t>폐유리류</t>
  </si>
  <si>
    <t>유리,glass,병류,판유리</t>
  </si>
  <si>
    <t>폐유리 매립</t>
  </si>
  <si>
    <t>폐유리 소각</t>
  </si>
  <si>
    <t>폐유리 재활용</t>
  </si>
  <si>
    <t>유리</t>
  </si>
  <si>
    <t>폐금속류</t>
  </si>
  <si>
    <t>금속,철,알루미늄,동,납,아연,캔</t>
  </si>
  <si>
    <t>폐금속 매립</t>
  </si>
  <si>
    <t>폐금속 소각</t>
  </si>
  <si>
    <t>철,iron,steel,철캔</t>
  </si>
  <si>
    <t>폐철금속 재활용</t>
  </si>
  <si>
    <t>철금속 전용</t>
  </si>
  <si>
    <t>알루미늄,동,납,아연,비철</t>
  </si>
  <si>
    <t>폐비철금속 재활용</t>
  </si>
  <si>
    <t>비철금속 전용</t>
  </si>
  <si>
    <t>금속</t>
  </si>
  <si>
    <t>오니류</t>
  </si>
  <si>
    <t>오니,슬러지,sludge</t>
  </si>
  <si>
    <t>오니</t>
  </si>
  <si>
    <t>폐전기전자제품</t>
  </si>
  <si>
    <t>전자,전기,가전,IT,컴퓨터,전화기</t>
  </si>
  <si>
    <t>전자,전기,가전,IT,컴퓨터</t>
  </si>
  <si>
    <t>전자,전기</t>
  </si>
  <si>
    <t>폐배터리</t>
  </si>
  <si>
    <t>배터리,전지,battery</t>
  </si>
  <si>
    <t>배터리,전지,battery,리튬</t>
  </si>
  <si>
    <t>배터리</t>
  </si>
  <si>
    <t>폐유류</t>
  </si>
  <si>
    <t>폐유,오일,기름,oil</t>
  </si>
  <si>
    <t>지정</t>
  </si>
  <si>
    <t>유해폐기물 매립</t>
  </si>
  <si>
    <t>폐유,오일,기름,oil,엔진오일,기어오일</t>
  </si>
  <si>
    <t>지정폐기물 소각</t>
  </si>
  <si>
    <t>폐유,오일,기름</t>
  </si>
  <si>
    <t>폐유</t>
  </si>
  <si>
    <t>폐콘크리트류</t>
  </si>
  <si>
    <t>콘크리트,시멘트,아스콘</t>
  </si>
  <si>
    <t>일반</t>
  </si>
  <si>
    <t>폐콘크리트 매립</t>
  </si>
  <si>
    <t>직접매핑 없음 → 소각 평균</t>
  </si>
  <si>
    <t>폐콘크리트 재활용</t>
  </si>
  <si>
    <t>콘크리트</t>
  </si>
  <si>
    <t>폐고무/피혁류</t>
  </si>
  <si>
    <t>고무,타이어,rubber,피혁,가죽</t>
  </si>
  <si>
    <t>폐고무·피혁 매립</t>
  </si>
  <si>
    <t>고무,타이어,rubber</t>
  </si>
  <si>
    <t>폐고무 소각</t>
  </si>
  <si>
    <t>고무,피혁</t>
  </si>
  <si>
    <t>지정폐기물</t>
  </si>
  <si>
    <t>지정,유해,폐산,폐알칼리,폐농약</t>
  </si>
  <si>
    <t>지정,유해</t>
  </si>
  <si>
    <t>기타,기타폐기물,mixed</t>
  </si>
  <si>
    <t>분류 불명 → 일반폐기물</t>
  </si>
  <si>
    <t>기타,기타폐기물</t>
  </si>
  <si>
    <t>[전체 평균]</t>
  </si>
  <si>
    <t>처리방법 미입력/매핑 없음 시 사용</t>
  </si>
  <si>
    <t>공통</t>
  </si>
  <si>
    <t>(환경부 전체 매립 평균)</t>
  </si>
  <si>
    <t>(환경부 전체 소각 평균)</t>
  </si>
  <si>
    <t>(환경부 전체 재활용 평균)</t>
  </si>
  <si>
    <t>C12 판매제품폐기 배출계수 DB  |  폐기물관리법 시행규칙 [별표4] 개정 2023.8.11.</t>
  </si>
  <si>
    <t>대분류
코드</t>
  </si>
  <si>
    <t>중분류
코드</t>
  </si>
  <si>
    <t>소분류
코드</t>
  </si>
  <si>
    <t>폐기물 명칭</t>
  </si>
  <si>
    <t>매립 EF
(kgCO2eq/kg)</t>
  </si>
  <si>
    <t>소각 EF
(kgCO2eq/kg)</t>
  </si>
  <si>
    <t>재활용 EF
(kgCO2eq/kg)</t>
  </si>
  <si>
    <t>1</t>
  </si>
  <si>
    <t>01-01</t>
  </si>
  <si>
    <t>01-01-01</t>
  </si>
  <si>
    <t>폐폴리에틸렌</t>
  </si>
  <si>
    <t>01-01-02</t>
  </si>
  <si>
    <t>폐폴리프로필렌</t>
  </si>
  <si>
    <t>01-01-03</t>
  </si>
  <si>
    <t>폐폴리염화비닐수지</t>
  </si>
  <si>
    <t>01-01-04</t>
  </si>
  <si>
    <t>폐폴리에틸렌테레프탈레이트</t>
  </si>
  <si>
    <t>01-01-05</t>
  </si>
  <si>
    <t>폐페놀수지</t>
  </si>
  <si>
    <t>01-01-06</t>
  </si>
  <si>
    <t>폐폴리우레탄</t>
  </si>
  <si>
    <t>01-01-07</t>
  </si>
  <si>
    <t>폐합성고무</t>
  </si>
  <si>
    <t>01-01-08</t>
  </si>
  <si>
    <t>폐폴리스티렌</t>
  </si>
  <si>
    <t>01-01-09</t>
  </si>
  <si>
    <t>폐아크리로니트릴브타디엔스티렌(ABS 수지)</t>
  </si>
  <si>
    <t>01-01-99</t>
  </si>
  <si>
    <t>그 밖의 폐합성고분자화합물</t>
  </si>
  <si>
    <t>01-02</t>
  </si>
  <si>
    <t>01-02-01</t>
  </si>
  <si>
    <t>폐수처리오니</t>
  </si>
  <si>
    <t>3</t>
  </si>
  <si>
    <t>03-01</t>
  </si>
  <si>
    <t>03-01-01</t>
  </si>
  <si>
    <t>제강분진</t>
  </si>
  <si>
    <t>03-05</t>
  </si>
  <si>
    <t>03-05-01</t>
  </si>
  <si>
    <t>소각바닥재</t>
  </si>
  <si>
    <t>51</t>
  </si>
  <si>
    <t>51-01</t>
  </si>
  <si>
    <t>51-01-01</t>
  </si>
  <si>
    <t>정수처리오니</t>
  </si>
  <si>
    <t>51-01-02</t>
  </si>
  <si>
    <t>하수처리오니</t>
  </si>
  <si>
    <t>51-02</t>
  </si>
  <si>
    <t>51-02-01</t>
  </si>
  <si>
    <t>폐수처리오니(무기성)</t>
  </si>
  <si>
    <t>51-03</t>
  </si>
  <si>
    <t>51-03-01</t>
  </si>
  <si>
    <t>신문지류</t>
  </si>
  <si>
    <t>51-03-02</t>
  </si>
  <si>
    <t>골판지류</t>
  </si>
  <si>
    <t>51-03-03</t>
  </si>
  <si>
    <t>잡지류</t>
  </si>
  <si>
    <t>51-03-04</t>
  </si>
  <si>
    <t>백상지류</t>
  </si>
  <si>
    <t>51-03-99</t>
  </si>
  <si>
    <t>그 밖의 폐지류</t>
  </si>
  <si>
    <t>51-04</t>
  </si>
  <si>
    <t>51-04-01</t>
  </si>
  <si>
    <t>폐건설목재</t>
  </si>
  <si>
    <t>51-04-02</t>
  </si>
  <si>
    <t>폐팔레트</t>
  </si>
  <si>
    <t>51-04-03</t>
  </si>
  <si>
    <t>폐가구류</t>
  </si>
  <si>
    <t>51-04-99</t>
  </si>
  <si>
    <t>그 밖의 폐목재류</t>
  </si>
  <si>
    <t>51-05</t>
  </si>
  <si>
    <t>51-05-01</t>
  </si>
  <si>
    <t>폐PE</t>
  </si>
  <si>
    <t>51-05-02</t>
  </si>
  <si>
    <t>폐PP</t>
  </si>
  <si>
    <t>51-05-03</t>
  </si>
  <si>
    <t>폐PVC</t>
  </si>
  <si>
    <t>51-05-04</t>
  </si>
  <si>
    <t>폐PET</t>
  </si>
  <si>
    <t>51-05-05</t>
  </si>
  <si>
    <t>폐PS</t>
  </si>
  <si>
    <t>51-05-06</t>
  </si>
  <si>
    <t>폐ABS수지</t>
  </si>
  <si>
    <t>51-05-07</t>
  </si>
  <si>
    <t>폐EPS(스티로폼)</t>
  </si>
  <si>
    <t>51-05-99</t>
  </si>
  <si>
    <t>그 밖의 폐합성수지류</t>
  </si>
  <si>
    <t>51-06</t>
  </si>
  <si>
    <t>51-06-01</t>
  </si>
  <si>
    <t>폐철류</t>
  </si>
  <si>
    <t>51-06-02</t>
  </si>
  <si>
    <t>폐동류</t>
  </si>
  <si>
    <t>51-06-03</t>
  </si>
  <si>
    <t>폐알루미늄류</t>
  </si>
  <si>
    <t>51-06-04</t>
  </si>
  <si>
    <t>폐납류</t>
  </si>
  <si>
    <t>51-06-05</t>
  </si>
  <si>
    <t>폐아연류</t>
  </si>
  <si>
    <t>51-06-99</t>
  </si>
  <si>
    <t>그 밖의 폐금속류</t>
  </si>
  <si>
    <t>51-07</t>
  </si>
  <si>
    <t>51-07-01</t>
  </si>
  <si>
    <t>폐판유리</t>
  </si>
  <si>
    <t>51-07-02</t>
  </si>
  <si>
    <t>폐병류</t>
  </si>
  <si>
    <t>51-07-99</t>
  </si>
  <si>
    <t>그 밖의 폐유리류</t>
  </si>
  <si>
    <t>51-08</t>
  </si>
  <si>
    <t>51-08-01</t>
  </si>
  <si>
    <t>폐콘크리트</t>
  </si>
  <si>
    <t>51-08-02</t>
  </si>
  <si>
    <t>폐아스콘</t>
  </si>
  <si>
    <t>51-08-99</t>
  </si>
  <si>
    <t>그 밖의 폐콘크리트류</t>
  </si>
  <si>
    <t>51-09</t>
  </si>
  <si>
    <t>51-09-01</t>
  </si>
  <si>
    <t>폐타이어</t>
  </si>
  <si>
    <t>51-09-02</t>
  </si>
  <si>
    <t>폐고무장갑</t>
  </si>
  <si>
    <t>51-09-99</t>
  </si>
  <si>
    <t>그 밖의 폐고무류</t>
  </si>
  <si>
    <t>51-10</t>
  </si>
  <si>
    <t>51-10-01</t>
  </si>
  <si>
    <t>폐의류</t>
  </si>
  <si>
    <t>51-10-02</t>
  </si>
  <si>
    <t>폐원단</t>
  </si>
  <si>
    <t>51-10-99</t>
  </si>
  <si>
    <t>그 밖의 폐섬유류</t>
  </si>
  <si>
    <t>51-14</t>
  </si>
  <si>
    <t>51-14-04</t>
  </si>
  <si>
    <t>폐리튬이온전지</t>
  </si>
  <si>
    <t>51-14-99</t>
  </si>
  <si>
    <t>그 밖의 폐전지류</t>
  </si>
  <si>
    <t>51-18</t>
  </si>
  <si>
    <t>51-18-01</t>
  </si>
  <si>
    <t>폐가전제품</t>
  </si>
  <si>
    <t>51-18-02</t>
  </si>
  <si>
    <t>산업용폐전기전자제품</t>
  </si>
  <si>
    <t>51-18-03</t>
  </si>
  <si>
    <t>프린트토너 및 카트리지폐부속품</t>
  </si>
  <si>
    <t>51-21</t>
  </si>
  <si>
    <t>51-21-01</t>
  </si>
  <si>
    <t>51-99</t>
  </si>
  <si>
    <t>51-99-00</t>
  </si>
  <si>
    <t>그 밖의 사업장일반폐기물</t>
  </si>
  <si>
    <t>91</t>
  </si>
  <si>
    <t>91-01</t>
  </si>
  <si>
    <t>91-01-00</t>
  </si>
  <si>
    <t>생활</t>
  </si>
  <si>
    <t>91-02</t>
  </si>
  <si>
    <t>91-02-01</t>
  </si>
  <si>
    <t>91-02-02</t>
  </si>
  <si>
    <t>91-03</t>
  </si>
  <si>
    <t>91-03-01</t>
  </si>
  <si>
    <t>폐철캔</t>
  </si>
  <si>
    <t>91-03-02</t>
  </si>
  <si>
    <t>폐알루미늄캔</t>
  </si>
  <si>
    <t>91-04</t>
  </si>
  <si>
    <t>91-04-01</t>
  </si>
  <si>
    <t>폐유리병</t>
  </si>
  <si>
    <t>91-05</t>
  </si>
  <si>
    <t>91-05-01</t>
  </si>
  <si>
    <t>폐PET병</t>
  </si>
  <si>
    <t>91-06</t>
  </si>
  <si>
    <t>91-06-00</t>
  </si>
  <si>
    <t>91-07</t>
  </si>
  <si>
    <t>91-07-00</t>
  </si>
  <si>
    <t>91-08</t>
  </si>
  <si>
    <t>91-08-00</t>
  </si>
  <si>
    <t>91-09</t>
  </si>
  <si>
    <t>91-09-00</t>
  </si>
  <si>
    <t>91-99</t>
  </si>
  <si>
    <t>91-99-00</t>
  </si>
  <si>
    <t>그 밖의 생활폐기물</t>
  </si>
  <si>
    <t>AVG</t>
  </si>
  <si>
    <t>[환경부 전체 매립 평균]</t>
  </si>
  <si>
    <t>[환경부 전체 소각 평균]</t>
  </si>
  <si>
    <t>[환경부 전체 재활용 평균]</t>
  </si>
  <si>
    <t>운송 지출기반 배출계수  |  C4 업스트림운송 / C9 다운스트림운송  |  출처: US EPA Supply Chain GHG v1.3 (USD 2022)</t>
  </si>
  <si>
    <t>⚠  산정식: 운송 지출금액(KRW) ÷ BOK환율(KRW/USD) × EF(kgCO2e/USD) / 1000 → tCO2e</t>
  </si>
  <si>
    <t>운송 구분</t>
  </si>
  <si>
    <t>NAICS 코드</t>
  </si>
  <si>
    <t>NAICS Title (US EPA)</t>
  </si>
  <si>
    <t>한국어 품목명</t>
  </si>
  <si>
    <t>EF
(kgCO2e/USD)</t>
  </si>
  <si>
    <t>481111</t>
  </si>
  <si>
    <t>Scheduled Passenger Air Transportation</t>
  </si>
  <si>
    <t>정기 여객항공</t>
  </si>
  <si>
    <t>항공,비행기,flight,air</t>
  </si>
  <si>
    <t>여객+화물 통합 EF</t>
  </si>
  <si>
    <t>481112</t>
  </si>
  <si>
    <t>Scheduled Freight Air Transportation</t>
  </si>
  <si>
    <t>정기 항공화물</t>
  </si>
  <si>
    <t>항공화물,air freight,air cargo</t>
  </si>
  <si>
    <t>항공화물 전용</t>
  </si>
  <si>
    <t>481211</t>
  </si>
  <si>
    <t>Nonscheduled Chartered Passenger Air Transportation</t>
  </si>
  <si>
    <t>전세 항공</t>
  </si>
  <si>
    <t>전세항공,charter flight</t>
  </si>
  <si>
    <t>482111</t>
  </si>
  <si>
    <t>Line-Haul Railroads</t>
  </si>
  <si>
    <t>장거리 철도</t>
  </si>
  <si>
    <t>철도,기차,rail,train</t>
  </si>
  <si>
    <t>482112</t>
  </si>
  <si>
    <t>Short Line Railroads</t>
  </si>
  <si>
    <t>단거리 철도</t>
  </si>
  <si>
    <t>단거리철도,short rail</t>
  </si>
  <si>
    <t>483111</t>
  </si>
  <si>
    <t>Deep Sea Freight Transportation</t>
  </si>
  <si>
    <t>원양 해상화물</t>
  </si>
  <si>
    <t>해상,선박,배,ship,vessel,ocean freight,sea freight</t>
  </si>
  <si>
    <t>원양 기준</t>
  </si>
  <si>
    <t>483112</t>
  </si>
  <si>
    <t>Deep Sea Passenger Transportation</t>
  </si>
  <si>
    <t>원양 여객선</t>
  </si>
  <si>
    <t>여객선,cruise,크루즈</t>
  </si>
  <si>
    <t>484110</t>
  </si>
  <si>
    <t>General Freight Trucking, Local</t>
  </si>
  <si>
    <t>지역 일반화물 트럭</t>
  </si>
  <si>
    <t>지역트럭,local truck,로컬배송</t>
  </si>
  <si>
    <t>지역 내 일반화물</t>
  </si>
  <si>
    <t>484210</t>
  </si>
  <si>
    <t>Used Household and Office Goods Moving</t>
  </si>
  <si>
    <t>이사·이전 화물</t>
  </si>
  <si>
    <t>이사,이전,이삿짐,moving</t>
  </si>
  <si>
    <t>484220</t>
  </si>
  <si>
    <t>Specialized Freight Trucking, Local</t>
  </si>
  <si>
    <t>특수화물 트럭 (지역)</t>
  </si>
  <si>
    <t>특수화물,냉동,위험물,special freight</t>
  </si>
  <si>
    <t>대중교통</t>
  </si>
  <si>
    <t>485111</t>
  </si>
  <si>
    <t>Mixed Mode Transit Systems</t>
  </si>
  <si>
    <t>복합 대중교통</t>
  </si>
  <si>
    <t>복합교통</t>
  </si>
  <si>
    <t>485112</t>
  </si>
  <si>
    <t>Commuter Rail Systems</t>
  </si>
  <si>
    <t>통근 철도</t>
  </si>
  <si>
    <t>통근철도,commuter rail</t>
  </si>
  <si>
    <t>485113</t>
  </si>
  <si>
    <t>Bus and Motor Vehicle Transit Systems</t>
  </si>
  <si>
    <t>버스 대중교통</t>
  </si>
  <si>
    <t>버스,bus transit</t>
  </si>
  <si>
    <t>택시·여객</t>
  </si>
  <si>
    <t>485310</t>
  </si>
  <si>
    <t>Taxi Service</t>
  </si>
  <si>
    <t>택시</t>
  </si>
  <si>
    <t>택시,taxi,cab</t>
  </si>
  <si>
    <t>485320</t>
  </si>
  <si>
    <t>Limousine Service</t>
  </si>
  <si>
    <t>리무진·승합</t>
  </si>
  <si>
    <t>리무진,limousine,승합차</t>
  </si>
  <si>
    <t>485410</t>
  </si>
  <si>
    <t>School and Employee Bus Transportation</t>
  </si>
  <si>
    <t>통근버스·스쿨버스</t>
  </si>
  <si>
    <t>통근버스,스쿨버스,employee bus</t>
  </si>
  <si>
    <t>485510</t>
  </si>
  <si>
    <t>Charter Bus Industry</t>
  </si>
  <si>
    <t>전세버스</t>
  </si>
  <si>
    <t>전세버스,charter bus</t>
  </si>
  <si>
    <t>출장 지출기반 배출계수  |  C6 임직원출장 (Spend 방식)  |  출처: US EPA Supply Chain GHG v1.3 (USD 2022)</t>
  </si>
  <si>
    <t>⚠  산정식: 출장 지출금액(KRW) ÷ BOK환율(KRW/USD) × EF(kgCO2e/USD) / 1000 → tCO2e  |  DEFRA 거리기반이 우선, 금액만 있을 때 보조 사용</t>
  </si>
  <si>
    <t>출장 항목</t>
  </si>
  <si>
    <t>항공권</t>
  </si>
  <si>
    <t>여객 항공권</t>
  </si>
  <si>
    <t>항공권,비행기,항공요금,airfare,flight ticket,air ticket</t>
  </si>
  <si>
    <t>항공권 비용 기준 / DEFRA 거리기반 우선</t>
  </si>
  <si>
    <t>지상교통</t>
  </si>
  <si>
    <t>택시비</t>
  </si>
  <si>
    <t>택시비,taxi fare,cab</t>
  </si>
  <si>
    <t>택시·카카오T 영수증 기준</t>
  </si>
  <si>
    <t>리무진·승합 비용</t>
  </si>
  <si>
    <t>리무진,공항버스,limousine</t>
  </si>
  <si>
    <t>485210</t>
  </si>
  <si>
    <t>Interurban and Rural Bus Transportation</t>
  </si>
  <si>
    <t>시외버스·고속버스 요금</t>
  </si>
  <si>
    <t>버스요금,시외버스,고속버스,bus fare</t>
  </si>
  <si>
    <t>기차·KTX 요금</t>
  </si>
  <si>
    <t>기차요금,KTX,SRT,철도요금,rail fare</t>
  </si>
  <si>
    <t>렌터카</t>
  </si>
  <si>
    <t>532111</t>
  </si>
  <si>
    <t>Passenger Cars, Rental</t>
  </si>
  <si>
    <t>렌터카·차량 렌탈</t>
  </si>
  <si>
    <t>렌터카,렌트비,car rental,vehicle rental</t>
  </si>
  <si>
    <t>렌탈 요금 기준</t>
  </si>
  <si>
    <t>532112</t>
  </si>
  <si>
    <t>Passenger Trucks, Rental and Leasing</t>
  </si>
  <si>
    <t>렌트 트럭·밴</t>
  </si>
  <si>
    <t>렌트트럭,밴렌탈,truck rental</t>
  </si>
  <si>
    <t>숙박</t>
  </si>
  <si>
    <t>721110</t>
  </si>
  <si>
    <t>Hotels (except Casino Hotels) and Motels</t>
  </si>
  <si>
    <t>호텔·모텔 숙박비</t>
  </si>
  <si>
    <t>호텔,모텔,숙박비,accommodation,hotel</t>
  </si>
  <si>
    <t>숙박비 기준</t>
  </si>
  <si>
    <t>721191</t>
  </si>
  <si>
    <t>Bed-and-Breakfast Inns</t>
  </si>
  <si>
    <t>B&amp;B·게스트하우스</t>
  </si>
  <si>
    <t>B&amp;B,게스트하우스,bed and breakfast</t>
  </si>
  <si>
    <t>721199</t>
  </si>
  <si>
    <t>All Other Traveler Accommodation</t>
  </si>
  <si>
    <t>기타 숙박 (에어비앤비 등)</t>
  </si>
  <si>
    <t>에어비앤비,airbnb,serviced apartment</t>
  </si>
  <si>
    <t>US EPA EF(kgCO2eq/USD) → KRW 환산 기준 환율  |  출처: 서울외국환중개 기간별 매매기준율</t>
  </si>
  <si>
    <t>보고연도 기준</t>
  </si>
  <si>
    <t>기준일</t>
  </si>
  <si>
    <t>환율
(KRW/USD)</t>
  </si>
  <si>
    <t>환산 공식</t>
  </si>
  <si>
    <t>예시: IT장비
(kgCO2eq/USD)</t>
  </si>
  <si>
    <t>→ (kgCO2eq/KRW)</t>
  </si>
  <si>
    <t>2023년 사업장 보고용</t>
  </si>
  <si>
    <t>2023-12-29</t>
  </si>
  <si>
    <t>EF(USD) ÷ 환율</t>
  </si>
  <si>
    <t>US EPA v1.3 USD 2022 기준 EF → 2023년말 환율 적용 (낮은 환율 → 높은 KRW EF)</t>
  </si>
  <si>
    <t>2024년 사업장 보고용</t>
  </si>
  <si>
    <t>2024-12-30</t>
  </si>
  <si>
    <t>2024년말 급등한 환율 반영 (1,470 KRW/USD)</t>
  </si>
  <si>
    <t>2025년 사업장 보고용</t>
  </si>
  <si>
    <t>2025-12-31</t>
  </si>
  <si>
    <t>2025년말 환율 기준 (BOK ECOS 2025년 12월)</t>
  </si>
  <si>
    <t>※ 산정 근거: US EPA v1.3은 USD 2022 기준 EF. 기업이 한국 원화(KRW)로 지출금액을 기록하는 경우 해당 사업연도 말일 환율로 USD 환산 후 EF 적용. 또는 KRW EF = EF(kgCO2e/USD) ÷ 환율(KRW/USD) 로 바로 사용 가능.
2024년(1,470 KRW/USD)은 2023년(1,289 KRW/USD) 대비 환율 약 14% 상승 → 동일 원화 지출 시 배출량 약 12% 감소 효과.</t>
  </si>
  <si>
    <t>국가별 구매전력(그리드) 배출계수 — Scope 2 위치기반. 계산기본값=Y 인 행만 자동계산에 사용.</t>
  </si>
  <si>
    <t>국가</t>
  </si>
  <si>
    <t>배출원</t>
  </si>
  <si>
    <t>배출계수</t>
  </si>
  <si>
    <t>단위</t>
  </si>
  <si>
    <t>기준연도</t>
  </si>
  <si>
    <t>상태</t>
  </si>
  <si>
    <t>계산기본값</t>
  </si>
  <si>
    <t>발표일</t>
  </si>
  <si>
    <t>발표기관</t>
  </si>
  <si>
    <t>근거문서</t>
  </si>
  <si>
    <t>산정용도</t>
  </si>
  <si>
    <t>한국(Korea)</t>
  </si>
  <si>
    <t>구매전력·국가그리드</t>
  </si>
  <si>
    <t>kgCO2e/kWh</t>
  </si>
  <si>
    <t>최신 GIR</t>
  </si>
  <si>
    <t>공식(Official)</t>
  </si>
  <si>
    <t>Y</t>
  </si>
  <si>
    <t>환경부 온실가스종합정보센터(GIR)</t>
  </si>
  <si>
    <t>국가 온실가스 배출계수</t>
  </si>
  <si>
    <t>Scope 2 위치기반</t>
  </si>
  <si>
    <t>기존 '에너지' 시트의 전력 계수와 동일</t>
  </si>
  <si>
    <t>베트남(Vietnam)</t>
  </si>
  <si>
    <t>Purchased electricity – national grid</t>
  </si>
  <si>
    <t>2024-12-03</t>
  </si>
  <si>
    <t>Department of Climate Change, Vietnam</t>
  </si>
  <si>
    <t>Official Dispatch No. 1726/BĐKH-PTCBT</t>
  </si>
  <si>
    <t>Scope 2 location-based</t>
  </si>
  <si>
    <t>베트남 정부 공식 발표값. 2023~2025 자동계산 기본값으로 사용.</t>
  </si>
  <si>
    <t>추정(Estimate)</t>
  </si>
  <si>
    <t>N</t>
  </si>
  <si>
    <t>하노이과학기술대·베트남 농업환경부 연구진</t>
  </si>
  <si>
    <t>연구진 산정치(비공식)</t>
  </si>
  <si>
    <t>참고용</t>
  </si>
  <si>
    <t>전력 수입분·미확인 전원 제외. 공식 발표 전까지 기본값 사용 불가.</t>
  </si>
  <si>
    <t>동일 연구진</t>
  </si>
  <si>
    <t>발전원별 생애주기 계수 기반으로 정부 방법론과 상이. 공식 계수 별도 산정 필요.</t>
  </si>
  <si>
    <t>이동연소 전용 계수 + 국내 순발열량. 산정식: 배출량 = 연료사용량 × 순발열량 × 배출계수 × GWP. 출처: 환경부 배출량 보고·인증 지침 / IPCC 2006</t>
  </si>
  <si>
    <t>[통합출처] 온실가스_인벤토리_코드_정리본_이동연소_순발열량추가.xlsx · 시트 '이동연소 배출계수 (IPCC)'</t>
  </si>
  <si>
    <t>수송수단</t>
  </si>
  <si>
    <t>연료 종류</t>
  </si>
  <si>
    <t>활동량 단위</t>
  </si>
  <si>
    <t>CO₂
(kgCO₂/TJ)</t>
  </si>
  <si>
    <t>CH₄
(kgCH₄/TJ)</t>
  </si>
  <si>
    <t>N₂O
(kgN₂O/TJ)</t>
  </si>
  <si>
    <t>근거 / 단위 주의</t>
  </si>
  <si>
    <t>도로 수송
(Road)</t>
  </si>
  <si>
    <t>승용차 / 소형 트럭</t>
  </si>
  <si>
    <t>가솔린 (휘발유)</t>
  </si>
  <si>
    <t>국내 도로 이동연소 Tier 1</t>
  </si>
  <si>
    <t>LPG</t>
  </si>
  <si>
    <t>순발열량은 부탄(LPG3호) 기준. 프로판이면 46.2 MJ/kg</t>
  </si>
  <si>
    <t>CNG (압축천연가스)</t>
  </si>
  <si>
    <t>도시가스(LNG) 체적 기준. kg 자료이면 49.4 MJ/kg</t>
  </si>
  <si>
    <t>대형 트럭 / 버스</t>
  </si>
  <si>
    <t>이륜차 (오토바이)</t>
  </si>
  <si>
    <t>항공
(Aviation)</t>
  </si>
  <si>
    <t>국내 민간 항공기</t>
  </si>
  <si>
    <t>항공용 가솔린</t>
  </si>
  <si>
    <t>국내 고유 체적값 대신 IPCC 기본 NCV·EF 사용</t>
  </si>
  <si>
    <t>제트 등유 (Jet A-1, JP-8)</t>
  </si>
  <si>
    <t>NCV: 국내 항공유 / EF: IPCC 기본값</t>
  </si>
  <si>
    <t>선박
(Navigation)</t>
  </si>
  <si>
    <t>국내 선박</t>
  </si>
  <si>
    <t>잔여 연료유 (B-C유)</t>
  </si>
  <si>
    <t>NCV: 국내 B-C유 / EF: IPCC 기본값</t>
  </si>
  <si>
    <t>NCV: 국내 경유 / EF: IPCC 기본값</t>
  </si>
  <si>
    <t>철도
(Railway)</t>
  </si>
  <si>
    <t>디젤 기관차</t>
  </si>
  <si>
    <t>※ 이 표의 배출계수 단위가 kgGHG/TJ이므로, 연료사용량(L·kg·Nm³)을 에너지(TJ)로 바꾸기 위한 순발열량이 반드시 필요합니다.</t>
  </si>
  <si>
    <t>※ 산정식: 배출량(tGHG) = 연료사용량 × 순발열량(MJ/단위) × 배출계수(kgGHG/TJ) × 10⁻⁹. CO₂·CH₄·N₂O를 각각 계산한 뒤 GWP를 적용합니다.</t>
  </si>
  <si>
    <t>※ 거리기반 계수(kgCO₂e/km) 또는 연료 부피기반 계수(kgCO₂/L)를 직접 쓰는 별도 방법에서는 순발열량이 계수에 내재되어 있으므로 다시 곱하지 않습니다.</t>
  </si>
  <si>
    <t>※ LPG·CNG는 청구서의 실제 단위와 연료 조성에 맞춰 순발열량을 선택해야 합니다. L↔kg 또는 Nm³↔kg를 근거 없이 혼용하지 마세요.</t>
  </si>
  <si>
    <t>별표10·11 연료별 순발열량(TJ/Gg) 및 부문별 CH4·N2O(kg/TJ). 고정연소 Non-CO2 산정 근거</t>
  </si>
  <si>
    <t>[통합출처] 온실가스_인벤토리_코드_정리본_이동연소_순발열량추가.xlsx · 시트 '발열량·배출계수 (IPCC)'</t>
  </si>
  <si>
    <t>IPCC 연료명</t>
  </si>
  <si>
    <t>국내에너지원
기준</t>
  </si>
  <si>
    <t>순발열량
(NCV)
[TJ/Gg]</t>
  </si>
  <si>
    <t>CO₂
[kgCO₂/TJ]</t>
  </si>
  <si>
    <t>CH₄
에너지산업</t>
  </si>
  <si>
    <t>CH₄
제조·건설</t>
  </si>
  <si>
    <t>CH₄
상업·공공</t>
  </si>
  <si>
    <t>CH₄
가정·기타</t>
  </si>
  <si>
    <t>N₂O
에너지산업</t>
  </si>
  <si>
    <t>N₂O
제조·건설</t>
  </si>
  <si>
    <t>N₂O
상업·공공</t>
  </si>
  <si>
    <t>N₂O
가정·기타</t>
  </si>
  <si>
    <t>Ⅰ. 석유류</t>
  </si>
  <si>
    <t>원유</t>
  </si>
  <si>
    <t>TJ/Gg</t>
  </si>
  <si>
    <t>오리멀젼</t>
  </si>
  <si>
    <t>액성 천연가스</t>
  </si>
  <si>
    <t>가솔린 (자동차용)</t>
  </si>
  <si>
    <t>가솔린 (항공용)</t>
  </si>
  <si>
    <t>가솔린 (제트용)</t>
  </si>
  <si>
    <t>제트용 등유</t>
  </si>
  <si>
    <t>JET A-1, JP-8</t>
  </si>
  <si>
    <t>기타 등유</t>
  </si>
  <si>
    <t>등유</t>
  </si>
  <si>
    <t>혈암유</t>
  </si>
  <si>
    <t>가스/디젤 오일</t>
  </si>
  <si>
    <t>잔여 연료유</t>
  </si>
  <si>
    <t>B-C유</t>
  </si>
  <si>
    <t>액화석유가스</t>
  </si>
  <si>
    <t>에탄</t>
  </si>
  <si>
    <t>나프타</t>
  </si>
  <si>
    <t>납사</t>
  </si>
  <si>
    <t>역청(아스팔트)</t>
  </si>
  <si>
    <t>아스팔트</t>
  </si>
  <si>
    <t>윤활유</t>
  </si>
  <si>
    <t>석유 코크스</t>
  </si>
  <si>
    <t>석유코크스(고체)</t>
  </si>
  <si>
    <t>정제 원료</t>
  </si>
  <si>
    <t>정제가스</t>
  </si>
  <si>
    <t>접착제(파라핀왁스)</t>
  </si>
  <si>
    <t>파라핀왁스</t>
  </si>
  <si>
    <t>백유</t>
  </si>
  <si>
    <t>용제</t>
  </si>
  <si>
    <t>기타석유제품</t>
  </si>
  <si>
    <t>재생유(WDF)</t>
  </si>
  <si>
    <t>B-A유 (경유70%+B-C유30%)</t>
  </si>
  <si>
    <t>B-A유</t>
  </si>
  <si>
    <t>B-B유 (경유30%+B-C유70%)</t>
  </si>
  <si>
    <t>B-B유</t>
  </si>
  <si>
    <t>Ⅱ. 석탄류</t>
  </si>
  <si>
    <t>무연탄</t>
  </si>
  <si>
    <t>국내/수입 무연탄</t>
  </si>
  <si>
    <t>점결탄 (Coking coal)</t>
  </si>
  <si>
    <t>원료용 유연탄</t>
  </si>
  <si>
    <t>기타 역청탄</t>
  </si>
  <si>
    <t>연료용 유연탄</t>
  </si>
  <si>
    <t>하위 유연탄 (Sub-Bituminous)</t>
  </si>
  <si>
    <t>아역청탄</t>
  </si>
  <si>
    <t>갈탄</t>
  </si>
  <si>
    <t>유혈암 및 역청암</t>
  </si>
  <si>
    <t>갈탄 연탄</t>
  </si>
  <si>
    <t>특허연료</t>
  </si>
  <si>
    <t>코크스로 코크스 (석탄)</t>
  </si>
  <si>
    <t>코크스(석탄)</t>
  </si>
  <si>
    <t>가스 코크스 (가스공장 코크스)</t>
  </si>
  <si>
    <t>가스공장 코크스</t>
  </si>
  <si>
    <t>콜타르</t>
  </si>
  <si>
    <t>Ⅲ. 가스류</t>
  </si>
  <si>
    <t>가스공장 가스 (부생가스)</t>
  </si>
  <si>
    <t>코크스로 가스</t>
  </si>
  <si>
    <t>코크스가스</t>
  </si>
  <si>
    <t>고로 가스</t>
  </si>
  <si>
    <t>고로가스</t>
  </si>
  <si>
    <t>산소 강철로 가스</t>
  </si>
  <si>
    <t>전로가스</t>
  </si>
  <si>
    <t>천연가스</t>
  </si>
  <si>
    <t>Ⅳ. 기타 화석연료</t>
  </si>
  <si>
    <t>도시 폐기물 (비-바이오매스)</t>
  </si>
  <si>
    <t>산업 폐기물</t>
  </si>
  <si>
    <t>토탄</t>
  </si>
  <si>
    <t>이탄</t>
  </si>
  <si>
    <t>Ⅴ. 바이오매스</t>
  </si>
  <si>
    <t>목재/목재 폐기물</t>
  </si>
  <si>
    <t>아황산염 잿물(흑액)</t>
  </si>
  <si>
    <t>기타 고체바이오매스</t>
  </si>
  <si>
    <t>목탄</t>
  </si>
  <si>
    <t>바이오 가솔린</t>
  </si>
  <si>
    <t>바이오 디젤</t>
  </si>
  <si>
    <t>기타 액체바이오연료</t>
  </si>
  <si>
    <t>매립지 가스</t>
  </si>
  <si>
    <t>슬러지 가스</t>
  </si>
  <si>
    <t>기타 바이오가스</t>
  </si>
  <si>
    <t>도시 폐기물 (바이오매스부분)</t>
  </si>
  <si>
    <t>※ [발열량] 총발열량=순발열량÷비율(고체0.97/액체0.94/기체0.91)  |  산업 폐기물 NCV: 기본값 없음(-)</t>
  </si>
  <si>
    <t>※ [배출계수] 에너지산업:코드35 | 제조·건설:05~33,38*,41~42 | 상업·공공:36~39,45~75,84~97 | 가정·기타:01~03,98 | B-A유:경유×0.7+B-C×0.3 | B-B유:경유×0.3+B-C×0.7 | 부생연료1호→기타등유, 2호→B-C유</t>
  </si>
  <si>
    <t>EG-TIPS 에너지열량 환산기준 연료 35종 총발열량·순발열량(MJ/kcal/toe)</t>
  </si>
  <si>
    <t>[통합출처] 온실가스_인벤토리_코드_정리본_이동연소_순발열량추가.xlsx · 시트 '⑥⑦⑧ 발열량·배출계수'</t>
  </si>
  <si>
    <t>에너지원</t>
  </si>
  <si>
    <t>총발열량
(MJ/단위)</t>
  </si>
  <si>
    <t>총발열량
(kcal/단위)</t>
  </si>
  <si>
    <t>총발열량
(10⁻³toe/단위)</t>
  </si>
  <si>
    <t>순발열량
(kcal/단위)</t>
  </si>
  <si>
    <t>순발열량
(10⁻³toe/단위)</t>
  </si>
  <si>
    <t>출처URL</t>
  </si>
  <si>
    <t>석유</t>
  </si>
  <si>
    <t>바이오디젤</t>
  </si>
  <si>
    <t>프로판(LPG1호)</t>
  </si>
  <si>
    <t>부탄(LPG3호)</t>
  </si>
  <si>
    <t>석유코크스</t>
  </si>
  <si>
    <t>부생연료유1호</t>
  </si>
  <si>
    <t>부생연료유2호</t>
  </si>
  <si>
    <t>가스</t>
  </si>
  <si>
    <t>Nm3</t>
  </si>
  <si>
    <t>석탄</t>
  </si>
  <si>
    <t>국내무연탄</t>
  </si>
  <si>
    <t>연료용 수입무연탄</t>
  </si>
  <si>
    <t>원료용 수입무연탄</t>
  </si>
  <si>
    <t>연료용 유연탄(역청탄)</t>
  </si>
  <si>
    <t>원료용 유연탄(역청탄)</t>
  </si>
  <si>
    <t>코크스</t>
  </si>
  <si>
    <t>전기</t>
  </si>
  <si>
    <t>전기(발전기준)</t>
  </si>
  <si>
    <t>전기(소비기준)</t>
  </si>
  <si>
    <t>신탄</t>
  </si>
  <si>
    <t xml:space="preserve">  ▶  【CO₂ 배출계수】 연료별 탄소 배출계수 (단위: t C/TJ)  →  CO2(tCO2) = 에너지(TJ) × CO2계수(tC/TJ) × 44/12</t>
  </si>
  <si>
    <t>계수명</t>
  </si>
  <si>
    <t>계수값
(t C/TJ)</t>
  </si>
  <si>
    <t>CO2배출계수</t>
  </si>
  <si>
    <t>t C/TJ</t>
  </si>
  <si>
    <t>항공유(JET-A1)</t>
  </si>
  <si>
    <t>부생연료유 1호</t>
  </si>
  <si>
    <t>부생연료유 2호</t>
  </si>
  <si>
    <t>수입무연탄(연료용)</t>
  </si>
  <si>
    <t>수입무연탄(원료용)</t>
  </si>
  <si>
    <t>유연탄(연료용)</t>
  </si>
  <si>
    <t>유연탄(원료용)</t>
  </si>
  <si>
    <t xml:space="preserve">  ▶  【CH₄·N₂O 배출계수】 연소설비·연료별 (단위: kgCH4/TJ, kgN2O/TJ)</t>
  </si>
  <si>
    <t>항목 (연료/설비)</t>
  </si>
  <si>
    <t>CH₄계수
(kgCH4/TJ)</t>
  </si>
  <si>
    <t>N₂O계수
(kgN2O/TJ)</t>
  </si>
  <si>
    <t>kgCH4/TJ, kgN2O/TJ</t>
  </si>
  <si>
    <t>연소설비</t>
  </si>
  <si>
    <t>유연탄미분탄연소보일러/벽면/건식</t>
  </si>
  <si>
    <t>유연탄미분탄연소보일러/벽면/습식</t>
  </si>
  <si>
    <t>유연탄미분탄연소보일러/코너/건식</t>
  </si>
  <si>
    <t>유연탄미분탄연소보일러/코너/습식</t>
  </si>
  <si>
    <t>유연탄유동층연소보일러/순환유동층</t>
  </si>
  <si>
    <t>무연탄유동층연소보일러/순환유동층</t>
  </si>
  <si>
    <t>무연탄유동층연소보일러/벽면/습식</t>
  </si>
  <si>
    <t>중유연소보일러/노말연소</t>
  </si>
  <si>
    <t>중유연소보일러/코너연소</t>
  </si>
  <si>
    <t>중유연소보일러/디젤엔진</t>
  </si>
  <si>
    <t>경유디젤엔진</t>
  </si>
  <si>
    <t>천연가스(LNG), 도시가스(LNG)</t>
  </si>
  <si>
    <t>가스보일러</t>
  </si>
  <si>
    <t>가스복합싸이클</t>
  </si>
  <si>
    <t>온실가스 24종 GWP. ※ SAR 기준(CH4=21, N2O=310) — 배출권거래제 명세서용. AR5/AR6 아님</t>
  </si>
  <si>
    <t>[통합출처] 온실가스_인벤토리_코드_정리본_이동연소_순발열량추가.xlsx · 시트 '④ GWP'</t>
  </si>
  <si>
    <t>온실가스코드</t>
  </si>
  <si>
    <t>온실가스명</t>
  </si>
  <si>
    <t>화학식</t>
  </si>
  <si>
    <t>GWP</t>
  </si>
  <si>
    <t>이산화탄소</t>
  </si>
  <si>
    <t>CO2</t>
  </si>
  <si>
    <t>2</t>
  </si>
  <si>
    <t>메탄</t>
  </si>
  <si>
    <t>CH4</t>
  </si>
  <si>
    <t>아산화질소</t>
  </si>
  <si>
    <t>N2O 2</t>
  </si>
  <si>
    <t>4</t>
  </si>
  <si>
    <t>HFC-23</t>
  </si>
  <si>
    <t>CHF 3</t>
  </si>
  <si>
    <t>5</t>
  </si>
  <si>
    <t>HFC-32</t>
  </si>
  <si>
    <t>CH F 2 2</t>
  </si>
  <si>
    <t>6</t>
  </si>
  <si>
    <t>HFC-41</t>
  </si>
  <si>
    <t>CH F 3</t>
  </si>
  <si>
    <t>7</t>
  </si>
  <si>
    <t>HCF-43-10mee</t>
  </si>
  <si>
    <t>C H F 5 2 10</t>
  </si>
  <si>
    <t>8</t>
  </si>
  <si>
    <t>HFC-125</t>
  </si>
  <si>
    <t>C HF 2 5</t>
  </si>
  <si>
    <t>9</t>
  </si>
  <si>
    <t>HFC-134</t>
  </si>
  <si>
    <t>C H F 2 2 4</t>
  </si>
  <si>
    <t>10</t>
  </si>
  <si>
    <t>HFC-134a</t>
  </si>
  <si>
    <t>CH FCF 2 3</t>
  </si>
  <si>
    <t>11</t>
  </si>
  <si>
    <t>HFC-152a</t>
  </si>
  <si>
    <t>C H F 2 4 2</t>
  </si>
  <si>
    <t>12</t>
  </si>
  <si>
    <t>HFC-143</t>
  </si>
  <si>
    <t>C H F 2 3 3</t>
  </si>
  <si>
    <t>13</t>
  </si>
  <si>
    <t>HFC-143a</t>
  </si>
  <si>
    <t>14</t>
  </si>
  <si>
    <t>HFC-227ea</t>
  </si>
  <si>
    <t>C HF 3 7</t>
  </si>
  <si>
    <t>15</t>
  </si>
  <si>
    <t>HFC-236fa</t>
  </si>
  <si>
    <t>C H F 3 2 6</t>
  </si>
  <si>
    <t>16</t>
  </si>
  <si>
    <t>HFC-245ca</t>
  </si>
  <si>
    <t>C H F 3 3 5</t>
  </si>
  <si>
    <t>17</t>
  </si>
  <si>
    <t>PFC-14</t>
  </si>
  <si>
    <t>CF 4</t>
  </si>
  <si>
    <t>18</t>
  </si>
  <si>
    <t>PFC-116</t>
  </si>
  <si>
    <t>C F 2 6</t>
  </si>
  <si>
    <t>19</t>
  </si>
  <si>
    <t>PFC-218</t>
  </si>
  <si>
    <t>C F 3 8</t>
  </si>
  <si>
    <t>20</t>
  </si>
  <si>
    <t>PFC-318</t>
  </si>
  <si>
    <t>c-C F 4 8</t>
  </si>
  <si>
    <t>21</t>
  </si>
  <si>
    <t>PFC-31-10</t>
  </si>
  <si>
    <t>C F 4 10</t>
  </si>
  <si>
    <t>22</t>
  </si>
  <si>
    <t>PFC-41-12</t>
  </si>
  <si>
    <t>C F 5 12</t>
  </si>
  <si>
    <t>23</t>
  </si>
  <si>
    <t>PFC-51-14</t>
  </si>
  <si>
    <t>C F 6 14</t>
  </si>
  <si>
    <t>24</t>
  </si>
  <si>
    <t>육불화황</t>
  </si>
  <si>
    <t>SF6</t>
  </si>
  <si>
    <t>활동자료명 -&gt; 발열량표/CO2계수표 에너지원 매핑키. 05의 EF 라벨 매칭에 사용 가능</t>
  </si>
  <si>
    <t>[통합출처] 온실가스_인벤토리_코드_정리본_이동연소_순발열량추가.xlsx · 시트 '⑪ 연료명매핑'</t>
  </si>
  <si>
    <t>활동자료명 / 사용자 입력명</t>
  </si>
  <si>
    <t>발열량표 에너지원</t>
  </si>
  <si>
    <t>CO₂계수표 에너지원</t>
  </si>
  <si>
    <t>가스/디젤 오일(경유)</t>
  </si>
  <si>
    <t>나프타(납사)</t>
  </si>
  <si>
    <t>백유(용제)</t>
  </si>
  <si>
    <t>제트용 등유(JET A-1, JP-8)</t>
  </si>
  <si>
    <t>석유코크(고체)</t>
  </si>
  <si>
    <t>부생연료 1호</t>
  </si>
  <si>
    <t>부생연료 2호</t>
  </si>
  <si>
    <t>프로판</t>
  </si>
  <si>
    <t>부탄</t>
  </si>
  <si>
    <t>수입무연탄(연료)</t>
  </si>
  <si>
    <t>수입무연탄(원료)</t>
  </si>
  <si>
    <t>하위 역청탄(아역청탄)</t>
  </si>
  <si>
    <t>—</t>
  </si>
  <si>
    <t>NGMS 명세서 배출활동 코드 51건. 출처: 법제처 명세서 [별지10]</t>
  </si>
  <si>
    <t>[통합출처] 온실가스_인벤토리_코드_정리본_이동연소_순발열량추가.xlsx · 시트 '① 배출활동코드'</t>
  </si>
  <si>
    <t>배출활동구분</t>
  </si>
  <si>
    <t>배출활동코드</t>
  </si>
  <si>
    <t>배출활동명</t>
  </si>
  <si>
    <t>고정연소</t>
  </si>
  <si>
    <t>1001</t>
  </si>
  <si>
    <t>고체연료연소</t>
  </si>
  <si>
    <t>https://www.law.go.kr/LSW/admRulLsInfoP.do?admRulId=2075025&amp;efYd=0#AJAX</t>
  </si>
  <si>
    <t>1002</t>
  </si>
  <si>
    <t>https://www.law.go.kr/LSW/admRulLsInfoP.do?admRulId=2075025&amp;efYd=1#AJAX</t>
  </si>
  <si>
    <t>1003</t>
  </si>
  <si>
    <t>https://www.law.go.kr/LSW/admRulLsInfoP.do?admRulId=2075025&amp;efYd=2#AJAX</t>
  </si>
  <si>
    <t>이동연소</t>
  </si>
  <si>
    <t>2001</t>
  </si>
  <si>
    <t>이동연소(항공)</t>
  </si>
  <si>
    <t>https://www.law.go.kr/LSW/admRulLsInfoP.do?admRulId=2075025&amp;efYd=3#AJAX</t>
  </si>
  <si>
    <t>2002</t>
  </si>
  <si>
    <t>이동연소(도로)</t>
  </si>
  <si>
    <t>https://www.law.go.kr/LSW/admRulLsInfoP.do?admRulId=2075025&amp;efYd=4#AJAX</t>
  </si>
  <si>
    <t>2003</t>
  </si>
  <si>
    <t>이동연소(철도)</t>
  </si>
  <si>
    <t>https://www.law.go.kr/LSW/admRulLsInfoP.do?admRulId=2075025&amp;efYd=5#AJAX</t>
  </si>
  <si>
    <t>2004</t>
  </si>
  <si>
    <t>이동연소(선박)</t>
  </si>
  <si>
    <t>https://www.law.go.kr/LSW/admRulLsInfoP.do?admRulId=2075025&amp;efYd=6#AJAX</t>
  </si>
  <si>
    <t>탈루배출</t>
  </si>
  <si>
    <t>3001</t>
  </si>
  <si>
    <t>석탄의 채굴</t>
  </si>
  <si>
    <t>https://www.law.go.kr/LSW/admRulLsInfoP.do?admRulId=2075025&amp;efYd=7#AJAX</t>
  </si>
  <si>
    <t>3002</t>
  </si>
  <si>
    <t>석탄의 처리 및 저장</t>
  </si>
  <si>
    <t>https://www.law.go.kr/LSW/admRulLsInfoP.do?admRulId=2075025&amp;efYd=8#AJAX</t>
  </si>
  <si>
    <t>3003</t>
  </si>
  <si>
    <t>천연가스 시스템</t>
  </si>
  <si>
    <t>https://www.law.go.kr/LSW/admRulLsInfoP.do?admRulId=2075025&amp;efYd=9#AJAX</t>
  </si>
  <si>
    <t>3004</t>
  </si>
  <si>
    <t>원유(석유) 시스템</t>
  </si>
  <si>
    <t>https://www.law.go.kr/LSW/admRulLsInfoP.do?admRulId=2075025&amp;efYd=10#AJAX</t>
  </si>
  <si>
    <t>광물산업</t>
  </si>
  <si>
    <t>4001</t>
  </si>
  <si>
    <t>시멘트 생산</t>
  </si>
  <si>
    <t>https://www.law.go.kr/LSW/admRulLsInfoP.do?admRulId=2075025&amp;efYd=11#AJAX</t>
  </si>
  <si>
    <t>4002</t>
  </si>
  <si>
    <t>석회 생산</t>
  </si>
  <si>
    <t>https://www.law.go.kr/LSW/admRulLsInfoP.do?admRulId=2075025&amp;efYd=12#AJAX</t>
  </si>
  <si>
    <t>4003</t>
  </si>
  <si>
    <t>탄산염의 기타 공정사용</t>
  </si>
  <si>
    <t>https://www.law.go.kr/LSW/admRulLsInfoP.do?admRulId=2075025&amp;efYd=13#AJAX</t>
  </si>
  <si>
    <t>4004</t>
  </si>
  <si>
    <t>인산 생산</t>
  </si>
  <si>
    <t>https://www.law.go.kr/LSW/admRulLsInfoP.do?admRulId=2075025&amp;efYd=14#AJAX</t>
  </si>
  <si>
    <t>4005</t>
  </si>
  <si>
    <t>유리 생산</t>
  </si>
  <si>
    <t>https://www.law.go.kr/LSW/admRulLsInfoP.do?admRulId=2075025&amp;efYd=15#AJAX</t>
  </si>
  <si>
    <t>석유정제</t>
  </si>
  <si>
    <t>4011</t>
  </si>
  <si>
    <t>석유정제활동(수소제조)</t>
  </si>
  <si>
    <t>https://www.law.go.kr/LSW/admRulLsInfoP.do?admRulId=2075025&amp;efYd=16#AJAX</t>
  </si>
  <si>
    <t>4012</t>
  </si>
  <si>
    <t>석유정제활동(촉매재생)</t>
  </si>
  <si>
    <t>https://www.law.go.kr/LSW/admRulLsInfoP.do?admRulId=2075025&amp;efYd=17#AJAX</t>
  </si>
  <si>
    <t>4013</t>
  </si>
  <si>
    <t>석유정제활동(코크스제조)</t>
  </si>
  <si>
    <t>https://www.law.go.kr/LSW/admRulLsInfoP.do?admRulId=2075025&amp;efYd=18#AJAX</t>
  </si>
  <si>
    <t>화학산업</t>
  </si>
  <si>
    <t>4014</t>
  </si>
  <si>
    <t>암모니아 생산</t>
  </si>
  <si>
    <t>https://www.law.go.kr/LSW/admRulLsInfoP.do?admRulId=2075025&amp;efYd=19#AJAX</t>
  </si>
  <si>
    <t>4015</t>
  </si>
  <si>
    <t>질산 생산</t>
  </si>
  <si>
    <t>https://www.law.go.kr/LSW/admRulLsInfoP.do?admRulId=2075025&amp;efYd=20#AJAX</t>
  </si>
  <si>
    <t>4016</t>
  </si>
  <si>
    <t>아디프산 생산</t>
  </si>
  <si>
    <t>https://www.law.go.kr/LSW/admRulLsInfoP.do?admRulId=2075025&amp;efYd=21#AJAX</t>
  </si>
  <si>
    <t>4017</t>
  </si>
  <si>
    <t>카바이드 생산</t>
  </si>
  <si>
    <t>https://www.law.go.kr/LSW/admRulLsInfoP.do?admRulId=2075025&amp;efYd=22#AJAX</t>
  </si>
  <si>
    <t>4018</t>
  </si>
  <si>
    <t>소다회 생산</t>
  </si>
  <si>
    <t>https://www.law.go.kr/LSW/admRulLsInfoP.do?admRulId=2075025&amp;efYd=23#AJAX</t>
  </si>
  <si>
    <t>4019</t>
  </si>
  <si>
    <t>석유화학제품생산</t>
  </si>
  <si>
    <t>https://www.law.go.kr/LSW/admRulLsInfoP.do?admRulId=2075025&amp;efYd=24#AJAX</t>
  </si>
  <si>
    <t>4020</t>
  </si>
  <si>
    <t>불소화합물생산(HCFC-22 생산)</t>
  </si>
  <si>
    <t>https://www.law.go.kr/LSW/admRulLsInfoP.do?admRulId=2075025&amp;efYd=25#AJAX</t>
  </si>
  <si>
    <t>4031</t>
  </si>
  <si>
    <t>이산화티탄 생산</t>
  </si>
  <si>
    <t>https://www.law.go.kr/LSW/admRulLsInfoP.do?admRulId=2075025&amp;efYd=35#AJAX</t>
  </si>
  <si>
    <t>4032</t>
  </si>
  <si>
    <t>카프로락탐 생산</t>
  </si>
  <si>
    <t>https://www.law.go.kr/LSW/admRulLsInfoP.do?admRulId=2075025&amp;efYd=36#AJAX</t>
  </si>
  <si>
    <t>4034</t>
  </si>
  <si>
    <t>코크스 제거공정(De-coking)</t>
  </si>
  <si>
    <t>https://www.law.go.kr/LSW/admRulLsInfoP.do?admRulId=2075025&amp;efYd=37#AJAX</t>
  </si>
  <si>
    <t>금속산업</t>
  </si>
  <si>
    <t>4021</t>
  </si>
  <si>
    <t>철강생산</t>
  </si>
  <si>
    <t>https://www.law.go.kr/LSW/admRulLsInfoP.do?admRulId=2075025&amp;efYd=26#AJAX</t>
  </si>
  <si>
    <t>4022</t>
  </si>
  <si>
    <t>합금철 생산</t>
  </si>
  <si>
    <t>https://www.law.go.kr/LSW/admRulLsInfoP.do?admRulId=2075025&amp;efYd=27#AJAX</t>
  </si>
  <si>
    <t>4023</t>
  </si>
  <si>
    <t>아연생산</t>
  </si>
  <si>
    <t>https://www.law.go.kr/LSW/admRulLsInfoP.do?admRulId=2075025&amp;efYd=28#AJAX</t>
  </si>
  <si>
    <t>4024</t>
  </si>
  <si>
    <t>납생산</t>
  </si>
  <si>
    <t>https://www.law.go.kr/LSW/admRulLsInfoP.do?admRulId=2075025&amp;efYd=29#AJAX</t>
  </si>
  <si>
    <t>4098</t>
  </si>
  <si>
    <t>마그네슘 생산</t>
  </si>
  <si>
    <t>https://www.law.go.kr/LSW/admRulLsInfoP.do?admRulId=2075025&amp;efYd=39#AJAX</t>
  </si>
  <si>
    <t>전자산업</t>
  </si>
  <si>
    <t>4025</t>
  </si>
  <si>
    <t>전자산업(반도체)</t>
  </si>
  <si>
    <t>https://www.law.go.kr/LSW/admRulLsInfoP.do?admRulId=2075025&amp;efYd=30#AJAX</t>
  </si>
  <si>
    <t>4026</t>
  </si>
  <si>
    <t>전자산업(디스플레이)</t>
  </si>
  <si>
    <t>https://www.law.go.kr/LSW/admRulLsInfoP.do?admRulId=2075025&amp;efYd=31#AJAX</t>
  </si>
  <si>
    <t>4027</t>
  </si>
  <si>
    <t>전자산업(광전지)</t>
  </si>
  <si>
    <t>https://www.law.go.kr/LSW/admRulLsInfoP.do?admRulId=2075025&amp;efYd=32#AJAX</t>
  </si>
  <si>
    <t>오존층</t>
  </si>
  <si>
    <t>4029</t>
  </si>
  <si>
    <t>오존층파괴물질의 대체물질 사용</t>
  </si>
  <si>
    <t>https://www.law.go.kr/LSW/admRulLsInfoP.do?admRulId=2075025&amp;efYd=33#AJAX</t>
  </si>
  <si>
    <t>4030</t>
  </si>
  <si>
    <t>오존층파괴물질의 대체물질 사용(전기설비)</t>
  </si>
  <si>
    <t>https://www.law.go.kr/LSW/admRulLsInfoP.do?admRulId=2075025&amp;efYd=34#AJAX</t>
  </si>
  <si>
    <t>폐기물의 처리</t>
  </si>
  <si>
    <t>5001</t>
  </si>
  <si>
    <t>고형폐기물의 매립</t>
  </si>
  <si>
    <t>https://www.law.go.kr/LSW/admRulLsInfoP.do?admRulId=2075025&amp;efYd=41#AJAX</t>
  </si>
  <si>
    <t>5002</t>
  </si>
  <si>
    <t>고형폐기물의 생물학적처리</t>
  </si>
  <si>
    <t>https://www.law.go.kr/LSW/admRulLsInfoP.do?admRulId=2075025&amp;efYd=42#AJAX</t>
  </si>
  <si>
    <t>5003</t>
  </si>
  <si>
    <t>하수처리 및 배출</t>
  </si>
  <si>
    <t>https://www.law.go.kr/LSW/admRulLsInfoP.do?admRulId=2075025&amp;efYd=43#AJAX</t>
  </si>
  <si>
    <t>5004</t>
  </si>
  <si>
    <t>폐수처리 및 배출</t>
  </si>
  <si>
    <t>https://www.law.go.kr/LSW/admRulLsInfoP.do?admRulId=2075025&amp;efYd=44#AJAX</t>
  </si>
  <si>
    <t>5005</t>
  </si>
  <si>
    <t>폐기물의 소각</t>
  </si>
  <si>
    <t>https://www.law.go.kr/LSW/admRulLsInfoP.do?admRulId=2075025&amp;efYd=45#AJAX</t>
  </si>
  <si>
    <t>간접배출</t>
  </si>
  <si>
    <t>6001</t>
  </si>
  <si>
    <t>https://www.law.go.kr/LSW/admRulLsInfoP.do?admRulId=2075025&amp;efYd=46#AJAX</t>
  </si>
  <si>
    <t>6002</t>
  </si>
  <si>
    <t>https://www.law.go.kr/LSW/admRulLsInfoP.do?admRulId=2075025&amp;efYd=47#AJAX</t>
  </si>
  <si>
    <t>기타배출</t>
  </si>
  <si>
    <t>7001</t>
  </si>
  <si>
    <t>기타 온실가스 배출</t>
  </si>
  <si>
    <t>https://www.law.go.kr/LSW/admRulLsInfoP.do?admRulId=2075025&amp;efYd=48#AJAX</t>
  </si>
  <si>
    <t>7002</t>
  </si>
  <si>
    <t>기타 온실가스 사용</t>
  </si>
  <si>
    <t>https://www.law.go.kr/LSW/admRulLsInfoP.do?admRulId=2075025&amp;efYd=49#AJAX</t>
  </si>
  <si>
    <t>7003</t>
  </si>
  <si>
    <t>이산화탄소 포집 및 이동</t>
  </si>
  <si>
    <t>https://www.law.go.kr/LSW/admRulLsInfoP.do?admRulId=2075025&amp;efYd=50#AJAX</t>
  </si>
  <si>
    <t>4050</t>
  </si>
  <si>
    <t>연료전지</t>
  </si>
  <si>
    <t>https://www.law.go.kr/LSW/admRulLsInfoP.do?admRulId=2075025&amp;efYd=38#AJAX</t>
  </si>
  <si>
    <t>4099</t>
  </si>
  <si>
    <t>기타 공정배출</t>
  </si>
  <si>
    <t>https://www.law.go.kr/LSW/admRulLsInfoP.do?admRulId=2075025&amp;efYd=40#AJAX</t>
  </si>
  <si>
    <t>NGMS 명세서 배출시설 코드 110건. 출처: 법제처 명세서 [참고2]</t>
  </si>
  <si>
    <t>[통합출처] 온실가스_인벤토리_코드_정리본_이동연소_순발열량추가.xlsx · 시트 '② 배출시설코드'</t>
  </si>
  <si>
    <t>배출시설구분</t>
  </si>
  <si>
    <t>배출시설코드</t>
  </si>
  <si>
    <t>배출시설명</t>
  </si>
  <si>
    <t>0005</t>
  </si>
  <si>
    <t>공정 연소시설</t>
  </si>
  <si>
    <t>https://www.law.go.kr/LSW/admRulLsInfoP.do?admRulId=2075025&amp;efYd=137#AJAX</t>
  </si>
  <si>
    <t>0021</t>
  </si>
  <si>
    <t>발전용 내연기관</t>
  </si>
  <si>
    <t>https://www.law.go.kr/LSW/admRulLsInfoP.do?admRulId=2075025&amp;efYd=138#AJAX</t>
  </si>
  <si>
    <t>0048</t>
  </si>
  <si>
    <t>열병합 발전시설</t>
  </si>
  <si>
    <t>https://www.law.go.kr/LSW/admRulLsInfoP.do?admRulId=2075025&amp;efYd=139#AJAX</t>
  </si>
  <si>
    <t>0055</t>
  </si>
  <si>
    <t>일반 보일러시설</t>
  </si>
  <si>
    <t>https://www.law.go.kr/LSW/admRulLsInfoP.do?admRulId=2075025&amp;efYd=140#AJAX</t>
  </si>
  <si>
    <t>0082</t>
  </si>
  <si>
    <t>화력 발전시설</t>
  </si>
  <si>
    <t>https://www.law.go.kr/LSW/admRulLsInfoP.do?admRulId=2075025&amp;efYd=141#AJAX</t>
  </si>
  <si>
    <t>0119</t>
  </si>
  <si>
    <t>고형연료제품 사용시설</t>
  </si>
  <si>
    <t>https://www.law.go.kr/LSW/admRulLsInfoP.do?admRulId=2075025&amp;efYd=142#AJAX</t>
  </si>
  <si>
    <t>0003</t>
  </si>
  <si>
    <t>고속차량(철도)</t>
  </si>
  <si>
    <t>https://www.law.go.kr/LSW/admRulLsInfoP.do?admRulId=2075025&amp;efYd=143#AJAX</t>
  </si>
  <si>
    <t>0010</t>
  </si>
  <si>
    <t>기타 선박</t>
  </si>
  <si>
    <t>https://www.law.go.kr/LSW/admRulLsInfoP.do?admRulId=2075025&amp;efYd=144#AJAX</t>
  </si>
  <si>
    <t>0011</t>
  </si>
  <si>
    <t>기타 자동차(비도로)</t>
  </si>
  <si>
    <t>https://www.law.go.kr/LSW/admRulLsInfoP.do?admRulId=2075025&amp;efYd=145#AJAX</t>
  </si>
  <si>
    <t>0016</t>
  </si>
  <si>
    <t>디젤기관차</t>
  </si>
  <si>
    <t>https://www.law.go.kr/LSW/admRulLsInfoP.do?admRulId=2075025&amp;efYd=146#AJAX</t>
  </si>
  <si>
    <t>0017</t>
  </si>
  <si>
    <t>디젤동차</t>
  </si>
  <si>
    <t>https://www.law.go.kr/LSW/admRulLsInfoP.do?admRulId=2075025&amp;efYd=147#AJAX</t>
  </si>
  <si>
    <t>0020</t>
  </si>
  <si>
    <t>민간항공기(국내 운항)</t>
  </si>
  <si>
    <t>https://www.law.go.kr/LSW/admRulLsInfoP.do?admRulId=2075025&amp;efYd=148#AJAX</t>
  </si>
  <si>
    <t>0028</t>
  </si>
  <si>
    <t>비도로 및 기타 자동차</t>
  </si>
  <si>
    <t>https://www.law.go.kr/LSW/admRulLsInfoP.do?admRulId=2075025&amp;efYd=149#AJAX</t>
  </si>
  <si>
    <t>0037</t>
  </si>
  <si>
    <t>승용 자동차</t>
  </si>
  <si>
    <t>https://www.law.go.kr/LSW/admRulLsInfoP.do?admRulId=2075025&amp;efYd=150#AJAX</t>
  </si>
  <si>
    <t>0038</t>
  </si>
  <si>
    <t>승합 자동차</t>
  </si>
  <si>
    <t>https://www.law.go.kr/LSW/admRulLsInfoP.do?admRulId=2075025&amp;efYd=151#AJAX</t>
  </si>
  <si>
    <t>0045</t>
  </si>
  <si>
    <t>어선</t>
  </si>
  <si>
    <t>https://www.law.go.kr/LSW/admRulLsInfoP.do?admRulId=2075025&amp;efYd=152#AJAX</t>
  </si>
  <si>
    <t>0053</t>
  </si>
  <si>
    <t>이륜 자동차</t>
  </si>
  <si>
    <t>https://www.law.go.kr/LSW/admRulLsInfoP.do?admRulId=2075025&amp;efYd=153#AJAX</t>
  </si>
  <si>
    <t>0058</t>
  </si>
  <si>
    <t>전기기관차</t>
  </si>
  <si>
    <t>https://www.law.go.kr/LSW/admRulLsInfoP.do?admRulId=2075025&amp;efYd=154#AJAX</t>
  </si>
  <si>
    <t>0059</t>
  </si>
  <si>
    <t>전기동차</t>
  </si>
  <si>
    <t>https://www.law.go.kr/LSW/admRulLsInfoP.do?admRulId=2075025&amp;efYd=155#AJAX</t>
  </si>
  <si>
    <t>0074</t>
  </si>
  <si>
    <t>특수 자동차</t>
  </si>
  <si>
    <t>https://www.law.go.kr/LSW/admRulLsInfoP.do?admRulId=2075025&amp;efYd=156#AJAX</t>
  </si>
  <si>
    <t>0075</t>
  </si>
  <si>
    <t>특수차량</t>
  </si>
  <si>
    <t>https://www.law.go.kr/LSW/admRulLsInfoP.do?admRulId=2075025&amp;efYd=157#AJAX</t>
  </si>
  <si>
    <t>0083</t>
  </si>
  <si>
    <t>화물 자동차</t>
  </si>
  <si>
    <t>https://www.law.go.kr/LSW/admRulLsInfoP.do?admRulId=2075025&amp;efYd=158#AJAX</t>
  </si>
  <si>
    <t>0086</t>
  </si>
  <si>
    <t>철도수송시설</t>
  </si>
  <si>
    <t>https://www.law.go.kr/LSW/admRulLsInfoP.do?admRulId=2075025&amp;efYd=159#AJAX</t>
  </si>
  <si>
    <t>0100</t>
  </si>
  <si>
    <t>기타 항공기(국내 운항)</t>
  </si>
  <si>
    <t>https://www.law.go.kr/LSW/admRulLsInfoP.do?admRulId=2075025&amp;efYd=160#AJAX</t>
  </si>
  <si>
    <t>0101</t>
  </si>
  <si>
    <t>기타 항공기(시운전)</t>
  </si>
  <si>
    <t>https://www.law.go.kr/LSW/admRulLsInfoP.do?admRulId=2075025&amp;efYd=161#AJAX</t>
  </si>
  <si>
    <t>0102</t>
  </si>
  <si>
    <t>기타 항공기(헬리콥터)</t>
  </si>
  <si>
    <t>https://www.law.go.kr/LSW/admRulLsInfoP.do?admRulId=2075025&amp;efYd=162#AJAX</t>
  </si>
  <si>
    <t>0110</t>
  </si>
  <si>
    <t>여객선</t>
  </si>
  <si>
    <t>https://www.law.go.kr/LSW/admRulLsInfoP.do?admRulId=2075025&amp;efYd=163#AJAX</t>
  </si>
  <si>
    <t>0111</t>
  </si>
  <si>
    <t>화물선</t>
  </si>
  <si>
    <t>https://www.law.go.kr/LSW/admRulLsInfoP.do?admRulId=2075025&amp;efYd=164#AJAX</t>
  </si>
  <si>
    <t>0024</t>
  </si>
  <si>
    <t>배연탈황시설</t>
  </si>
  <si>
    <t>https://www.law.go.kr/LSW/admRulLsInfoP.do?admRulId=2075025&amp;efYd=165#AJAX</t>
  </si>
  <si>
    <t>0033</t>
  </si>
  <si>
    <t>소성시설(kiln)</t>
  </si>
  <si>
    <t>https://www.law.go.kr/LSW/admRulLsInfoP.do?admRulId=2075025&amp;efYd=166#AJAX</t>
  </si>
  <si>
    <t>0044</t>
  </si>
  <si>
    <t>약품회수시설</t>
  </si>
  <si>
    <t>https://www.law.go.kr/LSW/admRulLsInfoP.do?admRulId=2075025&amp;efYd=167#AJAX</t>
  </si>
  <si>
    <t>0052</t>
  </si>
  <si>
    <t>용융ㆍ용해시설</t>
  </si>
  <si>
    <t>https://www.law.go.kr/LSW/admRulLsInfoP.do?admRulId=2075025&amp;efYd=168#AJAX</t>
  </si>
  <si>
    <t>0036</t>
  </si>
  <si>
    <t>수소제조 공정</t>
  </si>
  <si>
    <t>https://www.law.go.kr/LSW/admRulLsInfoP.do?admRulId=2075025&amp;efYd=169#AJAX</t>
  </si>
  <si>
    <t>0068</t>
  </si>
  <si>
    <t>촉매재생공정</t>
  </si>
  <si>
    <t>https://www.law.go.kr/LSW/admRulLsInfoP.do?admRulId=2075025&amp;efYd=170#AJAX</t>
  </si>
  <si>
    <t>0072</t>
  </si>
  <si>
    <t>코크스 제조 공정</t>
  </si>
  <si>
    <t>https://www.law.go.kr/LSW/admRulLsInfoP.do?admRulId=2075025&amp;efYd=171#AJAX</t>
  </si>
  <si>
    <t>0103</t>
  </si>
  <si>
    <t>인산생산시설</t>
  </si>
  <si>
    <t>https://www.law.go.kr/LSW/admRulLsInfoP.do?admRulId=2075025&amp;efYd=172#AJAX</t>
  </si>
  <si>
    <t>0001</t>
  </si>
  <si>
    <t>개질공정</t>
  </si>
  <si>
    <t>https://www.law.go.kr/LSW/admRulLsInfoP.do?admRulId=2075025&amp;efYd=173#AJAX</t>
  </si>
  <si>
    <t>0009</t>
  </si>
  <si>
    <t>기타 불소화합물 생산 공정</t>
  </si>
  <si>
    <t>https://www.law.go.kr/LSW/admRulLsInfoP.do?admRulId=2075025&amp;efYd=174#AJAX</t>
  </si>
  <si>
    <t>0018</t>
  </si>
  <si>
    <t>메탄올 생산 공정</t>
  </si>
  <si>
    <t>https://www.law.go.kr/LSW/admRulLsInfoP.do?admRulId=2075025&amp;efYd=175#AJAX</t>
  </si>
  <si>
    <t>0019</t>
  </si>
  <si>
    <t>메탄화 공정</t>
  </si>
  <si>
    <t>https://www.law.go.kr/LSW/admRulLsInfoP.do?admRulId=2075025&amp;efYd=176#AJAX</t>
  </si>
  <si>
    <t>0025</t>
  </si>
  <si>
    <t>변성공정</t>
  </si>
  <si>
    <t>https://www.law.go.kr/LSW/admRulLsInfoP.do?admRulId=2075025&amp;efYd=177#AJAX</t>
  </si>
  <si>
    <t>0027</t>
  </si>
  <si>
    <t>비닐 클로라이드 모노머 생산 공 정</t>
  </si>
  <si>
    <t>https://www.law.go.kr/LSW/admRulLsInfoP.do?admRulId=2075025&amp;efYd=178#AJAX</t>
  </si>
  <si>
    <t>0040</t>
  </si>
  <si>
    <t>아디프산 생산 시설</t>
  </si>
  <si>
    <t>https://www.law.go.kr/LSW/admRulLsInfoP.do?admRulId=2075025&amp;efYd=179#AJAX</t>
  </si>
  <si>
    <t>0042</t>
  </si>
  <si>
    <t>아크릴로니트릴 생산 공정</t>
  </si>
  <si>
    <t>https://www.law.go.kr/LSW/admRulLsInfoP.do?admRulId=2075025&amp;efYd=180#AJAX</t>
  </si>
  <si>
    <t>0043</t>
  </si>
  <si>
    <t>암모니아 소다회 제조시설</t>
  </si>
  <si>
    <t>https://www.law.go.kr/LSW/admRulLsInfoP.do?admRulId=2075025&amp;efYd=181#AJAX</t>
  </si>
  <si>
    <t>0047</t>
  </si>
  <si>
    <t>에틸렌 옥사이드 생산 공정</t>
  </si>
  <si>
    <t>https://www.law.go.kr/LSW/admRulLsInfoP.do?admRulId=2075025&amp;efYd=182#AJAX</t>
  </si>
  <si>
    <t>0049</t>
  </si>
  <si>
    <t>염화비닐 모노머 생산 공정</t>
  </si>
  <si>
    <t>https://www.law.go.kr/LSW/admRulLsInfoP.do?admRulId=2075025&amp;efYd=183#AJAX</t>
  </si>
  <si>
    <t>0065</t>
  </si>
  <si>
    <t>질산 제조 시설</t>
  </si>
  <si>
    <t>https://www.law.go.kr/LSW/admRulLsInfoP.do?admRulId=2075025&amp;efYd=184#AJAX</t>
  </si>
  <si>
    <t>0067</t>
  </si>
  <si>
    <t>천연 소다회 생산 공정</t>
  </si>
  <si>
    <t>https://www.law.go.kr/LSW/admRulLsInfoP.do?admRulId=2075025&amp;efYd=185#AJAX</t>
  </si>
  <si>
    <t>0070</t>
  </si>
  <si>
    <t>카본블랙 생산 시설</t>
  </si>
  <si>
    <t>https://www.law.go.kr/LSW/admRulLsInfoP.do?admRulId=2075025&amp;efYd=186#AJAX</t>
  </si>
  <si>
    <t>0071</t>
  </si>
  <si>
    <t>칼슘 카바이드 제조 시설</t>
  </si>
  <si>
    <t>https://www.law.go.kr/LSW/admRulLsInfoP.do?admRulId=2075025&amp;efYd=187#AJAX</t>
  </si>
  <si>
    <t>0084</t>
  </si>
  <si>
    <t>CO 제거 및 회수공정 2</t>
  </si>
  <si>
    <t>https://www.law.go.kr/LSW/admRulLsInfoP.do?admRulId=2075025&amp;efYd=188#AJAX</t>
  </si>
  <si>
    <t>0085</t>
  </si>
  <si>
    <t>HCFC-22 생산 공정</t>
  </si>
  <si>
    <t>https://www.law.go.kr/LSW/admRulLsInfoP.do?admRulId=2075025&amp;efYd=189#AJAX</t>
  </si>
  <si>
    <t>0104</t>
  </si>
  <si>
    <t>암모니아 생산시설</t>
  </si>
  <si>
    <t>https://www.law.go.kr/LSW/admRulLsInfoP.do?admRulId=2075025&amp;efYd=190#AJAX</t>
  </si>
  <si>
    <t>0107</t>
  </si>
  <si>
    <t>테레프탈산(TPA) 생산시설</t>
  </si>
  <si>
    <t>https://www.law.go.kr/LSW/admRulLsInfoP.do?admRulId=2075025&amp;efYd=191#AJAX</t>
  </si>
  <si>
    <t>0118</t>
  </si>
  <si>
    <t>https://www.law.go.kr/LSW/admRulLsInfoP.do?admRulId=2075025&amp;efYd=192#AJAX</t>
  </si>
  <si>
    <t>0023</t>
  </si>
  <si>
    <t>배소로</t>
  </si>
  <si>
    <t>https://www.law.go.kr/LSW/admRulLsInfoP.do?admRulId=2075025&amp;efYd=193#AJAX</t>
  </si>
  <si>
    <t>0032</t>
  </si>
  <si>
    <t>소결로</t>
  </si>
  <si>
    <t>https://www.law.go.kr/LSW/admRulLsInfoP.do?admRulId=2075025&amp;efYd=194#AJAX</t>
  </si>
  <si>
    <t>0041</t>
  </si>
  <si>
    <t>아연제련공정</t>
  </si>
  <si>
    <t>https://www.law.go.kr/LSW/admRulLsInfoP.do?admRulId=2075025&amp;efYd=195#AJAX</t>
  </si>
  <si>
    <t>0051</t>
  </si>
  <si>
    <t>용선로 또는 제선로</t>
  </si>
  <si>
    <t>https://www.law.go.kr/LSW/admRulLsInfoP.do?admRulId=2075025&amp;efYd=196#AJAX</t>
  </si>
  <si>
    <t>0054</t>
  </si>
  <si>
    <t>일관제철 공정</t>
  </si>
  <si>
    <t>https://www.law.go.kr/LSW/admRulLsInfoP.do?admRulId=2075025&amp;efYd=197#AJAX</t>
  </si>
  <si>
    <t>0060</t>
  </si>
  <si>
    <t>전기로</t>
  </si>
  <si>
    <t>https://www.law.go.kr/LSW/admRulLsInfoP.do?admRulId=2075025&amp;efYd=198#AJAX</t>
  </si>
  <si>
    <t>0061</t>
  </si>
  <si>
    <t>전로</t>
  </si>
  <si>
    <t>https://www.law.go.kr/LSW/admRulLsInfoP.do?admRulId=2075025&amp;efYd=199#AJAX</t>
  </si>
  <si>
    <t>0062</t>
  </si>
  <si>
    <t>전해로</t>
  </si>
  <si>
    <t>https://www.law.go.kr/LSW/admRulLsInfoP.do?admRulId=2075025&amp;efYd=200#AJAX</t>
  </si>
  <si>
    <t>0073</t>
  </si>
  <si>
    <t>코크스로</t>
  </si>
  <si>
    <t>https://www.law.go.kr/LSW/admRulLsInfoP.do?admRulId=2075025&amp;efYd=201#AJAX</t>
  </si>
  <si>
    <t>0077</t>
  </si>
  <si>
    <t>평로</t>
  </si>
  <si>
    <t>https://www.law.go.kr/LSW/admRulLsInfoP.do?admRulId=2075025&amp;efYd=202#AJAX</t>
  </si>
  <si>
    <t>0105</t>
  </si>
  <si>
    <t>마그네슘 제련시설</t>
  </si>
  <si>
    <t>https://www.law.go.kr/LSW/admRulLsInfoP.do?admRulId=2075025&amp;efYd=203#AJAX</t>
  </si>
  <si>
    <t>0039</t>
  </si>
  <si>
    <t>식각시설</t>
  </si>
  <si>
    <t>https://www.law.go.kr/LSW/admRulLsInfoP.do?admRulId=2075025&amp;efYd=204#AJAX</t>
  </si>
  <si>
    <t>0064</t>
  </si>
  <si>
    <t>증착시설</t>
  </si>
  <si>
    <t>https://www.law.go.kr/LSW/admRulLsInfoP.do?admRulId=2075025&amp;efYd=205#AJAX</t>
  </si>
  <si>
    <t>0004</t>
  </si>
  <si>
    <t>공공하수처리시설</t>
  </si>
  <si>
    <t>https://www.law.go.kr/LSW/admRulLsInfoP.do?admRulId=2075025&amp;efYd=206#AJAX</t>
  </si>
  <si>
    <t>0006</t>
  </si>
  <si>
    <t>관리형매립시설</t>
  </si>
  <si>
    <t>https://www.law.go.kr/LSW/admRulLsInfoP.do?admRulId=2075025&amp;efYd=207#AJAX</t>
  </si>
  <si>
    <t>0013</t>
  </si>
  <si>
    <t>기타 하ㆍ폐수 처리시설</t>
  </si>
  <si>
    <t>https://www.law.go.kr/LSW/admRulLsInfoP.do?admRulId=2075025&amp;efYd=208#AJAX</t>
  </si>
  <si>
    <t>0015</t>
  </si>
  <si>
    <t>대기오염물질 방지시설</t>
  </si>
  <si>
    <t>https://www.law.go.kr/LSW/admRulLsInfoP.do?admRulId=2075025&amp;efYd=209#AJAX</t>
  </si>
  <si>
    <t>0026</t>
  </si>
  <si>
    <t>분뇨처리시설</t>
  </si>
  <si>
    <t>https://www.law.go.kr/LSW/admRulLsInfoP.do?admRulId=2075025&amp;efYd=210#AJAX</t>
  </si>
  <si>
    <t>0030</t>
  </si>
  <si>
    <t>사료화ㆍ퇴비화ㆍ소멸화ㆍ부숙토생 산 시설</t>
  </si>
  <si>
    <t>https://www.law.go.kr/LSW/admRulLsInfoP.do?admRulId=2075025&amp;efYd=211#AJAX</t>
  </si>
  <si>
    <t>0031</t>
  </si>
  <si>
    <t>소각보일러</t>
  </si>
  <si>
    <t>https://www.law.go.kr/LSW/admRulLsInfoP.do?admRulId=2075025&amp;efYd=212#AJAX</t>
  </si>
  <si>
    <t>0056</t>
  </si>
  <si>
    <t>생활폐기물 소각시설</t>
  </si>
  <si>
    <t>https://www.law.go.kr/LSW/admRulLsInfoP.do?admRulId=2075025&amp;efYd=213#AJAX</t>
  </si>
  <si>
    <t>0057</t>
  </si>
  <si>
    <t>의료폐기물 소각시설</t>
  </si>
  <si>
    <t>https://www.law.go.kr/LSW/admRulLsInfoP.do?admRulId=2075025&amp;efYd=214#AJAX</t>
  </si>
  <si>
    <t>0066</t>
  </si>
  <si>
    <t>차단형 매립시설</t>
  </si>
  <si>
    <t>https://www.law.go.kr/LSW/admRulLsInfoP.do?admRulId=2075025&amp;efYd=215#AJAX</t>
  </si>
  <si>
    <t>0069</t>
  </si>
  <si>
    <t>가축분뇨공공처리시설</t>
  </si>
  <si>
    <t>https://www.law.go.kr/LSW/admRulLsInfoP.do?admRulId=2075025&amp;efYd=216#AJAX</t>
  </si>
  <si>
    <t>0076</t>
  </si>
  <si>
    <t>지정폐기물 소각시설</t>
  </si>
  <si>
    <t>https://www.law.go.kr/LSW/admRulLsInfoP.do?admRulId=2075025&amp;efYd=217#AJAX</t>
  </si>
  <si>
    <t>0078</t>
  </si>
  <si>
    <t>폐가스소각시설</t>
  </si>
  <si>
    <t>https://www.law.go.kr/LSW/admRulLsInfoP.do?admRulId=2075025&amp;efYd=218#AJAX</t>
  </si>
  <si>
    <t>0079</t>
  </si>
  <si>
    <t>폐수소각시설</t>
  </si>
  <si>
    <t>https://www.law.go.kr/LSW/admRulLsInfoP.do?admRulId=2075025&amp;efYd=219#AJAX</t>
  </si>
  <si>
    <t>0080</t>
  </si>
  <si>
    <t>공공폐수처리시설</t>
  </si>
  <si>
    <t>https://www.law.go.kr/LSW/admRulLsInfoP.do?admRulId=2075025&amp;efYd=220#AJAX</t>
  </si>
  <si>
    <t>0081</t>
  </si>
  <si>
    <t>호기성ㆍ혐기성 분해시설</t>
  </si>
  <si>
    <t>https://www.law.go.kr/LSW/admRulLsInfoP.do?admRulId=2075025&amp;efYd=221#AJAX</t>
  </si>
  <si>
    <t>0108</t>
  </si>
  <si>
    <t>사업장폐기물 소각시설</t>
  </si>
  <si>
    <t>https://www.law.go.kr/LSW/admRulLsInfoP.do?admRulId=2075025&amp;efYd=222#AJAX</t>
  </si>
  <si>
    <t>0109</t>
  </si>
  <si>
    <t>비관리형 매립시설</t>
  </si>
  <si>
    <t>https://www.law.go.kr/LSW/admRulLsInfoP.do?admRulId=2075025&amp;efYd=223#AJAX</t>
  </si>
  <si>
    <t>오존파괴 물질(OD S)의 대체물질 사용</t>
  </si>
  <si>
    <t>0014</t>
  </si>
  <si>
    <t>냉동 및 냉방용 냉매 사용 시설</t>
  </si>
  <si>
    <t>https://www.law.go.kr/LSW/admRulLsInfoP.do?admRulId=2075025&amp;efYd=224#AJAX</t>
  </si>
  <si>
    <t>0022</t>
  </si>
  <si>
    <t>발포제 사용 시설</t>
  </si>
  <si>
    <t>https://www.law.go.kr/LSW/admRulLsInfoP.do?admRulId=2075025&amp;efYd=225#AJAX</t>
  </si>
  <si>
    <t>0029</t>
  </si>
  <si>
    <t>비에어로졸 용매사용 시설</t>
  </si>
  <si>
    <t>https://www.law.go.kr/LSW/admRulLsInfoP.do?admRulId=2075025&amp;efYd=226#AJAX</t>
  </si>
  <si>
    <t>0034</t>
  </si>
  <si>
    <t>소화약제 사용 시설</t>
  </si>
  <si>
    <t>https://www.law.go.kr/LSW/admRulLsInfoP.do?admRulId=2075025&amp;efYd=227#AJAX</t>
  </si>
  <si>
    <t>0046</t>
  </si>
  <si>
    <t>에어로졸 용매사용 시설</t>
  </si>
  <si>
    <t>https://www.law.go.kr/LSW/admRulLsInfoP.do?admRulId=2075025&amp;efYd=228#AJAX</t>
  </si>
  <si>
    <t>0063</t>
  </si>
  <si>
    <t>절연제 사용 시설</t>
  </si>
  <si>
    <t>https://www.law.go.kr/LSW/admRulLsInfoP.do?admRulId=2075025&amp;efYd=229#AJAX</t>
  </si>
  <si>
    <t>0000</t>
  </si>
  <si>
    <t>사업장 전체</t>
  </si>
  <si>
    <t>https://www.law.go.kr/LSW/admRulLsInfoP.do?admRulId=2075025&amp;efYd=230#AJAX</t>
  </si>
  <si>
    <t>0002</t>
  </si>
  <si>
    <t>건축물</t>
  </si>
  <si>
    <t>https://www.law.go.kr/LSW/admRulLsInfoP.do?admRulId=2075025&amp;efYd=231#AJAX</t>
  </si>
  <si>
    <t>0007</t>
  </si>
  <si>
    <t>https://www.law.go.kr/LSW/admRulLsInfoP.do?admRulId=2075025&amp;efYd=232#AJAX</t>
  </si>
  <si>
    <t>0008</t>
  </si>
  <si>
    <t>기타로</t>
  </si>
  <si>
    <t>https://www.law.go.kr/LSW/admRulLsInfoP.do?admRulId=2075025&amp;efYd=233#AJAX</t>
  </si>
  <si>
    <t>0050</t>
  </si>
  <si>
    <t>온실가스 기타 사용 시설</t>
  </si>
  <si>
    <t>https://www.law.go.kr/LSW/admRulLsInfoP.do?admRulId=2075025&amp;efYd=234#AJAX</t>
  </si>
  <si>
    <t>0097</t>
  </si>
  <si>
    <t>사업장단위스팀사용시설</t>
  </si>
  <si>
    <t>https://www.law.go.kr/LSW/admRulLsInfoP.do?admRulId=2075025&amp;efYd=235#AJAX</t>
  </si>
  <si>
    <t>0098</t>
  </si>
  <si>
    <t>사업장단위전력사용시설</t>
  </si>
  <si>
    <t>https://www.law.go.kr/LSW/admRulLsInfoP.do?admRulId=2075025&amp;efYd=236#AJAX</t>
  </si>
  <si>
    <t>0099</t>
  </si>
  <si>
    <t>소량배출사업장</t>
  </si>
  <si>
    <t>https://www.law.go.kr/LSW/admRulLsInfoP.do?admRulId=2075025&amp;efYd=237#AJAX</t>
  </si>
  <si>
    <t>0106</t>
  </si>
  <si>
    <t>https://www.law.go.kr/LSW/admRulLsInfoP.do?admRulId=2075025&amp;efYd=238#AJAX</t>
  </si>
  <si>
    <t>0120</t>
  </si>
  <si>
    <t>재생에너지 전기 사용 시설</t>
  </si>
  <si>
    <t>https://www.law.go.kr/LSW/admRulLsInfoP.do?admRulId=2075025&amp;efYd=239#AJAX</t>
  </si>
  <si>
    <t>이산화 탄소 포집 및 이동</t>
  </si>
  <si>
    <t>0112</t>
  </si>
  <si>
    <t>탄산 음료용 CO2 사용 시설</t>
  </si>
  <si>
    <t>https://www.law.go.kr/LSW/admRulLsInfoP.do?admRulId=2075025&amp;efYd=240#AJAX</t>
  </si>
  <si>
    <t>0113</t>
  </si>
  <si>
    <t>드라이아이스용CO2 사용 시설</t>
  </si>
  <si>
    <t>https://www.law.go.kr/LSW/admRulLsInfoP.do?admRulId=2075025&amp;efYd=241#AJAX</t>
  </si>
  <si>
    <t>0114</t>
  </si>
  <si>
    <t>소화, 냉매 및 실험실 가스용 CO2 사용 시설</t>
  </si>
  <si>
    <t>https://www.law.go.kr/LSW/admRulLsInfoP.do?admRulId=2075025&amp;efYd=242#AJAX</t>
  </si>
  <si>
    <t>0115</t>
  </si>
  <si>
    <t>곡물 살충용 CO2 사용 시설</t>
  </si>
  <si>
    <t>https://www.law.go.kr/LSW/admRulLsInfoP.do?admRulId=2075025&amp;efYd=243#AJAX</t>
  </si>
  <si>
    <t>0116</t>
  </si>
  <si>
    <t>식품, 화학 산업에서 용매용 CO2 사용 시설</t>
  </si>
  <si>
    <t>https://www.law.go.kr/LSW/admRulLsInfoP.do?admRulId=2075025&amp;efYd=244#AJAX</t>
  </si>
  <si>
    <t>0117</t>
  </si>
  <si>
    <t>화학, 제지, 건설, 시멘트 산업에서 제품 및 원료용 CO2 사용 시설</t>
  </si>
  <si>
    <t>https://www.law.go.kr/LSW/admRulLsInfoP.do?admRulId=2075025&amp;efYd=245#AJAX</t>
  </si>
  <si>
    <t>0121</t>
  </si>
  <si>
    <t>반도체, 디스플레이, PV 생산 부문에서의 CO2 사용 시설</t>
  </si>
  <si>
    <t>https://www.law.go.kr/LSW/admRulLsInfoP.do?admRulId=2075025&amp;efYd=246#AJAX</t>
  </si>
  <si>
    <t>NGMS 명세서 활동자료 코드(세분류) 235건. 출처: 법제처 명세서 [참고4]</t>
  </si>
  <si>
    <t>[통합출처] 온실가스_인벤토리_코드_정리본_이동연소_순발열량추가.xlsx · 시트 '③ 활동자료코드'</t>
  </si>
  <si>
    <t>중분류명</t>
  </si>
  <si>
    <t>활동자료코드</t>
  </si>
  <si>
    <t>활동자료명(세분류)</t>
  </si>
  <si>
    <t>출처</t>
  </si>
  <si>
    <t>39</t>
  </si>
  <si>
    <t>105</t>
  </si>
  <si>
    <t>106</t>
  </si>
  <si>
    <t>https://www.law.go.kr/LSW/admRulLsInfoP.do?admRulId=2075025&amp;efYd=247#AJAX</t>
  </si>
  <si>
    <t>제철용 PCI탄</t>
  </si>
  <si>
    <t>https://www.law.go.kr/LSW/admRulLsInfoP.do?admRulId=2075025&amp;efYd=248#AJAX</t>
  </si>
  <si>
    <t>유연탄</t>
  </si>
  <si>
    <t>44</t>
  </si>
  <si>
    <t>https://www.law.go.kr/LSW/admRulLsInfoP.do?admRulId=2075025&amp;efYd=249#AJAX</t>
  </si>
  <si>
    <t>42</t>
  </si>
  <si>
    <t>https://www.law.go.kr/LSW/admRulLsInfoP.do?admRulId=2075025&amp;efYd=250#AJAX</t>
  </si>
  <si>
    <t>41</t>
  </si>
  <si>
    <t>https://www.law.go.kr/LSW/admRulLsInfoP.do?admRulId=2075025&amp;efYd=251#AJAX</t>
  </si>
  <si>
    <t>43</t>
  </si>
  <si>
    <t>https://www.law.go.kr/LSW/admRulLsInfoP.do?admRulId=2075025&amp;efYd=252#AJAX</t>
  </si>
  <si>
    <t>https://www.law.go.kr/LSW/admRulLsInfoP.do?admRulId=2075025&amp;efYd=253#AJAX</t>
  </si>
  <si>
    <t>45</t>
  </si>
  <si>
    <t>https://www.law.go.kr/LSW/admRulLsInfoP.do?admRulId=2075025&amp;efYd=254#AJAX</t>
  </si>
  <si>
    <t>https://www.law.go.kr/LSW/admRulLsInfoP.do?admRulId=2075025&amp;efYd=255#AJAX</t>
  </si>
  <si>
    <t>https://www.law.go.kr/LSW/admRulLsInfoP.do?admRulId=2075025&amp;efYd=256#AJAX</t>
  </si>
  <si>
    <t>https://www.law.go.kr/LSW/admRulLsInfoP.do?admRulId=2075025&amp;efYd=257#AJAX</t>
  </si>
  <si>
    <t>https://www.law.go.kr/LSW/admRulLsInfoP.do?admRulId=2075025&amp;efYd=258#AJAX</t>
  </si>
  <si>
    <t>정제원료</t>
  </si>
  <si>
    <t>https://www.law.go.kr/LSW/admRulLsInfoP.do?admRulId=2075025&amp;efYd=259#AJAX</t>
  </si>
  <si>
    <t>https://www.law.go.kr/LSW/admRulLsInfoP.do?admRulId=2075025&amp;efYd=260#AJAX</t>
  </si>
  <si>
    <t>28</t>
  </si>
  <si>
    <t>정제원료(반제품)</t>
  </si>
  <si>
    <t>https://www.law.go.kr/LSW/admRulLsInfoP.do?admRulId=2075025&amp;efYd=261#AJAX</t>
  </si>
  <si>
    <t>천연가스액(NGL)</t>
  </si>
  <si>
    <t>https://www.law.go.kr/LSW/admRulLsInfoP.do?admRulId=2075025&amp;efYd=262#AJAX</t>
  </si>
  <si>
    <t>https://www.law.go.kr/LSW/admRulLsInfoP.do?admRulId=2075025&amp;efYd=263#AJAX</t>
  </si>
  <si>
    <t>중유</t>
  </si>
  <si>
    <t>32</t>
  </si>
  <si>
    <t>https://www.law.go.kr/LSW/admRulLsInfoP.do?admRulId=2075025&amp;efYd=264#AJAX</t>
  </si>
  <si>
    <t>33</t>
  </si>
  <si>
    <t>https://www.law.go.kr/LSW/admRulLsInfoP.do?admRulId=2075025&amp;efYd=265#AJAX</t>
  </si>
  <si>
    <t>34</t>
  </si>
  <si>
    <t>https://www.law.go.kr/LSW/admRulLsInfoP.do?admRulId=2075025&amp;efYd=266#AJAX</t>
  </si>
  <si>
    <t>제트용 가솔린</t>
  </si>
  <si>
    <t>https://www.law.go.kr/LSW/admRulLsInfoP.do?admRulId=2075025&amp;efYd=267#AJAX</t>
  </si>
  <si>
    <t>https://www.law.go.kr/LSW/admRulLsInfoP.do?admRulId=2075025&amp;efYd=268#AJAX</t>
  </si>
  <si>
    <t>https://www.law.go.kr/LSW/admRulLsInfoP.do?admRulId=2075025&amp;efYd=269#AJAX</t>
  </si>
  <si>
    <t>LNG</t>
  </si>
  <si>
    <t>48</t>
  </si>
  <si>
    <t>https://www.law.go.kr/LSW/admRulLsInfoP.do?admRulId=2075025&amp;efYd=270#AJAX</t>
  </si>
  <si>
    <t>47</t>
  </si>
  <si>
    <t>https://www.law.go.kr/LSW/admRulLsInfoP.do?admRulId=2075025&amp;efYd=271#AJAX</t>
  </si>
  <si>
    <t>55</t>
  </si>
  <si>
    <t>https://www.law.go.kr/LSW/admRulLsInfoP.do?admRulId=2075025&amp;efYd=272#AJAX</t>
  </si>
  <si>
    <t>https://www.law.go.kr/LSW/admRulLsInfoP.do?admRulId=2075025&amp;efYd=273#AJAX</t>
  </si>
  <si>
    <t>49</t>
  </si>
  <si>
    <t>https://www.law.go.kr/LSW/admRulLsInfoP.do?admRulId=2075025&amp;efYd=274#AJAX</t>
  </si>
  <si>
    <t>56</t>
  </si>
  <si>
    <t>https://www.law.go.kr/LSW/admRulLsInfoP.do?admRulId=2075025&amp;efYd=275#AJAX</t>
  </si>
  <si>
    <t>36</t>
  </si>
  <si>
    <t>https://www.law.go.kr/LSW/admRulLsInfoP.do?admRulId=2075025&amp;efYd=276#AJAX</t>
  </si>
  <si>
    <t>https://www.law.go.kr/LSW/admRulLsInfoP.do?admRulId=2075025&amp;efYd=277#AJAX</t>
  </si>
  <si>
    <t>35</t>
  </si>
  <si>
    <t>https://www.law.go.kr/LSW/admRulLsInfoP.do?admRulId=2075025&amp;efYd=278#AJAX</t>
  </si>
  <si>
    <t>107</t>
  </si>
  <si>
    <t>OCE (Organic Caustic Effluents)</t>
  </si>
  <si>
    <t>https://www.law.go.kr/LSW/admRulLsInfoP.do?admRulId=2075025&amp;efYd=279#AJAX</t>
  </si>
  <si>
    <t>108</t>
  </si>
  <si>
    <t>가스 코크스</t>
  </si>
  <si>
    <t>https://www.law.go.kr/LSW/admRulLsInfoP.do?admRulId=2075025&amp;efYd=280#AJAX</t>
  </si>
  <si>
    <t>109</t>
  </si>
  <si>
    <t>경소백운석(고토석회,CaOㆍMgO)</t>
  </si>
  <si>
    <t>https://www.law.go.kr/LSW/admRulLsInfoP.do?admRulId=2075025&amp;efYd=281#AJAX</t>
  </si>
  <si>
    <t>110</t>
  </si>
  <si>
    <t>골회(bone ash)</t>
  </si>
  <si>
    <t>https://www.law.go.kr/LSW/admRulLsInfoP.do?admRulId=2075025&amp;efYd=282#AJAX</t>
  </si>
  <si>
    <t>111</t>
  </si>
  <si>
    <t>공기</t>
  </si>
  <si>
    <t>https://www.law.go.kr/LSW/admRulLsInfoP.do?admRulId=2075025&amp;efYd=283#AJAX</t>
  </si>
  <si>
    <t>https://www.law.go.kr/LSW/admRulLsInfoP.do?admRulId=2075025&amp;efYd=284#AJAX</t>
  </si>
  <si>
    <t>113</t>
  </si>
  <si>
    <t>납</t>
  </si>
  <si>
    <t>https://www.law.go.kr/LSW/admRulLsInfoP.do?admRulId=2075025&amp;efYd=285#AJAX</t>
  </si>
  <si>
    <t>114</t>
  </si>
  <si>
    <t>납스크랩</t>
  </si>
  <si>
    <t>https://www.law.go.kr/LSW/admRulLsInfoP.do?admRulId=2075025&amp;efYd=286#AJAX</t>
  </si>
  <si>
    <t>115</t>
  </si>
  <si>
    <t>능철광(FeCO ) 3</t>
  </si>
  <si>
    <t>https://www.law.go.kr/LSW/admRulLsInfoP.do?admRulId=2075025&amp;efYd=287#AJAX</t>
  </si>
  <si>
    <t>116</t>
  </si>
  <si>
    <t>도시폐기물</t>
  </si>
  <si>
    <t>https://www.law.go.kr/LSW/admRulLsInfoP.do?admRulId=2075025&amp;efYd=288#AJAX</t>
  </si>
  <si>
    <t>117</t>
  </si>
  <si>
    <t>마그네사이트(MgCO ) 3</t>
  </si>
  <si>
    <t>https://www.law.go.kr/LSW/admRulLsInfoP.do?admRulId=2075025&amp;efYd=289#AJAX</t>
  </si>
  <si>
    <t>118</t>
  </si>
  <si>
    <t>마그네슘(Mg)</t>
  </si>
  <si>
    <t>https://www.law.go.kr/LSW/admRulLsInfoP.do?admRulId=2075025&amp;efYd=290#AJAX</t>
  </si>
  <si>
    <t>119</t>
  </si>
  <si>
    <t>망간광(MnCO ) 3</t>
  </si>
  <si>
    <t>https://www.law.go.kr/LSW/admRulLsInfoP.do?admRulId=2075025&amp;efYd=291#AJAX</t>
  </si>
  <si>
    <t>120</t>
  </si>
  <si>
    <t>망간철(Fe-Mn)</t>
  </si>
  <si>
    <t>https://www.law.go.kr/LSW/admRulLsInfoP.do?admRulId=2075025&amp;efYd=292#AJAX</t>
  </si>
  <si>
    <t>121</t>
  </si>
  <si>
    <t>밀스케일</t>
  </si>
  <si>
    <t>https://www.law.go.kr/LSW/admRulLsInfoP.do?admRulId=2075025&amp;efYd=293#AJAX</t>
  </si>
  <si>
    <t>122</t>
  </si>
  <si>
    <t>반도체/LCD/PV</t>
  </si>
  <si>
    <t>https://www.law.go.kr/LSW/admRulLsInfoP.do?admRulId=2075025&amp;efYd=294#AJAX</t>
  </si>
  <si>
    <t>123</t>
  </si>
  <si>
    <t>백운석(돌로마이트,CaMgㆍ(CO)) 3 2</t>
  </si>
  <si>
    <t>https://www.law.go.kr/LSW/admRulLsInfoP.do?admRulId=2075025&amp;efYd=295#AJAX</t>
  </si>
  <si>
    <t>31</t>
  </si>
  <si>
    <t>https://www.law.go.kr/LSW/admRulLsInfoP.do?admRulId=2075025&amp;efYd=296#AJAX</t>
  </si>
  <si>
    <t>124</t>
  </si>
  <si>
    <t>산업폐기물</t>
  </si>
  <si>
    <t>https://www.law.go.kr/LSW/admRulLsInfoP.do?admRulId=2075025&amp;efYd=297#AJAX</t>
  </si>
  <si>
    <t>125</t>
  </si>
  <si>
    <t>생석회(산화칼슘,CaO)</t>
  </si>
  <si>
    <t>https://www.law.go.kr/LSW/admRulLsInfoP.do?admRulId=2075025&amp;efYd=298#AJAX</t>
  </si>
  <si>
    <t>126</t>
  </si>
  <si>
    <t>석회석(CaCO ) 3</t>
  </si>
  <si>
    <t>https://www.law.go.kr/LSW/admRulLsInfoP.do?admRulId=2075025&amp;efYd=299#AJAX</t>
  </si>
  <si>
    <t>127</t>
  </si>
  <si>
    <t>석회킬른먼지(LKD)</t>
  </si>
  <si>
    <t>https://www.law.go.kr/LSW/admRulLsInfoP.do?admRulId=2075025&amp;efYd=300#AJAX</t>
  </si>
  <si>
    <t>128</t>
  </si>
  <si>
    <t>선철(냉선)</t>
  </si>
  <si>
    <t>https://www.law.go.kr/LSW/admRulLsInfoP.do?admRulId=2075025&amp;efYd=301#AJAX</t>
  </si>
  <si>
    <t>129</t>
  </si>
  <si>
    <t>슬래그</t>
  </si>
  <si>
    <t>https://www.law.go.kr/LSW/admRulLsInfoP.do?admRulId=2075025&amp;efYd=302#AJAX</t>
  </si>
  <si>
    <t>130</t>
  </si>
  <si>
    <t>슬러지(고체)</t>
  </si>
  <si>
    <t>https://www.law.go.kr/LSW/admRulLsInfoP.do?admRulId=2075025&amp;efYd=303#AJAX</t>
  </si>
  <si>
    <t>131</t>
  </si>
  <si>
    <t>시멘트 킬른먼지(CKD)</t>
  </si>
  <si>
    <t>https://www.law.go.kr/LSW/admRulLsInfoP.do?admRulId=2075025&amp;efYd=304#AJAX</t>
  </si>
  <si>
    <t>132</t>
  </si>
  <si>
    <t>실리콘 망간(Si-Mn)</t>
  </si>
  <si>
    <t>https://www.law.go.kr/LSW/admRulLsInfoP.do?admRulId=2075025&amp;efYd=305#AJAX</t>
  </si>
  <si>
    <t>133</t>
  </si>
  <si>
    <t>아연</t>
  </si>
  <si>
    <t>https://www.law.go.kr/LSW/admRulLsInfoP.do?admRulId=2075025&amp;efYd=306#AJAX</t>
  </si>
  <si>
    <t>25</t>
  </si>
  <si>
    <t>https://www.law.go.kr/LSW/admRulLsInfoP.do?admRulId=2075025&amp;efYd=307#AJAX</t>
  </si>
  <si>
    <t>134</t>
  </si>
  <si>
    <t>https://www.law.go.kr/LSW/admRulLsInfoP.do?admRulId=2075025&amp;efYd=308#AJAX</t>
  </si>
  <si>
    <t>26</t>
  </si>
  <si>
    <t>https://www.law.go.kr/LSW/admRulLsInfoP.do?admRulId=2075025&amp;efYd=309#AJAX</t>
  </si>
  <si>
    <t>135</t>
  </si>
  <si>
    <t>인광석</t>
  </si>
  <si>
    <t>https://www.law.go.kr/LSW/admRulLsInfoP.do?admRulId=2075025&amp;efYd=310#AJAX</t>
  </si>
  <si>
    <t>136</t>
  </si>
  <si>
    <t>잔류물(Residue 또는 Cake)</t>
  </si>
  <si>
    <t>https://www.law.go.kr/LSW/admRulLsInfoP.do?admRulId=2075025&amp;efYd=311#AJAX</t>
  </si>
  <si>
    <t>137</t>
  </si>
  <si>
    <t>재(ash)</t>
  </si>
  <si>
    <t>https://www.law.go.kr/LSW/admRulLsInfoP.do?admRulId=2075025&amp;efYd=312#AJAX</t>
  </si>
  <si>
    <t>138</t>
  </si>
  <si>
    <t>전극봉 페이스트(Electrode paste)</t>
  </si>
  <si>
    <t>https://www.law.go.kr/LSW/admRulLsInfoP.do?admRulId=2075025&amp;efYd=313#AJAX</t>
  </si>
  <si>
    <t>139</t>
  </si>
  <si>
    <t>전기로 가탄제</t>
  </si>
  <si>
    <t>https://www.law.go.kr/LSW/admRulLsInfoP.do?admRulId=2075025&amp;efYd=314#AJAX</t>
  </si>
  <si>
    <t>30</t>
  </si>
  <si>
    <t>https://www.law.go.kr/LSW/admRulLsInfoP.do?admRulId=2075025&amp;efYd=315#AJAX</t>
  </si>
  <si>
    <t>112</t>
  </si>
  <si>
    <t>정광</t>
  </si>
  <si>
    <t>https://www.law.go.kr/LSW/admRulLsInfoP.do?admRulId=2075025&amp;efYd=316#AJAX</t>
  </si>
  <si>
    <t>140</t>
  </si>
  <si>
    <t>조강</t>
  </si>
  <si>
    <t>https://www.law.go.kr/LSW/admRulLsInfoP.do?admRulId=2075025&amp;efYd=317#AJAX</t>
  </si>
  <si>
    <t>141</t>
  </si>
  <si>
    <t>조경유</t>
  </si>
  <si>
    <t>https://www.law.go.kr/LSW/admRulLsInfoP.do?admRulId=2075025&amp;efYd=318#AJAX</t>
  </si>
  <si>
    <t>142</t>
  </si>
  <si>
    <t>조합 원료(시멘트 생산)</t>
  </si>
  <si>
    <t>https://www.law.go.kr/LSW/admRulLsInfoP.do?admRulId=2075025&amp;efYd=319#AJAX</t>
  </si>
  <si>
    <t>143</t>
  </si>
  <si>
    <t>철광석</t>
  </si>
  <si>
    <t>https://www.law.go.kr/LSW/admRulLsInfoP.do?admRulId=2075025&amp;efYd=320#AJAX</t>
  </si>
  <si>
    <t>144</t>
  </si>
  <si>
    <t>철백운석(Ca(Fe,Mg,Mn)(CO)) 3 2</t>
  </si>
  <si>
    <t>https://www.law.go.kr/LSW/admRulLsInfoP.do?admRulId=2075025&amp;efYd=321#AJAX</t>
  </si>
  <si>
    <t>145</t>
  </si>
  <si>
    <t>철스크랩</t>
  </si>
  <si>
    <t>https://www.law.go.kr/LSW/admRulLsInfoP.do?admRulId=2075025&amp;efYd=322#AJAX</t>
  </si>
  <si>
    <t>146</t>
  </si>
  <si>
    <t>코크(촉매재생)</t>
  </si>
  <si>
    <t>https://www.law.go.kr/LSW/admRulLsInfoP.do?admRulId=2075025&amp;efYd=323#AJAX</t>
  </si>
  <si>
    <t>147</t>
  </si>
  <si>
    <t>코크스분탄(coke breeze)</t>
  </si>
  <si>
    <t>https://www.law.go.kr/LSW/admRulLsInfoP.do?admRulId=2075025&amp;efYd=324#AJAX</t>
  </si>
  <si>
    <t>148</t>
  </si>
  <si>
    <t>https://www.law.go.kr/LSW/admRulLsInfoP.do?admRulId=2075025&amp;efYd=325#AJAX</t>
  </si>
  <si>
    <t>149</t>
  </si>
  <si>
    <t>클링커</t>
  </si>
  <si>
    <t>https://www.law.go.kr/LSW/admRulLsInfoP.do?admRulId=2075025&amp;efYd=326#AJAX</t>
  </si>
  <si>
    <t>150</t>
  </si>
  <si>
    <t>탄소전극봉</t>
  </si>
  <si>
    <t>https://www.law.go.kr/LSW/admRulLsInfoP.do?admRulId=2075025&amp;efYd=327#AJAX</t>
  </si>
  <si>
    <t>267</t>
  </si>
  <si>
    <t>테레프탈산(TPA)</t>
  </si>
  <si>
    <t>https://www.law.go.kr/LSW/admRulLsInfoP.do?admRulId=2075025&amp;efYd=328#AJAX</t>
  </si>
  <si>
    <t>151</t>
  </si>
  <si>
    <t>토탄(이탄)</t>
  </si>
  <si>
    <t>https://www.law.go.kr/LSW/admRulLsInfoP.do?admRulId=2075025&amp;efYd=329#AJAX</t>
  </si>
  <si>
    <t>152</t>
  </si>
  <si>
    <t>트로나(Trona) 광석</t>
  </si>
  <si>
    <t>https://www.law.go.kr/LSW/admRulLsInfoP.do?admRulId=2075025&amp;efYd=330#AJAX</t>
  </si>
  <si>
    <t>153</t>
  </si>
  <si>
    <t>펠렛</t>
  </si>
  <si>
    <t>https://www.law.go.kr/LSW/admRulLsInfoP.do?admRulId=2075025&amp;efYd=331#AJAX</t>
  </si>
  <si>
    <t>154</t>
  </si>
  <si>
    <t>합금철(Fe-Si)</t>
  </si>
  <si>
    <t>https://www.law.go.kr/LSW/admRulLsInfoP.do?admRulId=2075025&amp;efYd=332#AJAX</t>
  </si>
  <si>
    <t>기초화학 물질</t>
  </si>
  <si>
    <t>155</t>
  </si>
  <si>
    <t>고상 탄산소다</t>
  </si>
  <si>
    <t>https://www.law.go.kr/LSW/admRulLsInfoP.do?admRulId=2075025&amp;efYd=333#AJAX</t>
  </si>
  <si>
    <t>156</t>
  </si>
  <si>
    <t>메탄(CH ) 4</t>
  </si>
  <si>
    <t>https://www.law.go.kr/LSW/admRulLsInfoP.do?admRulId=2075025&amp;efYd=334#AJAX</t>
  </si>
  <si>
    <t>157</t>
  </si>
  <si>
    <t>메탄올(CH OH) 3</t>
  </si>
  <si>
    <t>https://www.law.go.kr/LSW/admRulLsInfoP.do?admRulId=2075025&amp;efYd=335#AJAX</t>
  </si>
  <si>
    <t>158</t>
  </si>
  <si>
    <t>부타디엔(C H ) 4 6</t>
  </si>
  <si>
    <t>https://www.law.go.kr/LSW/admRulLsInfoP.do?admRulId=2075025&amp;efYd=336#AJAX</t>
  </si>
  <si>
    <t>159</t>
  </si>
  <si>
    <t>산화규소(SiO ) 2</t>
  </si>
  <si>
    <t>https://www.law.go.kr/LSW/admRulLsInfoP.do?admRulId=2075025&amp;efYd=337#AJAX</t>
  </si>
  <si>
    <t>160</t>
  </si>
  <si>
    <t>소다회(탄산나트륨,Na CO ) 2 3</t>
  </si>
  <si>
    <t>https://www.law.go.kr/LSW/admRulLsInfoP.do?admRulId=2075025&amp;efYd=338#AJAX</t>
  </si>
  <si>
    <t>161</t>
  </si>
  <si>
    <t>수소(H ) 2</t>
  </si>
  <si>
    <t>https://www.law.go.kr/LSW/admRulLsInfoP.do?admRulId=2075025&amp;efYd=339#AJAX</t>
  </si>
  <si>
    <t>162</t>
  </si>
  <si>
    <t>시안화수소(HCN)</t>
  </si>
  <si>
    <t>https://www.law.go.kr/LSW/admRulLsInfoP.do?admRulId=2075025&amp;efYd=340#AJAX</t>
  </si>
  <si>
    <t>163</t>
  </si>
  <si>
    <t>실리콘메탈</t>
  </si>
  <si>
    <t>https://www.law.go.kr/LSW/admRulLsInfoP.do?admRulId=2075025&amp;efYd=341#AJAX</t>
  </si>
  <si>
    <t>164</t>
  </si>
  <si>
    <t>아니솔(C H OCH ) 6 5 3</t>
  </si>
  <si>
    <t>https://www.law.go.kr/LSW/admRulLsInfoP.do?admRulId=2075025&amp;efYd=342#AJAX</t>
  </si>
  <si>
    <t>165</t>
  </si>
  <si>
    <t>아디프산(Adipic Acid)</t>
  </si>
  <si>
    <t>https://www.law.go.kr/LSW/admRulLsInfoP.do?admRulId=2075025&amp;efYd=343#AJAX</t>
  </si>
  <si>
    <t>166</t>
  </si>
  <si>
    <t>아산화질소(N2O) 2</t>
  </si>
  <si>
    <t>https://www.law.go.kr/LSW/admRulLsInfoP.do?admRulId=2075025&amp;efYd=344#AJAX</t>
  </si>
  <si>
    <t>167</t>
  </si>
  <si>
    <t>아세토니트릴(CH CN) 3</t>
  </si>
  <si>
    <t>https://www.law.go.kr/LSW/admRulLsInfoP.do?admRulId=2075025&amp;efYd=345#AJAX</t>
  </si>
  <si>
    <t>168</t>
  </si>
  <si>
    <t>아세틸렌(C H ) 2 2</t>
  </si>
  <si>
    <t>https://www.law.go.kr/LSW/admRulLsInfoP.do?admRulId=2075025&amp;efYd=346#AJAX</t>
  </si>
  <si>
    <t>169</t>
  </si>
  <si>
    <t>아크릴로니트릴(AN)</t>
  </si>
  <si>
    <t>https://www.law.go.kr/LSW/admRulLsInfoP.do?admRulId=2075025&amp;efYd=347#AJAX</t>
  </si>
  <si>
    <t>170</t>
  </si>
  <si>
    <t>암모니아(NH ) 3</t>
  </si>
  <si>
    <t>https://www.law.go.kr/LSW/admRulLsInfoP.do?admRulId=2075025&amp;efYd=348#AJAX</t>
  </si>
  <si>
    <t>171</t>
  </si>
  <si>
    <t>액상 탄산소다</t>
  </si>
  <si>
    <t>https://www.law.go.kr/LSW/admRulLsInfoP.do?admRulId=2075025&amp;efYd=349#AJAX</t>
  </si>
  <si>
    <t>에탄(C H ) 2 6</t>
  </si>
  <si>
    <t>https://www.law.go.kr/LSW/admRulLsInfoP.do?admRulId=2075025&amp;efYd=350#AJAX</t>
  </si>
  <si>
    <t>172</t>
  </si>
  <si>
    <t>에탄올(C H OH) 2 5</t>
  </si>
  <si>
    <t>https://www.law.go.kr/LSW/admRulLsInfoP.do?admRulId=2075025&amp;efYd=351#AJAX</t>
  </si>
  <si>
    <t>173</t>
  </si>
  <si>
    <t>에틸렌(C H ) 2 4</t>
  </si>
  <si>
    <t>https://www.law.go.kr/LSW/admRulLsInfoP.do?admRulId=2075025&amp;efYd=352#AJAX</t>
  </si>
  <si>
    <t>174</t>
  </si>
  <si>
    <t>에틸렌글리콜(EG)</t>
  </si>
  <si>
    <t>https://www.law.go.kr/LSW/admRulLsInfoP.do?admRulId=2075025&amp;efYd=353#AJAX</t>
  </si>
  <si>
    <t>175</t>
  </si>
  <si>
    <t>에틸렌디클로라이드(EDC)</t>
  </si>
  <si>
    <t>https://www.law.go.kr/LSW/admRulLsInfoP.do?admRulId=2075025&amp;efYd=354#AJAX</t>
  </si>
  <si>
    <t>176</t>
  </si>
  <si>
    <t>에틸렌옥사이드(EO)</t>
  </si>
  <si>
    <t>https://www.law.go.kr/LSW/admRulLsInfoP.do?admRulId=2075025&amp;efYd=355#AJAX</t>
  </si>
  <si>
    <t>177</t>
  </si>
  <si>
    <t>염화나트륨(NaCl)</t>
  </si>
  <si>
    <t>https://www.law.go.kr/LSW/admRulLsInfoP.do?admRulId=2075025&amp;efYd=356#AJAX</t>
  </si>
  <si>
    <t>178</t>
  </si>
  <si>
    <t>염화비닐 모노머(VCM)</t>
  </si>
  <si>
    <t>https://www.law.go.kr/LSW/admRulLsInfoP.do?admRulId=2075025&amp;efYd=357#AJAX</t>
  </si>
  <si>
    <t>179</t>
  </si>
  <si>
    <t>요소(CO(NH ) ) 2 2</t>
  </si>
  <si>
    <t>https://www.law.go.kr/LSW/admRulLsInfoP.do?admRulId=2075025&amp;efYd=358#AJAX</t>
  </si>
  <si>
    <t>180</t>
  </si>
  <si>
    <t>이산화탄소(CO ) 2</t>
  </si>
  <si>
    <t>https://www.law.go.kr/LSW/admRulLsInfoP.do?admRulId=2075025&amp;efYd=359#AJAX</t>
  </si>
  <si>
    <t>181</t>
  </si>
  <si>
    <t>자일렌(Xylene,C H (CH ) ) 6 4 3 2</t>
  </si>
  <si>
    <t>https://www.law.go.kr/LSW/admRulLsInfoP.do?admRulId=2075025&amp;efYd=360#AJAX</t>
  </si>
  <si>
    <t>182</t>
  </si>
  <si>
    <t>질산(HNO ) 3</t>
  </si>
  <si>
    <t>https://www.law.go.kr/LSW/admRulLsInfoP.do?admRulId=2075025&amp;efYd=361#AJAX</t>
  </si>
  <si>
    <t>183</t>
  </si>
  <si>
    <t>카본 블랙 원료</t>
  </si>
  <si>
    <t>https://www.law.go.kr/LSW/admRulLsInfoP.do?admRulId=2075025&amp;efYd=362#AJAX</t>
  </si>
  <si>
    <t>184</t>
  </si>
  <si>
    <t>카본블랙(CB)</t>
  </si>
  <si>
    <t>https://www.law.go.kr/LSW/admRulLsInfoP.do?admRulId=2075025&amp;efYd=363#AJAX</t>
  </si>
  <si>
    <t>185</t>
  </si>
  <si>
    <t>카프로락탐</t>
  </si>
  <si>
    <t>https://www.law.go.kr/LSW/admRulLsInfoP.do?admRulId=2075025&amp;efYd=364#AJAX</t>
  </si>
  <si>
    <t>186</t>
  </si>
  <si>
    <t>칼슘 카바이드(탄화칼슘,CaC ) 2</t>
  </si>
  <si>
    <t>https://www.law.go.kr/LSW/admRulLsInfoP.do?admRulId=2075025&amp;efYd=365#AJAX</t>
  </si>
  <si>
    <t>187</t>
  </si>
  <si>
    <t>탄산바륨(BaCO ) 3</t>
  </si>
  <si>
    <t>https://www.law.go.kr/LSW/admRulLsInfoP.do?admRulId=2075025&amp;efYd=366#AJAX</t>
  </si>
  <si>
    <t>188</t>
  </si>
  <si>
    <t>탄산스트론튬(SrCO ) 3</t>
  </si>
  <si>
    <t>https://www.law.go.kr/LSW/admRulLsInfoP.do?admRulId=2075025&amp;efYd=367#AJAX</t>
  </si>
  <si>
    <t>189</t>
  </si>
  <si>
    <t>탄산칼륨(K CO ) 2 3</t>
  </si>
  <si>
    <t>https://www.law.go.kr/LSW/admRulLsInfoP.do?admRulId=2075025&amp;efYd=368#AJAX</t>
  </si>
  <si>
    <t>190</t>
  </si>
  <si>
    <t>탄소(C)</t>
  </si>
  <si>
    <t>https://www.law.go.kr/LSW/admRulLsInfoP.do?admRulId=2075025&amp;efYd=369#AJAX</t>
  </si>
  <si>
    <t>191</t>
  </si>
  <si>
    <t>프로필렌(C H ) 3 6</t>
  </si>
  <si>
    <t>https://www.law.go.kr/LSW/admRulLsInfoP.do?admRulId=2075025&amp;efYd=370#AJAX</t>
  </si>
  <si>
    <t>폐기물 
(순환자원)</t>
  </si>
  <si>
    <t>270</t>
  </si>
  <si>
    <t>SRF(화석연료)</t>
  </si>
  <si>
    <t>https://www.law.go.kr/LSW/admRulLsInfoP.do?admRulId=2075025&amp;efYd=371#AJAX</t>
  </si>
  <si>
    <t>196</t>
  </si>
  <si>
    <t>기타화석연료 기원 폐기물</t>
  </si>
  <si>
    <t>https://www.law.go.kr/LSW/admRulLsInfoP.do?admRulId=2075025&amp;efYd=372#AJAX</t>
  </si>
  <si>
    <t>95</t>
  </si>
  <si>
    <t>폐기물 유화/가스화 등(화석연료)</t>
  </si>
  <si>
    <t>https://www.law.go.kr/LSW/admRulLsInfoP.do?admRulId=2075025&amp;efYd=373#AJAX</t>
  </si>
  <si>
    <t>197</t>
  </si>
  <si>
    <t>폐목재/톱밥</t>
  </si>
  <si>
    <t>https://www.law.go.kr/LSW/admRulLsInfoP.do?admRulId=2075025&amp;efYd=374#AJAX</t>
  </si>
  <si>
    <t>199</t>
  </si>
  <si>
    <t>폐용제</t>
  </si>
  <si>
    <t>https://www.law.go.kr/LSW/admRulLsInfoP.do?admRulId=2075025&amp;efYd=375#AJAX</t>
  </si>
  <si>
    <t>198</t>
  </si>
  <si>
    <t>폐유(폐석유제품)</t>
  </si>
  <si>
    <t>https://www.law.go.kr/LSW/admRulLsInfoP.do?admRulId=2075025&amp;efYd=376#AJAX</t>
  </si>
  <si>
    <t>200</t>
  </si>
  <si>
    <t>폐타이어/폐합성고무</t>
  </si>
  <si>
    <t>https://www.law.go.kr/LSW/admRulLsInfoP.do?admRulId=2075025&amp;efYd=377#AJAX</t>
  </si>
  <si>
    <t>201</t>
  </si>
  <si>
    <t>폐플라스틱/폐합성수지</t>
  </si>
  <si>
    <t>https://www.law.go.kr/LSW/admRulLsInfoP.do?admRulId=2075025&amp;efYd=378#AJAX</t>
  </si>
  <si>
    <t>202</t>
  </si>
  <si>
    <t>혼합된 산업폐기물</t>
  </si>
  <si>
    <t>https://www.law.go.kr/LSW/admRulLsInfoP.do?admRulId=2075025&amp;efYd=379#AJAX</t>
  </si>
  <si>
    <t>부생가스</t>
  </si>
  <si>
    <t>53</t>
  </si>
  <si>
    <t>고로가스(BFG)</t>
  </si>
  <si>
    <t>https://www.law.go.kr/LSW/admRulLsInfoP.do?admRulId=2075025&amp;efYd=380#AJAX</t>
  </si>
  <si>
    <t>192</t>
  </si>
  <si>
    <t>수소제조 공정가스</t>
  </si>
  <si>
    <t>https://www.law.go.kr/LSW/admRulLsInfoP.do?admRulId=2075025&amp;efYd=381#AJAX</t>
  </si>
  <si>
    <t>54</t>
  </si>
  <si>
    <t>전로가스(LDG)</t>
  </si>
  <si>
    <t>https://www.law.go.kr/LSW/admRulLsInfoP.do?admRulId=2075025&amp;efYd=382#AJAX</t>
  </si>
  <si>
    <t>29</t>
  </si>
  <si>
    <t>정유가스(정제가스)</t>
  </si>
  <si>
    <t>https://www.law.go.kr/LSW/admRulLsInfoP.do?admRulId=2075025&amp;efYd=383#AJAX</t>
  </si>
  <si>
    <t>52</t>
  </si>
  <si>
    <t>코크스가스(COG)</t>
  </si>
  <si>
    <t>https://www.law.go.kr/LSW/admRulLsInfoP.do?admRulId=2075025&amp;efYd=384#AJAX</t>
  </si>
  <si>
    <t>193</t>
  </si>
  <si>
    <t>파이넥스가스(FOG)</t>
  </si>
  <si>
    <t>https://www.law.go.kr/LSW/admRulLsInfoP.do?admRulId=2075025&amp;efYd=385#AJAX</t>
  </si>
  <si>
    <t>194</t>
  </si>
  <si>
    <t>폐가스</t>
  </si>
  <si>
    <t>https://www.law.go.kr/LSW/admRulLsInfoP.do?admRulId=2075025&amp;efYd=386#AJAX</t>
  </si>
  <si>
    <t>부생오일</t>
  </si>
  <si>
    <t>57</t>
  </si>
  <si>
    <t>https://www.law.go.kr/LSW/admRulLsInfoP.do?admRulId=2075025&amp;efYd=387#AJAX</t>
  </si>
  <si>
    <t>58</t>
  </si>
  <si>
    <t>https://www.law.go.kr/LSW/admRulLsInfoP.do?admRulId=2075025&amp;efYd=388#AJAX</t>
  </si>
  <si>
    <t>195</t>
  </si>
  <si>
    <t>https://www.law.go.kr/LSW/admRulLsInfoP.do?admRulId=2075025&amp;efYd=389#AJAX</t>
  </si>
  <si>
    <t>열</t>
  </si>
  <si>
    <t>공정폐열</t>
  </si>
  <si>
    <t>https://www.law.go.kr/LSW/admRulLsInfoP.do?admRulId=2075025&amp;efYd=390#AJAX</t>
  </si>
  <si>
    <t>265</t>
  </si>
  <si>
    <t>열(hot-air)</t>
  </si>
  <si>
    <t>https://www.law.go.kr/LSW/admRulLsInfoP.do?admRulId=2075025&amp;efYd=391#AJAX</t>
  </si>
  <si>
    <t>266</t>
  </si>
  <si>
    <t>열(기타 열매)</t>
  </si>
  <si>
    <t>https://www.law.go.kr/LSW/admRulLsInfoP.do?admRulId=2075025&amp;efYd=392#AJAX</t>
  </si>
  <si>
    <t>62</t>
  </si>
  <si>
    <t>https://www.law.go.kr/LSW/admRulLsInfoP.do?admRulId=2075025&amp;efYd=393#AJAX</t>
  </si>
  <si>
    <t>264</t>
  </si>
  <si>
    <t>열(온수)</t>
  </si>
  <si>
    <t>https://www.law.go.kr/LSW/admRulLsInfoP.do?admRulId=2075025&amp;efYd=394#AJAX</t>
  </si>
  <si>
    <t>104</t>
  </si>
  <si>
    <t>자가소비(열)</t>
  </si>
  <si>
    <t>https://www.law.go.kr/LSW/admRulLsInfoP.do?admRulId=2075025&amp;efYd=395#AJAX</t>
  </si>
  <si>
    <t>폐기물 소각열</t>
  </si>
  <si>
    <t>https://www.law.go.kr/LSW/admRulLsInfoP.do?admRulId=2075025&amp;efYd=396#AJAX</t>
  </si>
  <si>
    <t>103</t>
  </si>
  <si>
    <t>자가소비(전력)</t>
  </si>
  <si>
    <t>https://www.law.go.kr/LSW/admRulLsInfoP.do?admRulId=2075025&amp;efYd=397#AJAX</t>
  </si>
  <si>
    <t>274</t>
  </si>
  <si>
    <t>재생에너지(수력) 전력</t>
  </si>
  <si>
    <t>https://www.law.go.kr/LSW/admRulLsInfoP.do?admRulId=2075025&amp;efYd=398#AJAX</t>
  </si>
  <si>
    <t>272</t>
  </si>
  <si>
    <t>재생에너지(태양광) 전력</t>
  </si>
  <si>
    <t>https://www.law.go.kr/LSW/admRulLsInfoP.do?admRulId=2075025&amp;efYd=399#AJAX</t>
  </si>
  <si>
    <t>273</t>
  </si>
  <si>
    <t>재생에너지(풍력) 전력</t>
  </si>
  <si>
    <t>https://www.law.go.kr/LSW/admRulLsInfoP.do?admRulId=2075025&amp;efYd=400#AJAX</t>
  </si>
  <si>
    <t>61</t>
  </si>
  <si>
    <t>https://www.law.go.kr/LSW/admRulLsInfoP.do?admRulId=2075025&amp;efYd=401#AJAX</t>
  </si>
  <si>
    <t>기타 온실가스</t>
  </si>
  <si>
    <t>232</t>
  </si>
  <si>
    <t>C F (PFC-116) 2 6</t>
  </si>
  <si>
    <t>https://www.law.go.kr/LSW/admRulLsInfoP.do?admRulId=2075025&amp;efYd=402#AJAX</t>
  </si>
  <si>
    <t>238</t>
  </si>
  <si>
    <t>C F (PFC-218) 3 8</t>
  </si>
  <si>
    <t>https://www.law.go.kr/LSW/admRulLsInfoP.do?admRulId=2075025&amp;efYd=403#AJAX</t>
  </si>
  <si>
    <t>244</t>
  </si>
  <si>
    <t>C F (PFC-31-10) 4 10</t>
  </si>
  <si>
    <t>https://www.law.go.kr/LSW/admRulLsInfoP.do?admRulId=2075025&amp;efYd=404#AJAX</t>
  </si>
  <si>
    <t>246</t>
  </si>
  <si>
    <t>C F (PFC-41-12) 5 12</t>
  </si>
  <si>
    <t>https://www.law.go.kr/LSW/admRulLsInfoP.do?admRulId=2075025&amp;efYd=405#AJAX</t>
  </si>
  <si>
    <t>248</t>
  </si>
  <si>
    <t>C F (PFC-51-14) 6 14</t>
  </si>
  <si>
    <t>https://www.law.go.kr/LSW/admRulLsInfoP.do?admRulId=2075025&amp;efYd=406#AJAX</t>
  </si>
  <si>
    <t>242</t>
  </si>
  <si>
    <t>C F 4 6</t>
  </si>
  <si>
    <t>https://www.law.go.kr/LSW/admRulLsInfoP.do?admRulId=2075025&amp;efYd=407#AJAX</t>
  </si>
  <si>
    <t>245</t>
  </si>
  <si>
    <t>C F 5 8</t>
  </si>
  <si>
    <t>https://www.law.go.kr/LSW/admRulLsInfoP.do?admRulId=2075025&amp;efYd=408#AJAX</t>
  </si>
  <si>
    <t>243</t>
  </si>
  <si>
    <t>C F O 4 8</t>
  </si>
  <si>
    <t>https://www.law.go.kr/LSW/admRulLsInfoP.do?admRulId=2075025&amp;efYd=409#AJAX</t>
  </si>
  <si>
    <t>247</t>
  </si>
  <si>
    <t>C H F (HCF-43-10mee) 5 2 10</t>
  </si>
  <si>
    <t>https://www.law.go.kr/LSW/admRulLsInfoP.do?admRulId=2075025&amp;efYd=410#AJAX</t>
  </si>
  <si>
    <t>233</t>
  </si>
  <si>
    <t>C H F (HFC-134) 2 2 4</t>
  </si>
  <si>
    <t>https://www.law.go.kr/LSW/admRulLsInfoP.do?admRulId=2075025&amp;efYd=411#AJAX</t>
  </si>
  <si>
    <t>234</t>
  </si>
  <si>
    <t>C H F (HFC-143) 2 3 3</t>
  </si>
  <si>
    <t>https://www.law.go.kr/LSW/admRulLsInfoP.do?admRulId=2075025&amp;efYd=412#AJAX</t>
  </si>
  <si>
    <t>235</t>
  </si>
  <si>
    <t>C H F (HFC-143a) 2 3 3</t>
  </si>
  <si>
    <t>https://www.law.go.kr/LSW/admRulLsInfoP.do?admRulId=2075025&amp;efYd=413#AJAX</t>
  </si>
  <si>
    <t>236</t>
  </si>
  <si>
    <t>C H F (HFC-152a) 2 4 2</t>
  </si>
  <si>
    <t>https://www.law.go.kr/LSW/admRulLsInfoP.do?admRulId=2075025&amp;efYd=414#AJAX</t>
  </si>
  <si>
    <t>239</t>
  </si>
  <si>
    <t>C H F (HFC-236fa) 3 2 6</t>
  </si>
  <si>
    <t>https://www.law.go.kr/LSW/admRulLsInfoP.do?admRulId=2075025&amp;efYd=415#AJAX</t>
  </si>
  <si>
    <t>240</t>
  </si>
  <si>
    <t>C H F (HFC-245ca) 3 3 5</t>
  </si>
  <si>
    <t>https://www.law.go.kr/LSW/admRulLsInfoP.do?admRulId=2075025&amp;efYd=416#AJAX</t>
  </si>
  <si>
    <t>237</t>
  </si>
  <si>
    <t>C HF (HFC-125) 2 5</t>
  </si>
  <si>
    <t>https://www.law.go.kr/LSW/admRulLsInfoP.do?admRulId=2075025&amp;efYd=417#AJAX</t>
  </si>
  <si>
    <t>241</t>
  </si>
  <si>
    <t>C HF (HFC-227ea) 3 7</t>
  </si>
  <si>
    <t>https://www.law.go.kr/LSW/admRulLsInfoP.do?admRulId=2075025&amp;efYd=418#AJAX</t>
  </si>
  <si>
    <t>249</t>
  </si>
  <si>
    <t>c-C F (PFC-318) 4 8</t>
  </si>
  <si>
    <t>https://www.law.go.kr/LSW/admRulLsInfoP.do?admRulId=2075025&amp;efYd=419#AJAX</t>
  </si>
  <si>
    <t>250</t>
  </si>
  <si>
    <t>CF (PFC-14) 4</t>
  </si>
  <si>
    <t>https://www.law.go.kr/LSW/admRulLsInfoP.do?admRulId=2075025&amp;efYd=420#AJAX</t>
  </si>
  <si>
    <t>251</t>
  </si>
  <si>
    <t>CH F (HFC-32) 2 2</t>
  </si>
  <si>
    <t>https://www.law.go.kr/LSW/admRulLsInfoP.do?admRulId=2075025&amp;efYd=421#AJAX</t>
  </si>
  <si>
    <t>253</t>
  </si>
  <si>
    <t>CH F(HFC-41) 3</t>
  </si>
  <si>
    <t>https://www.law.go.kr/LSW/admRulLsInfoP.do?admRulId=2075025&amp;efYd=422#AJAX</t>
  </si>
  <si>
    <t>252</t>
  </si>
  <si>
    <t>CH FCF (HFC-134a) 2 3</t>
  </si>
  <si>
    <t>https://www.law.go.kr/LSW/admRulLsInfoP.do?admRulId=2075025&amp;efYd=423#AJAX</t>
  </si>
  <si>
    <t>254</t>
  </si>
  <si>
    <t>CHF (HFC-23) 3</t>
  </si>
  <si>
    <t>https://www.law.go.kr/LSW/admRulLsInfoP.do?admRulId=2075025&amp;efYd=424#AJAX</t>
  </si>
  <si>
    <t>231</t>
  </si>
  <si>
    <t>HCFC-22</t>
  </si>
  <si>
    <t>https://www.law.go.kr/LSW/admRulLsInfoP.do?admRulId=2075025&amp;efYd=425#AJAX</t>
  </si>
  <si>
    <t>102</t>
  </si>
  <si>
    <t>육불화황(SF ) 6</t>
  </si>
  <si>
    <t>https://www.law.go.kr/LSW/admRulLsInfoP.do?admRulId=2075025&amp;efYd=426#AJAX</t>
  </si>
  <si>
    <t>바이오매스</t>
  </si>
  <si>
    <t>271</t>
  </si>
  <si>
    <t>BIO-SRF(바이오매스)</t>
  </si>
  <si>
    <t>https://www.law.go.kr/LSW/admRulLsInfoP.do?admRulId=2075025&amp;efYd=427#AJAX</t>
  </si>
  <si>
    <t>65</t>
  </si>
  <si>
    <t>농업작물(유채, 옥수수 등)</t>
  </si>
  <si>
    <t>https://www.law.go.kr/LSW/admRulLsInfoP.do?admRulId=2075025&amp;efYd=428#AJAX</t>
  </si>
  <si>
    <t>66</t>
  </si>
  <si>
    <t>농임산부산물</t>
  </si>
  <si>
    <t>https://www.law.go.kr/LSW/admRulLsInfoP.do?admRulId=2075025&amp;efYd=429#AJAX</t>
  </si>
  <si>
    <t>203</t>
  </si>
  <si>
    <t>도시폐기물(바이오매스)</t>
  </si>
  <si>
    <t>https://www.law.go.kr/LSW/admRulLsInfoP.do?admRulId=2075025&amp;efYd=430#AJAX</t>
  </si>
  <si>
    <t>86</t>
  </si>
  <si>
    <t>매립지가스(LFG)</t>
  </si>
  <si>
    <t>https://www.law.go.kr/LSW/admRulLsInfoP.do?admRulId=2075025&amp;efYd=431#AJAX</t>
  </si>
  <si>
    <t>73</t>
  </si>
  <si>
    <t>https://www.law.go.kr/LSW/admRulLsInfoP.do?admRulId=2075025&amp;efYd=432#AJAX</t>
  </si>
  <si>
    <t>90</t>
  </si>
  <si>
    <t>https://www.law.go.kr/LSW/admRulLsInfoP.do?admRulId=2075025&amp;efYd=433#AJAX</t>
  </si>
  <si>
    <t>204</t>
  </si>
  <si>
    <t>바이오가솔린</t>
  </si>
  <si>
    <t>https://www.law.go.kr/LSW/admRulLsInfoP.do?admRulId=2075025&amp;efYd=434#AJAX</t>
  </si>
  <si>
    <t>87</t>
  </si>
  <si>
    <t>https://www.law.go.kr/LSW/admRulLsInfoP.do?admRulId=2075025&amp;efYd=435#AJAX</t>
  </si>
  <si>
    <t>268</t>
  </si>
  <si>
    <t>바이오중유</t>
  </si>
  <si>
    <t>https://www.law.go.kr/LSW/admRulLsInfoP.do?admRulId=2075025&amp;efYd=436#AJAX</t>
  </si>
  <si>
    <t>205</t>
  </si>
  <si>
    <t>슬러지가스</t>
  </si>
  <si>
    <t>https://www.law.go.kr/LSW/admRulLsInfoP.do?admRulId=2075025&amp;efYd=437#AJAX</t>
  </si>
  <si>
    <t>206</t>
  </si>
  <si>
    <t>https://www.law.go.kr/LSW/admRulLsInfoP.do?admRulId=2075025&amp;efYd=438#AJAX</t>
  </si>
  <si>
    <t>72</t>
  </si>
  <si>
    <t>유기성폐기물</t>
  </si>
  <si>
    <t>https://www.law.go.kr/LSW/admRulLsInfoP.do?admRulId=2075025&amp;efYd=439#AJAX</t>
  </si>
  <si>
    <t>생활 폐기물 
(폐기물 매립ㆍ소각)</t>
  </si>
  <si>
    <t>207</t>
  </si>
  <si>
    <t>고무 피혁류</t>
  </si>
  <si>
    <t>https://www.law.go.kr/LSW/admRulLsInfoP.do?admRulId=2075025&amp;efYd=440#AJAX</t>
  </si>
  <si>
    <t>208</t>
  </si>
  <si>
    <t>금속류</t>
  </si>
  <si>
    <t>https://www.law.go.kr/LSW/admRulLsInfoP.do?admRulId=2075025&amp;efYd=441#AJAX</t>
  </si>
  <si>
    <t>209</t>
  </si>
  <si>
    <t>기저귀</t>
  </si>
  <si>
    <t>https://www.law.go.kr/LSW/admRulLsInfoP.do?admRulId=2075025&amp;efYd=442#AJAX</t>
  </si>
  <si>
    <t>217</t>
  </si>
  <si>
    <t>기타 생활폐기물</t>
  </si>
  <si>
    <t>https://www.law.go.kr/LSW/admRulLsInfoP.do?admRulId=2075025&amp;efYd=443#AJAX</t>
  </si>
  <si>
    <t>210</t>
  </si>
  <si>
    <t>나무류</t>
  </si>
  <si>
    <t>https://www.law.go.kr/LSW/admRulLsInfoP.do?admRulId=2075025&amp;efYd=444#AJAX</t>
  </si>
  <si>
    <t>211</t>
  </si>
  <si>
    <t>섬유류</t>
  </si>
  <si>
    <t>https://www.law.go.kr/LSW/admRulLsInfoP.do?admRulId=2075025&amp;efYd=445#AJAX</t>
  </si>
  <si>
    <t>212</t>
  </si>
  <si>
    <t>유리류</t>
  </si>
  <si>
    <t>https://www.law.go.kr/LSW/admRulLsInfoP.do?admRulId=2075025&amp;efYd=446#AJAX</t>
  </si>
  <si>
    <t>213</t>
  </si>
  <si>
    <t>음식물류</t>
  </si>
  <si>
    <t>https://www.law.go.kr/LSW/admRulLsInfoP.do?admRulId=2075025&amp;efYd=447#AJAX</t>
  </si>
  <si>
    <t>214</t>
  </si>
  <si>
    <t>정원 및 공원 폐기물류</t>
  </si>
  <si>
    <t>https://www.law.go.kr/LSW/admRulLsInfoP.do?admRulId=2075025&amp;efYd=448#AJAX</t>
  </si>
  <si>
    <t>215</t>
  </si>
  <si>
    <t>종이류</t>
  </si>
  <si>
    <t>https://www.law.go.kr/LSW/admRulLsInfoP.do?admRulId=2075025&amp;efYd=449#AJAX</t>
  </si>
  <si>
    <t>216</t>
  </si>
  <si>
    <t>플라스틱류</t>
  </si>
  <si>
    <t>https://www.law.go.kr/LSW/admRulLsInfoP.do?admRulId=2075025&amp;efYd=450#AJAX</t>
  </si>
  <si>
    <t>218</t>
  </si>
  <si>
    <t>혼합 폐기물(bulk)</t>
  </si>
  <si>
    <t>https://www.law.go.kr/LSW/admRulLsInfoP.do?admRulId=2075025&amp;efYd=451#AJAX</t>
  </si>
  <si>
    <t>사업장 폐기물 (폐기물 매립ㆍ소각)</t>
  </si>
  <si>
    <t>219</t>
  </si>
  <si>
    <t>건설 및 파쇄 잔재물</t>
  </si>
  <si>
    <t>https://www.law.go.kr/LSW/admRulLsInfoP.do?admRulId=2075025&amp;efYd=452#AJAX</t>
  </si>
  <si>
    <t>229</t>
  </si>
  <si>
    <t>기타 사업장 폐기물</t>
  </si>
  <si>
    <t>https://www.law.go.kr/LSW/admRulLsInfoP.do?admRulId=2075025&amp;efYd=453#AJAX</t>
  </si>
  <si>
    <t>220</t>
  </si>
  <si>
    <t>석유제품, 용매, 플라스틱류</t>
  </si>
  <si>
    <t>https://www.law.go.kr/LSW/admRulLsInfoP.do?admRulId=2075025&amp;efYd=454#AJAX</t>
  </si>
  <si>
    <t>221</t>
  </si>
  <si>
    <t>https://www.law.go.kr/LSW/admRulLsInfoP.do?admRulId=2075025&amp;efYd=455#AJAX</t>
  </si>
  <si>
    <t>222</t>
  </si>
  <si>
    <t>의료폐기물</t>
  </si>
  <si>
    <t>https://www.law.go.kr/LSW/admRulLsInfoP.do?admRulId=2075025&amp;efYd=456#AJAX</t>
  </si>
  <si>
    <t>223</t>
  </si>
  <si>
    <t>https://www.law.go.kr/LSW/admRulLsInfoP.do?admRulId=2075025&amp;efYd=457#AJAX</t>
  </si>
  <si>
    <t>224</t>
  </si>
  <si>
    <t>https://www.law.go.kr/LSW/admRulLsInfoP.do?admRulId=2075025&amp;efYd=458#AJAX</t>
  </si>
  <si>
    <t>227</t>
  </si>
  <si>
    <t>폐수 슬러지(오니)</t>
  </si>
  <si>
    <t>https://www.law.go.kr/LSW/admRulLsInfoP.do?admRulId=2075025&amp;efYd=459#AJAX</t>
  </si>
  <si>
    <t>225</t>
  </si>
  <si>
    <t>https://www.law.go.kr/LSW/admRulLsInfoP.do?admRulId=2075025&amp;efYd=460#AJAX</t>
  </si>
  <si>
    <t>226</t>
  </si>
  <si>
    <t>https://www.law.go.kr/LSW/admRulLsInfoP.do?admRulId=2075025&amp;efYd=461#AJAX</t>
  </si>
  <si>
    <t>228</t>
  </si>
  <si>
    <t>하수 슬러지(오니)</t>
  </si>
  <si>
    <t>https://www.law.go.kr/LSW/admRulLsInfoP.do?admRulId=2075025&amp;efYd=462#AJAX</t>
  </si>
  <si>
    <t>230</t>
  </si>
  <si>
    <t>https://www.law.go.kr/LSW/admRulLsInfoP.do?admRulId=2075025&amp;efYd=463#AJAX</t>
  </si>
  <si>
    <t>260</t>
  </si>
  <si>
    <t>https://www.law.go.kr/LSW/admRulLsInfoP.do?admRulId=2075025&amp;efYd=464#AJAX</t>
  </si>
  <si>
    <t>46</t>
  </si>
  <si>
    <t>기타 고체연료</t>
  </si>
  <si>
    <t>https://www.law.go.kr/LSW/admRulLsInfoP.do?admRulId=2075025&amp;efYd=465#AJAX</t>
  </si>
  <si>
    <t>256</t>
  </si>
  <si>
    <t>기타 광석ㆍ원석(Ore)</t>
  </si>
  <si>
    <t>https://www.law.go.kr/LSW/admRulLsInfoP.do?admRulId=2075025&amp;efYd=466#AJAX</t>
  </si>
  <si>
    <t>263</t>
  </si>
  <si>
    <t>기타 기상폐기물</t>
  </si>
  <si>
    <t>https://www.law.go.kr/LSW/admRulLsInfoP.do?admRulId=2075025&amp;efYd=467#AJAX</t>
  </si>
  <si>
    <t>59</t>
  </si>
  <si>
    <t>기타 기체연료</t>
  </si>
  <si>
    <t>https://www.law.go.kr/LSW/admRulLsInfoP.do?admRulId=2075025&amp;efYd=468#AJAX</t>
  </si>
  <si>
    <t>83</t>
  </si>
  <si>
    <t>https://www.law.go.kr/LSW/admRulLsInfoP.do?admRulId=2075025&amp;efYd=469#AJAX</t>
  </si>
  <si>
    <t>259</t>
  </si>
  <si>
    <t>기타 부생오일</t>
  </si>
  <si>
    <t>https://www.law.go.kr/LSW/admRulLsInfoP.do?admRulId=2075025&amp;efYd=470#AJAX</t>
  </si>
  <si>
    <t>100</t>
  </si>
  <si>
    <t>기타 불소계 온실가스(HFCs)</t>
  </si>
  <si>
    <t>https://www.law.go.kr/LSW/admRulLsInfoP.do?admRulId=2075025&amp;efYd=471#AJAX</t>
  </si>
  <si>
    <t>101</t>
  </si>
  <si>
    <t>기타 불소계 온실가스(PFCs)</t>
  </si>
  <si>
    <t>https://www.law.go.kr/LSW/admRulLsInfoP.do?admRulId=2075025&amp;efYd=472#AJAX</t>
  </si>
  <si>
    <t>37</t>
  </si>
  <si>
    <t>기타 석유제품(기타)</t>
  </si>
  <si>
    <t>https://www.law.go.kr/LSW/admRulLsInfoP.do?admRulId=2075025&amp;efYd=473#AJAX</t>
  </si>
  <si>
    <t>262</t>
  </si>
  <si>
    <t>기타 액상폐기물</t>
  </si>
  <si>
    <t>https://www.law.go.kr/LSW/admRulLsInfoP.do?admRulId=2075025&amp;efYd=474#AJAX</t>
  </si>
  <si>
    <t>261</t>
  </si>
  <si>
    <t>https://www.law.go.kr/LSW/admRulLsInfoP.do?admRulId=2075025&amp;efYd=475#AJAX</t>
  </si>
  <si>
    <t>38</t>
  </si>
  <si>
    <t>기타 액체연료</t>
  </si>
  <si>
    <t>https://www.law.go.kr/LSW/admRulLsInfoP.do?admRulId=2075025&amp;efYd=476#AJAX</t>
  </si>
  <si>
    <t>257</t>
  </si>
  <si>
    <t>기타 원료/촉매/환원제</t>
  </si>
  <si>
    <t>https://www.law.go.kr/LSW/admRulLsInfoP.do?admRulId=2075025&amp;efYd=477#AJAX</t>
  </si>
  <si>
    <t>258</t>
  </si>
  <si>
    <t>기타 최종ㆍ중간생산물/부산물</t>
  </si>
  <si>
    <t>https://www.law.go.kr/LSW/admRulLsInfoP.do?admRulId=2075025&amp;efYd=478#AJAX</t>
  </si>
  <si>
    <t>255</t>
  </si>
  <si>
    <t>기타 탄산염류</t>
  </si>
  <si>
    <t>https://www.law.go.kr/LSW/admRulLsInfoP.do?admRulId=2075025&amp;efYd=479#AJAX</t>
  </si>
  <si>
    <t>산업공정 배출계수. 현재 한국그린테크는 공정배출 없음 — 향후 제조업 고객 대비 참조용</t>
  </si>
  <si>
    <t>[통합출처] 온실가스_인벤토리_코드_정리본_이동연소_순발열량추가.xlsx · 시트 '공정배출 배출계수 (IPCC)'</t>
  </si>
  <si>
    <t>산업 부문</t>
  </si>
  <si>
    <t>배출활동 / 공정</t>
  </si>
  <si>
    <t>산정 기준 물질</t>
  </si>
  <si>
    <t>CO₂
계수</t>
  </si>
  <si>
    <t>CH₄
계수</t>
  </si>
  <si>
    <t>N₂O
계수</t>
  </si>
  <si>
    <t>기타 GHG</t>
  </si>
  <si>
    <t>비고 / IPCC 챕터</t>
  </si>
  <si>
    <t>시멘트 생산 (클링커)</t>
  </si>
  <si>
    <t>tCO₂/t-클링커</t>
  </si>
  <si>
    <t>Ch.2.2 | Tier 1 기본값 0.510</t>
  </si>
  <si>
    <t>석회 생산 (고칼슘석회)</t>
  </si>
  <si>
    <t>석회</t>
  </si>
  <si>
    <t>tCO₂/t-석회</t>
  </si>
  <si>
    <t>Ch.2.3 | CaO 95% 기준</t>
  </si>
  <si>
    <t>석회 생산 (돌로마이트석회)</t>
  </si>
  <si>
    <t>Ch.2.3 | CaO+MgO 95% 기준</t>
  </si>
  <si>
    <t>tCO₂/t-유리</t>
  </si>
  <si>
    <t>Ch.2.5 | 소다석회유리 기준</t>
  </si>
  <si>
    <t>탄산염 기타 공정 사용</t>
  </si>
  <si>
    <t>탄산칼슘(CaCO₃)</t>
  </si>
  <si>
    <t>tCO₂/t-CaCO₃</t>
  </si>
  <si>
    <t>Ch.2.4 | 화학양론적 계산값</t>
  </si>
  <si>
    <t>탄산마그네슘(MgCO₃)</t>
  </si>
  <si>
    <t>tCO₂/t-MgCO₃</t>
  </si>
  <si>
    <t>Ch.2.4</t>
  </si>
  <si>
    <t>배연탈황 (FGD)</t>
  </si>
  <si>
    <t>철강 산업</t>
  </si>
  <si>
    <t>일관제철 공정 (선철 생산)</t>
  </si>
  <si>
    <t>선철</t>
  </si>
  <si>
    <t>tCO₂/t-선철</t>
  </si>
  <si>
    <t>Ch.4.2 | 탄소 투입량 기준</t>
  </si>
  <si>
    <t>전기로 제강 (EAF)</t>
  </si>
  <si>
    <t>tCO₂/t-조강</t>
  </si>
  <si>
    <t>Ch.4.2 | 전극 소모 기준</t>
  </si>
  <si>
    <t>합금철 생산 (페로크롬)</t>
  </si>
  <si>
    <t>페로크롬</t>
  </si>
  <si>
    <t>tCO₂/t-제품</t>
  </si>
  <si>
    <t>Ch.4.3</t>
  </si>
  <si>
    <t>합금철 생산 (페로망간)</t>
  </si>
  <si>
    <t>페로망간</t>
  </si>
  <si>
    <t>합금철 생산 (페로실리콘25%)</t>
  </si>
  <si>
    <t>페로실리콘</t>
  </si>
  <si>
    <t>비철금속</t>
  </si>
  <si>
    <t>원알루미늄 생산 (전해조 양극)</t>
  </si>
  <si>
    <t>알루미늄</t>
  </si>
  <si>
    <t>tCO₂/t-Al</t>
  </si>
  <si>
    <t>CF₄·C₂F₆</t>
  </si>
  <si>
    <t>Ch.4.4 | Prebake 양극 기준</t>
  </si>
  <si>
    <t>원알루미늄 생산 (PFC: CF₄)</t>
  </si>
  <si>
    <t>kg-CF₄/t-Al</t>
  </si>
  <si>
    <t>0.34 kg/t</t>
  </si>
  <si>
    <t>Ch.4.4 | Prebake 기준</t>
  </si>
  <si>
    <t>원알루미늄 생산 (PFC: C₂F₆)</t>
  </si>
  <si>
    <t>kg-C₂F₆/t-Al</t>
  </si>
  <si>
    <t>0.034 kg/t</t>
  </si>
  <si>
    <t>Ch.4.4</t>
  </si>
  <si>
    <t>납 생산</t>
  </si>
  <si>
    <t>tCO₂/t-Pb</t>
  </si>
  <si>
    <t>Ch.4.6</t>
  </si>
  <si>
    <t>아연 생산 (소결로)</t>
  </si>
  <si>
    <t>tCO₂/t-Zn</t>
  </si>
  <si>
    <t>Ch.4.7</t>
  </si>
  <si>
    <t>화학 산업</t>
  </si>
  <si>
    <t>암모니아</t>
  </si>
  <si>
    <t>tCO₂/t-NH₃</t>
  </si>
  <si>
    <t>Ch.3.2 | 천연가스 스팀개질 기준</t>
  </si>
  <si>
    <t>질산</t>
  </si>
  <si>
    <t>kg-N₂O/t-HNO₃</t>
  </si>
  <si>
    <t>Ch.3.3 | 범위: 2~19 kg/t</t>
  </si>
  <si>
    <t>아디프산</t>
  </si>
  <si>
    <t>kg-N₂O/t-아디프산</t>
  </si>
  <si>
    <t>Ch.3.4 | 저감 전 기준</t>
  </si>
  <si>
    <t>kg-N₂O/t-카프로락탐</t>
  </si>
  <si>
    <t>Ch.3.5</t>
  </si>
  <si>
    <t>소다회 생산 (솔베이법)</t>
  </si>
  <si>
    <t>소다회</t>
  </si>
  <si>
    <t>tCO₂/t-Na₂CO₃</t>
  </si>
  <si>
    <t>Ch.3.8</t>
  </si>
  <si>
    <t>카바이드</t>
  </si>
  <si>
    <t>tCO₂/t-카바이드</t>
  </si>
  <si>
    <t>Ch.3.9</t>
  </si>
  <si>
    <t>이산화티탄 생산 (염소법)</t>
  </si>
  <si>
    <t>TiO₂</t>
  </si>
  <si>
    <t>tCO₂/t-TiO₂</t>
  </si>
  <si>
    <t>Ch.3.10</t>
  </si>
  <si>
    <t>석유화학 (에틸렌)</t>
  </si>
  <si>
    <t>에틸렌</t>
  </si>
  <si>
    <t>tCO₂/t-에틸렌</t>
  </si>
  <si>
    <t>Ch.3.11 | 나프타 크래킹</t>
  </si>
  <si>
    <t>석유 정제</t>
  </si>
  <si>
    <t>수소 제조 (스팀개질)</t>
  </si>
  <si>
    <t>수소</t>
  </si>
  <si>
    <t>tCO₂/t-H₂</t>
  </si>
  <si>
    <t>Ch.3.12</t>
  </si>
  <si>
    <t>촉매 재생 (FCC)</t>
  </si>
  <si>
    <t>코크스 소모량</t>
  </si>
  <si>
    <t>tCO₂/t-코크스</t>
  </si>
  <si>
    <t>Ch.3.13</t>
  </si>
  <si>
    <t>전자 산업</t>
  </si>
  <si>
    <t>반도체 식각/세정 (NF₃)</t>
  </si>
  <si>
    <t>생산량</t>
  </si>
  <si>
    <t>kg-NF₃/m²-웨이퍼</t>
  </si>
  <si>
    <t>기술별 상이</t>
  </si>
  <si>
    <t>Ch.6.3 | Tier 1 기본값 없음, Tier 2 권장</t>
  </si>
  <si>
    <t>반도체 식각 (SF₆)</t>
  </si>
  <si>
    <t>kg-SF₆/m²-웨이퍼</t>
  </si>
  <si>
    <t>Ch.6.3</t>
  </si>
  <si>
    <t>폐기물</t>
  </si>
  <si>
    <t>매립지 가스 (고형폐기물 매립)</t>
  </si>
  <si>
    <t>Gg-CH₄/Gg-폐기물</t>
  </si>
  <si>
    <t>Ch.5.2 | 분해성 DOC 기준</t>
  </si>
  <si>
    <t>하수 슬러지 혐기성 처리</t>
  </si>
  <si>
    <t>하수</t>
  </si>
  <si>
    <t>kg-CH₄/BOD-제거량(kg)</t>
  </si>
  <si>
    <t>Ch.5.4 | MCF=1 기준</t>
  </si>
  <si>
    <t>폐수 (혐기성 소화)</t>
  </si>
  <si>
    <t>폐수</t>
  </si>
  <si>
    <t>Ch.5.4</t>
  </si>
  <si>
    <t>퇴비화 (호기성 분해)</t>
  </si>
  <si>
    <t>유기폐기물</t>
  </si>
  <si>
    <t>g-CH₄/kg-폐기물</t>
  </si>
  <si>
    <t>Ch.5.3</t>
  </si>
  <si>
    <t>퇴비화 (N₂O)</t>
  </si>
  <si>
    <t>g-N₂O/kg-폐기물</t>
  </si>
  <si>
    <t>※ 공정배출은 연소 없이 화학적·물리적 변환에서 발생하는 배출 (연소 배출과 별도 산정). CO₂ 계수 단위: tCO₂/t-제품 (별도 표기 없으면), CH₄·N₂O: kg/TJ 기준 아님에 유의.</t>
  </si>
  <si>
    <t>※ "-" 표시는 해당 공정에서 유의미한 배출 없음 또는 해당 가스 배출계수 없음을 의미. 전자산업·일부 화학산업은 Tier 1 기본값 없이 Tier 2/3 권장.</t>
  </si>
  <si>
    <t>C3(연료 및 에너지 관련 활동) 전용 배출계수 DB  |  Scope1·Scope2에 포함되지 않는 업스트림(채굴·정제·수송) 배출 및 송배전 손실분  |  출처: 환경성적표지(EPD) LCI DB · 국립환경과학원 Scope3 가이드라인</t>
  </si>
  <si>
    <t>산정식: 사용량(단위) × EF(kgCO2eq/단위) / 1000 → tCO2e  |  C8/C13(임차·임대자산)의 '에너지' 시트(직접연소·Scope2용)와는 별도로, C3 계산에는 반드시 이 시트를 사용합니다.</t>
  </si>
  <si>
    <t>No.</t>
  </si>
  <si>
    <t>기준단위</t>
  </si>
  <si>
    <t>EF
(kgCO2eq/단위) ★</t>
  </si>
  <si>
    <t>출처/비고</t>
  </si>
  <si>
    <t>벙커C유</t>
  </si>
  <si>
    <t>스팀</t>
  </si>
  <si>
    <t>GJ</t>
  </si>
  <si>
    <r>
      <rPr>
        <sz val="9"/>
        <rFont val="맑은 고딕"/>
        <family val="3"/>
        <charset val="129"/>
      </rPr>
      <t>국립환경과학원</t>
    </r>
    <r>
      <rPr>
        <sz val="9"/>
        <rFont val="Arial"/>
        <family val="2"/>
      </rPr>
      <t xml:space="preserve">_Scope3 </t>
    </r>
    <r>
      <rPr>
        <sz val="9"/>
        <rFont val="맑은 고딕"/>
        <family val="3"/>
        <charset val="129"/>
      </rPr>
      <t>가이드라인</t>
    </r>
    <r>
      <rPr>
        <sz val="9"/>
        <rFont val="Arial"/>
        <family val="2"/>
      </rPr>
      <t>(</t>
    </r>
    <r>
      <rPr>
        <sz val="9"/>
        <rFont val="맑은 고딕"/>
        <family val="3"/>
        <charset val="129"/>
      </rPr>
      <t>업스트림</t>
    </r>
    <r>
      <rPr>
        <sz val="9"/>
        <rFont val="Arial"/>
        <family val="2"/>
      </rPr>
      <t xml:space="preserve">, Scope2 </t>
    </r>
    <r>
      <rPr>
        <sz val="9"/>
        <rFont val="맑은 고딕"/>
        <family val="3"/>
        <charset val="129"/>
      </rPr>
      <t>전력배출계수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차감</t>
    </r>
    <r>
      <rPr>
        <sz val="9"/>
        <rFont val="Arial"/>
        <family val="2"/>
      </rPr>
      <t>)</t>
    </r>
    <r>
      <rPr>
        <sz val="9"/>
        <rFont val="Noto Sans CJK SC"/>
      </rPr>
      <t xml:space="preserve"> 0.5304-0.45941</t>
    </r>
    <phoneticPr fontId="22" type="noConversion"/>
  </si>
  <si>
    <r>
      <rPr>
        <b/>
        <sz val="11"/>
        <color rgb="FFFFFFFF"/>
        <rFont val="맑은 고딕"/>
        <family val="3"/>
        <charset val="129"/>
      </rPr>
      <t>에너지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배출계수</t>
    </r>
    <r>
      <rPr>
        <b/>
        <sz val="11"/>
        <color rgb="FFFFFFFF"/>
        <rFont val="Arial"/>
        <family val="2"/>
      </rPr>
      <t xml:space="preserve"> DB  |  C8 </t>
    </r>
    <r>
      <rPr>
        <b/>
        <sz val="11"/>
        <color rgb="FFFFFFFF"/>
        <rFont val="맑은 고딕"/>
        <family val="3"/>
        <charset val="129"/>
      </rPr>
      <t>임차자산</t>
    </r>
    <r>
      <rPr>
        <b/>
        <sz val="11"/>
        <color rgb="FFFFFFFF"/>
        <rFont val="Arial"/>
        <family val="2"/>
      </rPr>
      <t xml:space="preserve"> / C13 </t>
    </r>
    <r>
      <rPr>
        <b/>
        <sz val="11"/>
        <color rgb="FFFFFFFF"/>
        <rFont val="맑은 고딕"/>
        <family val="3"/>
        <charset val="129"/>
      </rPr>
      <t>임대자산</t>
    </r>
    <r>
      <rPr>
        <b/>
        <sz val="11"/>
        <color rgb="FFFFFFFF"/>
        <rFont val="Arial"/>
        <family val="2"/>
      </rPr>
      <t xml:space="preserve">  |  </t>
    </r>
    <r>
      <rPr>
        <b/>
        <sz val="11"/>
        <color rgb="FFFFFFFF"/>
        <rFont val="맑은 고딕"/>
        <family val="3"/>
        <charset val="129"/>
      </rPr>
      <t>출처</t>
    </r>
    <r>
      <rPr>
        <b/>
        <sz val="11"/>
        <color rgb="FFFFFFFF"/>
        <rFont val="Arial"/>
        <family val="2"/>
      </rPr>
      <t xml:space="preserve">: </t>
    </r>
    <r>
      <rPr>
        <b/>
        <sz val="11"/>
        <color rgb="FFFFFFFF"/>
        <rFont val="맑은 고딕"/>
        <family val="3"/>
        <charset val="129"/>
      </rPr>
      <t>국가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온실가스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배출계수</t>
    </r>
    <r>
      <rPr>
        <b/>
        <sz val="11"/>
        <color rgb="FFFFFFFF"/>
        <rFont val="Arial"/>
        <family val="2"/>
      </rPr>
      <t xml:space="preserve"> (GIR/GIR 2022.1 </t>
    </r>
    <r>
      <rPr>
        <b/>
        <sz val="11"/>
        <color rgb="FFFFFFFF"/>
        <rFont val="맑은 고딕"/>
        <family val="3"/>
        <charset val="129"/>
      </rPr>
      <t>공표</t>
    </r>
    <r>
      <rPr>
        <b/>
        <sz val="11"/>
        <color rgb="FFFFFFFF"/>
        <rFont val="Arial"/>
        <family val="2"/>
      </rPr>
      <t xml:space="preserve">, </t>
    </r>
    <r>
      <rPr>
        <b/>
        <sz val="11"/>
        <color rgb="FFFFFFFF"/>
        <rFont val="맑은 고딕"/>
        <family val="3"/>
        <charset val="129"/>
      </rPr>
      <t>전력</t>
    </r>
    <r>
      <rPr>
        <b/>
        <sz val="11"/>
        <color rgb="FFFFFFFF"/>
        <rFont val="Arial"/>
        <family val="2"/>
      </rPr>
      <t xml:space="preserve"> 2025.12 </t>
    </r>
    <r>
      <rPr>
        <b/>
        <sz val="11"/>
        <color rgb="FFFFFFFF"/>
        <rFont val="맑은 고딕"/>
        <family val="3"/>
        <charset val="129"/>
      </rPr>
      <t>최신</t>
    </r>
    <r>
      <rPr>
        <b/>
        <sz val="11"/>
        <color rgb="FFFFFFFF"/>
        <rFont val="Arial"/>
        <family val="2"/>
      </rPr>
      <t>)</t>
    </r>
    <phoneticPr fontId="22" type="noConversion"/>
  </si>
  <si>
    <r>
      <rPr>
        <sz val="9"/>
        <rFont val="맑은 고딕"/>
        <family val="3"/>
        <charset val="129"/>
      </rPr>
      <t>국립환경과학원</t>
    </r>
    <r>
      <rPr>
        <sz val="9"/>
        <rFont val="Arial"/>
        <family val="2"/>
      </rPr>
      <t xml:space="preserve">_Scope3 </t>
    </r>
    <r>
      <rPr>
        <sz val="9"/>
        <rFont val="맑은 고딕"/>
        <family val="3"/>
        <charset val="129"/>
      </rPr>
      <t>가이드라인</t>
    </r>
    <r>
      <rPr>
        <sz val="9"/>
        <rFont val="Arial"/>
        <family val="2"/>
      </rPr>
      <t>(</t>
    </r>
    <r>
      <rPr>
        <sz val="9"/>
        <rFont val="맑은 고딕"/>
        <family val="3"/>
        <charset val="129"/>
      </rPr>
      <t>업스트림</t>
    </r>
    <r>
      <rPr>
        <sz val="9"/>
        <rFont val="Arial"/>
        <family val="2"/>
      </rPr>
      <t xml:space="preserve">, Scope2 </t>
    </r>
    <r>
      <rPr>
        <sz val="9"/>
        <rFont val="맑은 고딕"/>
        <family val="3"/>
        <charset val="129"/>
      </rPr>
      <t>전력배출계수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차감</t>
    </r>
    <r>
      <rPr>
        <sz val="9"/>
        <rFont val="Arial"/>
        <family val="2"/>
      </rPr>
      <t>)</t>
    </r>
    <r>
      <rPr>
        <sz val="9"/>
        <rFont val="Noto Sans CJK SC"/>
      </rPr>
      <t xml:space="preserve"> 한국지역난방공사 18개 지사 제조전 탄소발자국 평균값</t>
    </r>
    <phoneticPr fontId="22" type="noConversion"/>
  </si>
  <si>
    <t>환경성적표지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</si>
</sst>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"/>
    <numFmt numFmtId="177" formatCode="0.000"/>
    <numFmt numFmtId="178" formatCode="0.00000"/>
    <numFmt numFmtId="179" formatCode="0.000000000"/>
    <numFmt numFmtId="180" formatCode="0.00000000"/>
  </numFmts>
  <fonts count="31">
    <font>
      <sz val="11"/>
      <color theme="1"/>
      <name val="Calibri"/>
      <charset val="1"/>
    </font>
    <font>
      <b/>
      <sz val="11"/>
      <color rgb="FFFFFFFF"/>
      <name val="Noto Sans CJK SC"/>
      <family val="2"/>
      <charset val="1"/>
    </font>
    <font>
      <i/>
      <sz val="8"/>
      <color rgb="FF7D4706"/>
      <name val="Noto Sans CJK SC"/>
      <family val="2"/>
      <charset val="1"/>
    </font>
    <font>
      <b/>
      <sz val="9"/>
      <color rgb="FFFFFFFF"/>
      <name val="Noto Sans CJK SC"/>
      <family val="2"/>
      <charset val="1"/>
    </font>
    <font>
      <b/>
      <sz val="9"/>
      <color rgb="FFFFFFFF"/>
      <name val="Arial"/>
      <family val="2"/>
      <charset val="1"/>
    </font>
    <font>
      <sz val="9"/>
      <color rgb="FF000000"/>
      <name val="Noto Sans CJK SC"/>
      <family val="2"/>
      <charset val="1"/>
    </font>
    <font>
      <sz val="9"/>
      <color rgb="FF000000"/>
      <name val="Arial"/>
      <family val="2"/>
      <charset val="1"/>
    </font>
    <font>
      <sz val="9"/>
      <color rgb="FF000000"/>
      <name val="Noto Sans CJK SC"/>
      <family val="2"/>
    </font>
    <font>
      <sz val="9"/>
      <color rgb="FFAAAAAA"/>
      <name val="Arial"/>
      <family val="2"/>
      <charset val="1"/>
    </font>
    <font>
      <sz val="11"/>
      <color theme="1"/>
      <name val="Noto Sans CJK SC"/>
      <family val="2"/>
      <charset val="1"/>
    </font>
    <font>
      <i/>
      <sz val="8"/>
      <color rgb="FF595959"/>
      <name val="Noto Sans CJK SC"/>
      <family val="2"/>
      <charset val="1"/>
    </font>
    <font>
      <b/>
      <sz val="11"/>
      <color rgb="FFFFFFFF"/>
      <name val="Arial"/>
      <family val="2"/>
      <charset val="1"/>
    </font>
    <font>
      <sz val="11"/>
      <color theme="1"/>
      <name val="Malgun Gothic"/>
      <family val="3"/>
      <charset val="129"/>
    </font>
    <font>
      <b/>
      <sz val="9"/>
      <color rgb="FF000000"/>
      <name val="Arial"/>
      <family val="2"/>
      <charset val="1"/>
    </font>
    <font>
      <b/>
      <sz val="9"/>
      <color rgb="FF000000"/>
      <name val="Noto Sans CJK SC"/>
      <family val="2"/>
      <charset val="1"/>
    </font>
    <font>
      <sz val="8"/>
      <color rgb="FF000000"/>
      <name val="Arial"/>
      <family val="2"/>
      <charset val="1"/>
    </font>
    <font>
      <b/>
      <sz val="8"/>
      <color rgb="FFFFFFFF"/>
      <name val="Arial"/>
      <family val="2"/>
      <charset val="1"/>
    </font>
    <font>
      <sz val="9"/>
      <color rgb="FF000000"/>
      <name val="Arial"/>
      <family val="2"/>
    </font>
    <font>
      <b/>
      <sz val="9"/>
      <color rgb="FF7D4706"/>
      <name val="Noto Sans CJK SC"/>
      <family val="2"/>
      <charset val="1"/>
    </font>
    <font>
      <b/>
      <sz val="11"/>
      <name val="Noto Sans CJK SC"/>
      <family val="2"/>
      <charset val="1"/>
    </font>
    <font>
      <i/>
      <sz val="9"/>
      <color rgb="FF808080"/>
      <name val="Cambria"/>
      <family val="1"/>
      <charset val="1"/>
    </font>
    <font>
      <b/>
      <sz val="11"/>
      <name val="Cambria"/>
      <family val="1"/>
      <charset val="1"/>
    </font>
    <font>
      <sz val="8"/>
      <name val="돋움"/>
      <family val="3"/>
      <charset val="129"/>
    </font>
    <font>
      <b/>
      <sz val="9"/>
      <color rgb="FFFFFFFF"/>
      <name val="Noto Sans CJK SC"/>
    </font>
    <font>
      <sz val="9"/>
      <name val="Noto Sans CJK SC"/>
    </font>
    <font>
      <sz val="9"/>
      <name val="맑은 고딕"/>
      <family val="3"/>
      <charset val="129"/>
    </font>
    <font>
      <sz val="9"/>
      <name val="Arial"/>
      <family val="2"/>
    </font>
    <font>
      <sz val="9"/>
      <name val="Noto Sans CJK SC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3"/>
      <charset val="129"/>
    </font>
  </fonts>
  <fills count="50">
    <fill>
      <patternFill patternType="none"/>
    </fill>
    <fill>
      <patternFill patternType="gray125"/>
    </fill>
    <fill>
      <patternFill patternType="solid">
        <fgColor rgb="FF1F4E79"/>
        <bgColor rgb="FF1A4F78"/>
      </patternFill>
    </fill>
    <fill>
      <patternFill patternType="solid">
        <fgColor rgb="FFFFF2CC"/>
        <bgColor rgb="FFFFF3E0"/>
      </patternFill>
    </fill>
    <fill>
      <patternFill patternType="solid">
        <fgColor rgb="FF2E75B6"/>
        <bgColor rgb="FF1F4E79"/>
      </patternFill>
    </fill>
    <fill>
      <patternFill patternType="solid">
        <fgColor rgb="FF1A4F78"/>
        <bgColor rgb="FF1F4E79"/>
      </patternFill>
    </fill>
    <fill>
      <patternFill patternType="solid">
        <fgColor rgb="FF375623"/>
        <bgColor rgb="FF404040"/>
      </patternFill>
    </fill>
    <fill>
      <patternFill patternType="solid">
        <fgColor rgb="FFE2EFDA"/>
        <bgColor rgb="FFE5EED2"/>
      </patternFill>
    </fill>
    <fill>
      <patternFill patternType="solid">
        <fgColor rgb="FFD4EAC8"/>
        <bgColor rgb="FFD7EED2"/>
      </patternFill>
    </fill>
    <fill>
      <patternFill patternType="solid">
        <fgColor rgb="FFFDE9B5"/>
        <bgColor rgb="FFFFE0B2"/>
      </patternFill>
    </fill>
    <fill>
      <patternFill patternType="solid">
        <fgColor rgb="FFDDEEFF"/>
        <bgColor rgb="FFDDEBF7"/>
      </patternFill>
    </fill>
    <fill>
      <patternFill patternType="solid">
        <fgColor rgb="FFF2E0FF"/>
        <bgColor rgb="FFF2F2F2"/>
      </patternFill>
    </fill>
    <fill>
      <patternFill patternType="solid">
        <fgColor rgb="FFF5F5F5"/>
        <bgColor rgb="FFF2F2F2"/>
      </patternFill>
    </fill>
    <fill>
      <patternFill patternType="solid">
        <fgColor rgb="FF595959"/>
        <bgColor rgb="FF404040"/>
      </patternFill>
    </fill>
    <fill>
      <patternFill patternType="solid">
        <fgColor rgb="FFFFFFFF"/>
        <bgColor rgb="FFFFF9F0"/>
      </patternFill>
    </fill>
    <fill>
      <patternFill patternType="solid">
        <fgColor rgb="FFC9DAF8"/>
        <bgColor rgb="FFD2DCEE"/>
      </patternFill>
    </fill>
    <fill>
      <patternFill patternType="solid">
        <fgColor rgb="FFEFF7FF"/>
        <bgColor rgb="FFF5F5F5"/>
      </patternFill>
    </fill>
    <fill>
      <patternFill patternType="solid">
        <fgColor rgb="FFFFF9F0"/>
        <bgColor rgb="FFFFFDE7"/>
      </patternFill>
    </fill>
    <fill>
      <patternFill patternType="solid">
        <fgColor rgb="FFBDD7EE"/>
        <bgColor rgb="FFC9DAF8"/>
      </patternFill>
    </fill>
    <fill>
      <patternFill patternType="solid">
        <fgColor rgb="FFF2F2F2"/>
        <bgColor rgb="FFF5F5F5"/>
      </patternFill>
    </fill>
    <fill>
      <patternFill patternType="solid">
        <fgColor rgb="FF404040"/>
        <bgColor rgb="FF375623"/>
      </patternFill>
    </fill>
    <fill>
      <patternFill patternType="solid">
        <fgColor rgb="FF7D6608"/>
        <bgColor rgb="FF7D4706"/>
      </patternFill>
    </fill>
    <fill>
      <patternFill patternType="solid">
        <fgColor rgb="FFFFF3E0"/>
        <bgColor rgb="FFFFF2CC"/>
      </patternFill>
    </fill>
    <fill>
      <patternFill patternType="solid">
        <fgColor rgb="FFBF360C"/>
        <bgColor rgb="FFE65100"/>
      </patternFill>
    </fill>
    <fill>
      <patternFill patternType="solid">
        <fgColor rgb="FFE65100"/>
        <bgColor rgb="FFBF360C"/>
      </patternFill>
    </fill>
    <fill>
      <patternFill patternType="solid">
        <fgColor rgb="FFF57F17"/>
        <bgColor rgb="FFE65100"/>
      </patternFill>
    </fill>
    <fill>
      <patternFill patternType="solid">
        <fgColor rgb="FFEED2D2"/>
        <bgColor rgb="FFEED2D9"/>
      </patternFill>
    </fill>
    <fill>
      <patternFill patternType="solid">
        <fgColor rgb="FFEED9D2"/>
        <bgColor rgb="FFEED2D2"/>
      </patternFill>
    </fill>
    <fill>
      <patternFill patternType="solid">
        <fgColor rgb="FFEEE0D2"/>
        <bgColor rgb="FFEED9D2"/>
      </patternFill>
    </fill>
    <fill>
      <patternFill patternType="solid">
        <fgColor rgb="FFEEE8D2"/>
        <bgColor rgb="FFECEED2"/>
      </patternFill>
    </fill>
    <fill>
      <patternFill patternType="solid">
        <fgColor rgb="FFECEED2"/>
        <bgColor rgb="FFE5EED2"/>
      </patternFill>
    </fill>
    <fill>
      <patternFill patternType="solid">
        <fgColor rgb="FFE5EED2"/>
        <bgColor rgb="FFE2EFDA"/>
      </patternFill>
    </fill>
    <fill>
      <patternFill patternType="solid">
        <fgColor rgb="FFDEEED2"/>
        <bgColor rgb="FFE2EFDA"/>
      </patternFill>
    </fill>
    <fill>
      <patternFill patternType="solid">
        <fgColor rgb="FFD7EED2"/>
        <bgColor rgb="FFD2EED5"/>
      </patternFill>
    </fill>
    <fill>
      <patternFill patternType="solid">
        <fgColor rgb="FFD2EED5"/>
        <bgColor rgb="FFD2EEDC"/>
      </patternFill>
    </fill>
    <fill>
      <patternFill patternType="solid">
        <fgColor rgb="FFD2EEDC"/>
        <bgColor rgb="FFD2EEE3"/>
      </patternFill>
    </fill>
    <fill>
      <patternFill patternType="solid">
        <fgColor rgb="FFD2EEE3"/>
        <bgColor rgb="FFD2EEDC"/>
      </patternFill>
    </fill>
    <fill>
      <patternFill patternType="solid">
        <fgColor rgb="FFD2EAEE"/>
        <bgColor rgb="FFD2EEE3"/>
      </patternFill>
    </fill>
    <fill>
      <patternFill patternType="solid">
        <fgColor rgb="FFD2E3EE"/>
        <bgColor rgb="FFD2EAEE"/>
      </patternFill>
    </fill>
    <fill>
      <patternFill patternType="solid">
        <fgColor rgb="FFD2DCEE"/>
        <bgColor rgb="FFD2D5EE"/>
      </patternFill>
    </fill>
    <fill>
      <patternFill patternType="solid">
        <fgColor rgb="FFD2D5EE"/>
        <bgColor rgb="FFD7D2EE"/>
      </patternFill>
    </fill>
    <fill>
      <patternFill patternType="solid">
        <fgColor rgb="FFD7D2EE"/>
        <bgColor rgb="FFD2D5EE"/>
      </patternFill>
    </fill>
    <fill>
      <patternFill patternType="solid">
        <fgColor rgb="FFEED2D9"/>
        <bgColor rgb="FFEED2D2"/>
      </patternFill>
    </fill>
    <fill>
      <patternFill patternType="solid">
        <fgColor rgb="FFFFE0B2"/>
        <bgColor rgb="FFFDE9B5"/>
      </patternFill>
    </fill>
    <fill>
      <patternFill patternType="solid">
        <fgColor rgb="FFFFFDE7"/>
        <bgColor rgb="FFFFF9F0"/>
      </patternFill>
    </fill>
    <fill>
      <patternFill patternType="solid">
        <fgColor rgb="FFDAEEF3"/>
        <bgColor rgb="FFDDEBF7"/>
      </patternFill>
    </fill>
    <fill>
      <patternFill patternType="solid">
        <fgColor rgb="FFDDEBF7"/>
        <bgColor rgb="FFDAEEF3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375623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176" fontId="6" fillId="7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176" fontId="6" fillId="8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176" fontId="6" fillId="9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176" fontId="6" fillId="10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176" fontId="6" fillId="11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177" fontId="6" fillId="12" borderId="1" xfId="0" applyNumberFormat="1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177" fontId="6" fillId="14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178" fontId="6" fillId="15" borderId="1" xfId="0" applyNumberFormat="1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left" vertical="center" wrapText="1"/>
    </xf>
    <xf numFmtId="178" fontId="6" fillId="16" borderId="1" xfId="0" applyNumberFormat="1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center" vertical="center" wrapText="1"/>
    </xf>
    <xf numFmtId="178" fontId="6" fillId="17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79" fontId="6" fillId="7" borderId="1" xfId="0" applyNumberFormat="1" applyFont="1" applyFill="1" applyBorder="1" applyAlignment="1">
      <alignment horizontal="center" vertical="center" wrapText="1"/>
    </xf>
    <xf numFmtId="179" fontId="6" fillId="3" borderId="1" xfId="0" applyNumberFormat="1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left" vertical="center" wrapText="1"/>
    </xf>
    <xf numFmtId="179" fontId="6" fillId="18" borderId="1" xfId="0" applyNumberFormat="1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center" vertical="center" wrapText="1"/>
    </xf>
    <xf numFmtId="179" fontId="6" fillId="19" borderId="1" xfId="0" applyNumberFormat="1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left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12" fillId="20" borderId="0" xfId="0" applyFont="1" applyFill="1"/>
    <xf numFmtId="0" fontId="13" fillId="19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left" vertical="center" wrapText="1"/>
    </xf>
    <xf numFmtId="179" fontId="13" fillId="19" borderId="1" xfId="0" applyNumberFormat="1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1" borderId="1" xfId="0" applyFont="1" applyFill="1" applyBorder="1" applyAlignment="1">
      <alignment horizontal="center" vertical="center" wrapText="1"/>
    </xf>
    <xf numFmtId="179" fontId="6" fillId="14" borderId="1" xfId="0" applyNumberFormat="1" applyFont="1" applyFill="1" applyBorder="1" applyAlignment="1">
      <alignment horizontal="center" vertical="center" wrapText="1"/>
    </xf>
    <xf numFmtId="179" fontId="6" fillId="12" borderId="1" xfId="0" applyNumberFormat="1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12" fillId="2" borderId="0" xfId="0" applyFont="1" applyFill="1"/>
    <xf numFmtId="0" fontId="15" fillId="22" borderId="0" xfId="0" applyFont="1" applyFill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16" fillId="23" borderId="1" xfId="0" applyFont="1" applyFill="1" applyBorder="1" applyAlignment="1">
      <alignment horizontal="center" vertical="center" wrapText="1"/>
    </xf>
    <xf numFmtId="0" fontId="16" fillId="24" borderId="1" xfId="0" applyFont="1" applyFill="1" applyBorder="1" applyAlignment="1">
      <alignment horizontal="center" vertical="center" wrapText="1"/>
    </xf>
    <xf numFmtId="0" fontId="16" fillId="25" borderId="1" xfId="0" applyFont="1" applyFill="1" applyBorder="1" applyAlignment="1">
      <alignment horizontal="center" vertical="center" wrapText="1"/>
    </xf>
    <xf numFmtId="0" fontId="7" fillId="26" borderId="2" xfId="0" applyFont="1" applyFill="1" applyBorder="1" applyAlignment="1">
      <alignment horizontal="center" vertical="center"/>
    </xf>
    <xf numFmtId="0" fontId="7" fillId="26" borderId="2" xfId="0" applyFont="1" applyFill="1" applyBorder="1" applyAlignment="1">
      <alignment horizontal="left" vertical="center"/>
    </xf>
    <xf numFmtId="0" fontId="17" fillId="26" borderId="2" xfId="0" applyFont="1" applyFill="1" applyBorder="1" applyAlignment="1">
      <alignment horizontal="center" vertical="center"/>
    </xf>
    <xf numFmtId="0" fontId="17" fillId="26" borderId="2" xfId="0" applyFont="1" applyFill="1" applyBorder="1" applyAlignment="1">
      <alignment horizontal="left" vertical="center"/>
    </xf>
    <xf numFmtId="2" fontId="17" fillId="26" borderId="2" xfId="0" applyNumberFormat="1" applyFont="1" applyFill="1" applyBorder="1" applyAlignment="1">
      <alignment horizontal="center" vertical="center"/>
    </xf>
    <xf numFmtId="180" fontId="17" fillId="26" borderId="2" xfId="0" applyNumberFormat="1" applyFont="1" applyFill="1" applyBorder="1" applyAlignment="1">
      <alignment horizontal="center" vertical="center"/>
    </xf>
    <xf numFmtId="0" fontId="7" fillId="27" borderId="2" xfId="0" applyFont="1" applyFill="1" applyBorder="1" applyAlignment="1">
      <alignment horizontal="center" vertical="center"/>
    </xf>
    <xf numFmtId="0" fontId="7" fillId="27" borderId="2" xfId="0" applyFont="1" applyFill="1" applyBorder="1" applyAlignment="1">
      <alignment horizontal="left" vertical="center"/>
    </xf>
    <xf numFmtId="0" fontId="17" fillId="27" borderId="2" xfId="0" applyFont="1" applyFill="1" applyBorder="1" applyAlignment="1">
      <alignment horizontal="center" vertical="center"/>
    </xf>
    <xf numFmtId="0" fontId="17" fillId="27" borderId="2" xfId="0" applyFont="1" applyFill="1" applyBorder="1" applyAlignment="1">
      <alignment horizontal="left" vertical="center"/>
    </xf>
    <xf numFmtId="2" fontId="17" fillId="27" borderId="2" xfId="0" applyNumberFormat="1" applyFont="1" applyFill="1" applyBorder="1" applyAlignment="1">
      <alignment horizontal="center" vertical="center"/>
    </xf>
    <xf numFmtId="180" fontId="17" fillId="27" borderId="2" xfId="0" applyNumberFormat="1" applyFont="1" applyFill="1" applyBorder="1" applyAlignment="1">
      <alignment horizontal="center" vertical="center"/>
    </xf>
    <xf numFmtId="0" fontId="7" fillId="28" borderId="2" xfId="0" applyFont="1" applyFill="1" applyBorder="1" applyAlignment="1">
      <alignment horizontal="center" vertical="center"/>
    </xf>
    <xf numFmtId="0" fontId="7" fillId="28" borderId="2" xfId="0" applyFont="1" applyFill="1" applyBorder="1" applyAlignment="1">
      <alignment horizontal="left" vertical="center"/>
    </xf>
    <xf numFmtId="0" fontId="17" fillId="28" borderId="2" xfId="0" applyFont="1" applyFill="1" applyBorder="1" applyAlignment="1">
      <alignment horizontal="center" vertical="center"/>
    </xf>
    <xf numFmtId="0" fontId="17" fillId="28" borderId="2" xfId="0" applyFont="1" applyFill="1" applyBorder="1" applyAlignment="1">
      <alignment horizontal="left" vertical="center"/>
    </xf>
    <xf numFmtId="2" fontId="17" fillId="28" borderId="2" xfId="0" applyNumberFormat="1" applyFont="1" applyFill="1" applyBorder="1" applyAlignment="1">
      <alignment horizontal="center" vertical="center"/>
    </xf>
    <xf numFmtId="180" fontId="17" fillId="28" borderId="2" xfId="0" applyNumberFormat="1" applyFont="1" applyFill="1" applyBorder="1" applyAlignment="1">
      <alignment horizontal="center" vertical="center"/>
    </xf>
    <xf numFmtId="0" fontId="7" fillId="29" borderId="2" xfId="0" applyFont="1" applyFill="1" applyBorder="1" applyAlignment="1">
      <alignment horizontal="center" vertical="center"/>
    </xf>
    <xf numFmtId="0" fontId="17" fillId="29" borderId="2" xfId="0" applyFont="1" applyFill="1" applyBorder="1" applyAlignment="1">
      <alignment horizontal="left" vertical="center"/>
    </xf>
    <xf numFmtId="0" fontId="17" fillId="29" borderId="2" xfId="0" applyFont="1" applyFill="1" applyBorder="1" applyAlignment="1">
      <alignment horizontal="center" vertical="center"/>
    </xf>
    <xf numFmtId="2" fontId="17" fillId="29" borderId="2" xfId="0" applyNumberFormat="1" applyFont="1" applyFill="1" applyBorder="1" applyAlignment="1">
      <alignment horizontal="center" vertical="center"/>
    </xf>
    <xf numFmtId="180" fontId="17" fillId="29" borderId="2" xfId="0" applyNumberFormat="1" applyFont="1" applyFill="1" applyBorder="1" applyAlignment="1">
      <alignment horizontal="center" vertical="center"/>
    </xf>
    <xf numFmtId="0" fontId="7" fillId="29" borderId="2" xfId="0" applyFont="1" applyFill="1" applyBorder="1" applyAlignment="1">
      <alignment horizontal="left" vertical="center"/>
    </xf>
    <xf numFmtId="0" fontId="7" fillId="30" borderId="2" xfId="0" applyFont="1" applyFill="1" applyBorder="1" applyAlignment="1">
      <alignment horizontal="center" vertical="center"/>
    </xf>
    <xf numFmtId="0" fontId="7" fillId="30" borderId="2" xfId="0" applyFont="1" applyFill="1" applyBorder="1" applyAlignment="1">
      <alignment horizontal="left" vertical="center"/>
    </xf>
    <xf numFmtId="0" fontId="17" fillId="30" borderId="2" xfId="0" applyFont="1" applyFill="1" applyBorder="1" applyAlignment="1">
      <alignment horizontal="center" vertical="center"/>
    </xf>
    <xf numFmtId="0" fontId="17" fillId="30" borderId="2" xfId="0" applyFont="1" applyFill="1" applyBorder="1" applyAlignment="1">
      <alignment horizontal="left" vertical="center"/>
    </xf>
    <xf numFmtId="2" fontId="17" fillId="30" borderId="2" xfId="0" applyNumberFormat="1" applyFont="1" applyFill="1" applyBorder="1" applyAlignment="1">
      <alignment horizontal="center" vertical="center"/>
    </xf>
    <xf numFmtId="180" fontId="17" fillId="30" borderId="2" xfId="0" applyNumberFormat="1" applyFont="1" applyFill="1" applyBorder="1" applyAlignment="1">
      <alignment horizontal="center" vertical="center"/>
    </xf>
    <xf numFmtId="0" fontId="17" fillId="31" borderId="2" xfId="0" applyFont="1" applyFill="1" applyBorder="1" applyAlignment="1">
      <alignment horizontal="center" vertical="center"/>
    </xf>
    <xf numFmtId="0" fontId="7" fillId="31" borderId="2" xfId="0" applyFont="1" applyFill="1" applyBorder="1" applyAlignment="1">
      <alignment horizontal="center" vertical="center"/>
    </xf>
    <xf numFmtId="0" fontId="7" fillId="31" borderId="2" xfId="0" applyFont="1" applyFill="1" applyBorder="1" applyAlignment="1">
      <alignment horizontal="left" vertical="center"/>
    </xf>
    <xf numFmtId="0" fontId="17" fillId="31" borderId="2" xfId="0" applyFont="1" applyFill="1" applyBorder="1" applyAlignment="1">
      <alignment horizontal="left" vertical="center"/>
    </xf>
    <xf numFmtId="2" fontId="17" fillId="31" borderId="2" xfId="0" applyNumberFormat="1" applyFont="1" applyFill="1" applyBorder="1" applyAlignment="1">
      <alignment horizontal="center" vertical="center"/>
    </xf>
    <xf numFmtId="180" fontId="17" fillId="31" borderId="2" xfId="0" applyNumberFormat="1" applyFont="1" applyFill="1" applyBorder="1" applyAlignment="1">
      <alignment horizontal="center" vertical="center"/>
    </xf>
    <xf numFmtId="0" fontId="7" fillId="32" borderId="2" xfId="0" applyFont="1" applyFill="1" applyBorder="1" applyAlignment="1">
      <alignment horizontal="center" vertical="center"/>
    </xf>
    <xf numFmtId="0" fontId="7" fillId="32" borderId="2" xfId="0" applyFont="1" applyFill="1" applyBorder="1" applyAlignment="1">
      <alignment horizontal="left" vertical="center"/>
    </xf>
    <xf numFmtId="0" fontId="17" fillId="32" borderId="2" xfId="0" applyFont="1" applyFill="1" applyBorder="1" applyAlignment="1">
      <alignment horizontal="left" vertical="center"/>
    </xf>
    <xf numFmtId="2" fontId="17" fillId="32" borderId="2" xfId="0" applyNumberFormat="1" applyFont="1" applyFill="1" applyBorder="1" applyAlignment="1">
      <alignment horizontal="center" vertical="center"/>
    </xf>
    <xf numFmtId="0" fontId="17" fillId="32" borderId="2" xfId="0" applyFont="1" applyFill="1" applyBorder="1" applyAlignment="1">
      <alignment horizontal="center" vertical="center"/>
    </xf>
    <xf numFmtId="180" fontId="17" fillId="32" borderId="2" xfId="0" applyNumberFormat="1" applyFont="1" applyFill="1" applyBorder="1" applyAlignment="1">
      <alignment horizontal="center" vertical="center"/>
    </xf>
    <xf numFmtId="0" fontId="7" fillId="33" borderId="2" xfId="0" applyFont="1" applyFill="1" applyBorder="1" applyAlignment="1">
      <alignment horizontal="center" vertical="center"/>
    </xf>
    <xf numFmtId="0" fontId="7" fillId="33" borderId="2" xfId="0" applyFont="1" applyFill="1" applyBorder="1" applyAlignment="1">
      <alignment horizontal="left" vertical="center"/>
    </xf>
    <xf numFmtId="0" fontId="17" fillId="33" borderId="2" xfId="0" applyFont="1" applyFill="1" applyBorder="1" applyAlignment="1">
      <alignment horizontal="center" vertical="center"/>
    </xf>
    <xf numFmtId="0" fontId="17" fillId="33" borderId="2" xfId="0" applyFont="1" applyFill="1" applyBorder="1" applyAlignment="1">
      <alignment horizontal="left" vertical="center"/>
    </xf>
    <xf numFmtId="2" fontId="17" fillId="33" borderId="2" xfId="0" applyNumberFormat="1" applyFont="1" applyFill="1" applyBorder="1" applyAlignment="1">
      <alignment horizontal="center" vertical="center"/>
    </xf>
    <xf numFmtId="180" fontId="17" fillId="33" borderId="2" xfId="0" applyNumberFormat="1" applyFont="1" applyFill="1" applyBorder="1" applyAlignment="1">
      <alignment horizontal="center" vertical="center"/>
    </xf>
    <xf numFmtId="0" fontId="7" fillId="34" borderId="2" xfId="0" applyFont="1" applyFill="1" applyBorder="1" applyAlignment="1">
      <alignment horizontal="center" vertical="center"/>
    </xf>
    <xf numFmtId="0" fontId="7" fillId="34" borderId="2" xfId="0" applyFont="1" applyFill="1" applyBorder="1" applyAlignment="1">
      <alignment horizontal="left" vertical="center"/>
    </xf>
    <xf numFmtId="0" fontId="17" fillId="34" borderId="2" xfId="0" applyFont="1" applyFill="1" applyBorder="1" applyAlignment="1">
      <alignment horizontal="center" vertical="center"/>
    </xf>
    <xf numFmtId="0" fontId="17" fillId="34" borderId="2" xfId="0" applyFont="1" applyFill="1" applyBorder="1" applyAlignment="1">
      <alignment horizontal="left" vertical="center"/>
    </xf>
    <xf numFmtId="2" fontId="17" fillId="34" borderId="2" xfId="0" applyNumberFormat="1" applyFont="1" applyFill="1" applyBorder="1" applyAlignment="1">
      <alignment horizontal="center" vertical="center"/>
    </xf>
    <xf numFmtId="180" fontId="17" fillId="34" borderId="2" xfId="0" applyNumberFormat="1" applyFont="1" applyFill="1" applyBorder="1" applyAlignment="1">
      <alignment horizontal="center" vertical="center"/>
    </xf>
    <xf numFmtId="0" fontId="7" fillId="35" borderId="2" xfId="0" applyFont="1" applyFill="1" applyBorder="1" applyAlignment="1">
      <alignment horizontal="center" vertical="center"/>
    </xf>
    <xf numFmtId="0" fontId="7" fillId="35" borderId="2" xfId="0" applyFont="1" applyFill="1" applyBorder="1" applyAlignment="1">
      <alignment horizontal="left" vertical="center"/>
    </xf>
    <xf numFmtId="0" fontId="17" fillId="35" borderId="2" xfId="0" applyFont="1" applyFill="1" applyBorder="1" applyAlignment="1">
      <alignment horizontal="center" vertical="center"/>
    </xf>
    <xf numFmtId="0" fontId="17" fillId="35" borderId="2" xfId="0" applyFont="1" applyFill="1" applyBorder="1" applyAlignment="1">
      <alignment horizontal="left" vertical="center"/>
    </xf>
    <xf numFmtId="2" fontId="17" fillId="35" borderId="2" xfId="0" applyNumberFormat="1" applyFont="1" applyFill="1" applyBorder="1" applyAlignment="1">
      <alignment horizontal="center" vertical="center"/>
    </xf>
    <xf numFmtId="180" fontId="17" fillId="35" borderId="2" xfId="0" applyNumberFormat="1" applyFont="1" applyFill="1" applyBorder="1" applyAlignment="1">
      <alignment horizontal="center" vertical="center"/>
    </xf>
    <xf numFmtId="0" fontId="7" fillId="36" borderId="2" xfId="0" applyFont="1" applyFill="1" applyBorder="1" applyAlignment="1">
      <alignment horizontal="center" vertical="center"/>
    </xf>
    <xf numFmtId="0" fontId="7" fillId="36" borderId="2" xfId="0" applyFont="1" applyFill="1" applyBorder="1" applyAlignment="1">
      <alignment horizontal="left" vertical="center"/>
    </xf>
    <xf numFmtId="0" fontId="17" fillId="36" borderId="2" xfId="0" applyFont="1" applyFill="1" applyBorder="1" applyAlignment="1">
      <alignment horizontal="center" vertical="center"/>
    </xf>
    <xf numFmtId="0" fontId="17" fillId="36" borderId="2" xfId="0" applyFont="1" applyFill="1" applyBorder="1" applyAlignment="1">
      <alignment horizontal="left" vertical="center"/>
    </xf>
    <xf numFmtId="2" fontId="17" fillId="36" borderId="2" xfId="0" applyNumberFormat="1" applyFont="1" applyFill="1" applyBorder="1" applyAlignment="1">
      <alignment horizontal="center" vertical="center"/>
    </xf>
    <xf numFmtId="180" fontId="17" fillId="36" borderId="2" xfId="0" applyNumberFormat="1" applyFont="1" applyFill="1" applyBorder="1" applyAlignment="1">
      <alignment horizontal="center" vertical="center"/>
    </xf>
    <xf numFmtId="0" fontId="7" fillId="37" borderId="2" xfId="0" applyFont="1" applyFill="1" applyBorder="1" applyAlignment="1">
      <alignment horizontal="center" vertical="center"/>
    </xf>
    <xf numFmtId="0" fontId="7" fillId="37" borderId="2" xfId="0" applyFont="1" applyFill="1" applyBorder="1" applyAlignment="1">
      <alignment horizontal="left" vertical="center"/>
    </xf>
    <xf numFmtId="0" fontId="17" fillId="37" borderId="2" xfId="0" applyFont="1" applyFill="1" applyBorder="1" applyAlignment="1">
      <alignment horizontal="center" vertical="center"/>
    </xf>
    <xf numFmtId="0" fontId="17" fillId="37" borderId="2" xfId="0" applyFont="1" applyFill="1" applyBorder="1" applyAlignment="1">
      <alignment horizontal="left" vertical="center"/>
    </xf>
    <xf numFmtId="2" fontId="17" fillId="37" borderId="2" xfId="0" applyNumberFormat="1" applyFont="1" applyFill="1" applyBorder="1" applyAlignment="1">
      <alignment horizontal="center" vertical="center"/>
    </xf>
    <xf numFmtId="180" fontId="17" fillId="37" borderId="2" xfId="0" applyNumberFormat="1" applyFont="1" applyFill="1" applyBorder="1" applyAlignment="1">
      <alignment horizontal="center" vertical="center"/>
    </xf>
    <xf numFmtId="0" fontId="7" fillId="38" borderId="2" xfId="0" applyFont="1" applyFill="1" applyBorder="1" applyAlignment="1">
      <alignment horizontal="center" vertical="center"/>
    </xf>
    <xf numFmtId="0" fontId="7" fillId="38" borderId="2" xfId="0" applyFont="1" applyFill="1" applyBorder="1" applyAlignment="1">
      <alignment horizontal="left" vertical="center"/>
    </xf>
    <xf numFmtId="0" fontId="17" fillId="38" borderId="2" xfId="0" applyFont="1" applyFill="1" applyBorder="1" applyAlignment="1">
      <alignment horizontal="center" vertical="center"/>
    </xf>
    <xf numFmtId="0" fontId="17" fillId="38" borderId="2" xfId="0" applyFont="1" applyFill="1" applyBorder="1" applyAlignment="1">
      <alignment horizontal="left" vertical="center"/>
    </xf>
    <xf numFmtId="2" fontId="17" fillId="38" borderId="2" xfId="0" applyNumberFormat="1" applyFont="1" applyFill="1" applyBorder="1" applyAlignment="1">
      <alignment horizontal="center" vertical="center"/>
    </xf>
    <xf numFmtId="180" fontId="17" fillId="38" borderId="2" xfId="0" applyNumberFormat="1" applyFont="1" applyFill="1" applyBorder="1" applyAlignment="1">
      <alignment horizontal="center" vertical="center"/>
    </xf>
    <xf numFmtId="0" fontId="7" fillId="39" borderId="2" xfId="0" applyFont="1" applyFill="1" applyBorder="1" applyAlignment="1">
      <alignment horizontal="center" vertical="center"/>
    </xf>
    <xf numFmtId="0" fontId="7" fillId="39" borderId="2" xfId="0" applyFont="1" applyFill="1" applyBorder="1" applyAlignment="1">
      <alignment horizontal="left" vertical="center"/>
    </xf>
    <xf numFmtId="0" fontId="17" fillId="39" borderId="2" xfId="0" applyFont="1" applyFill="1" applyBorder="1" applyAlignment="1">
      <alignment horizontal="center" vertical="center"/>
    </xf>
    <xf numFmtId="0" fontId="17" fillId="39" borderId="2" xfId="0" applyFont="1" applyFill="1" applyBorder="1" applyAlignment="1">
      <alignment horizontal="left" vertical="center"/>
    </xf>
    <xf numFmtId="2" fontId="17" fillId="39" borderId="2" xfId="0" applyNumberFormat="1" applyFont="1" applyFill="1" applyBorder="1" applyAlignment="1">
      <alignment horizontal="center" vertical="center"/>
    </xf>
    <xf numFmtId="180" fontId="17" fillId="39" borderId="2" xfId="0" applyNumberFormat="1" applyFont="1" applyFill="1" applyBorder="1" applyAlignment="1">
      <alignment horizontal="center" vertical="center"/>
    </xf>
    <xf numFmtId="0" fontId="7" fillId="40" borderId="2" xfId="0" applyFont="1" applyFill="1" applyBorder="1" applyAlignment="1">
      <alignment horizontal="center" vertical="center"/>
    </xf>
    <xf numFmtId="0" fontId="7" fillId="40" borderId="2" xfId="0" applyFont="1" applyFill="1" applyBorder="1" applyAlignment="1">
      <alignment horizontal="left" vertical="center"/>
    </xf>
    <xf numFmtId="0" fontId="17" fillId="40" borderId="2" xfId="0" applyFont="1" applyFill="1" applyBorder="1" applyAlignment="1">
      <alignment horizontal="center" vertical="center"/>
    </xf>
    <xf numFmtId="0" fontId="17" fillId="40" borderId="2" xfId="0" applyFont="1" applyFill="1" applyBorder="1" applyAlignment="1">
      <alignment horizontal="left" vertical="center"/>
    </xf>
    <xf numFmtId="2" fontId="17" fillId="40" borderId="2" xfId="0" applyNumberFormat="1" applyFont="1" applyFill="1" applyBorder="1" applyAlignment="1">
      <alignment horizontal="center" vertical="center"/>
    </xf>
    <xf numFmtId="180" fontId="17" fillId="40" borderId="2" xfId="0" applyNumberFormat="1" applyFont="1" applyFill="1" applyBorder="1" applyAlignment="1">
      <alignment horizontal="center" vertical="center"/>
    </xf>
    <xf numFmtId="0" fontId="7" fillId="41" borderId="2" xfId="0" applyFont="1" applyFill="1" applyBorder="1" applyAlignment="1">
      <alignment horizontal="center" vertical="center"/>
    </xf>
    <xf numFmtId="0" fontId="7" fillId="41" borderId="2" xfId="0" applyFont="1" applyFill="1" applyBorder="1" applyAlignment="1">
      <alignment horizontal="left" vertical="center"/>
    </xf>
    <xf numFmtId="0" fontId="17" fillId="41" borderId="2" xfId="0" applyFont="1" applyFill="1" applyBorder="1" applyAlignment="1">
      <alignment horizontal="center" vertical="center"/>
    </xf>
    <xf numFmtId="0" fontId="17" fillId="41" borderId="2" xfId="0" applyFont="1" applyFill="1" applyBorder="1" applyAlignment="1">
      <alignment horizontal="left" vertical="center"/>
    </xf>
    <xf numFmtId="2" fontId="17" fillId="41" borderId="2" xfId="0" applyNumberFormat="1" applyFont="1" applyFill="1" applyBorder="1" applyAlignment="1">
      <alignment horizontal="center" vertical="center"/>
    </xf>
    <xf numFmtId="180" fontId="17" fillId="41" borderId="2" xfId="0" applyNumberFormat="1" applyFont="1" applyFill="1" applyBorder="1" applyAlignment="1">
      <alignment horizontal="center" vertical="center"/>
    </xf>
    <xf numFmtId="0" fontId="7" fillId="42" borderId="2" xfId="0" applyFont="1" applyFill="1" applyBorder="1" applyAlignment="1">
      <alignment horizontal="center" vertical="center"/>
    </xf>
    <xf numFmtId="0" fontId="7" fillId="42" borderId="2" xfId="0" applyFont="1" applyFill="1" applyBorder="1" applyAlignment="1">
      <alignment horizontal="left" vertical="center"/>
    </xf>
    <xf numFmtId="0" fontId="17" fillId="42" borderId="2" xfId="0" applyFont="1" applyFill="1" applyBorder="1" applyAlignment="1">
      <alignment horizontal="center" vertical="center"/>
    </xf>
    <xf numFmtId="0" fontId="17" fillId="42" borderId="2" xfId="0" applyFont="1" applyFill="1" applyBorder="1" applyAlignment="1">
      <alignment horizontal="left" vertical="center"/>
    </xf>
    <xf numFmtId="2" fontId="17" fillId="42" borderId="2" xfId="0" applyNumberFormat="1" applyFont="1" applyFill="1" applyBorder="1" applyAlignment="1">
      <alignment horizontal="center" vertical="center"/>
    </xf>
    <xf numFmtId="180" fontId="17" fillId="42" borderId="2" xfId="0" applyNumberFormat="1" applyFont="1" applyFill="1" applyBorder="1" applyAlignment="1">
      <alignment horizontal="center" vertical="center"/>
    </xf>
    <xf numFmtId="177" fontId="6" fillId="15" borderId="1" xfId="0" applyNumberFormat="1" applyFont="1" applyFill="1" applyBorder="1" applyAlignment="1">
      <alignment horizontal="center" vertical="center" wrapText="1"/>
    </xf>
    <xf numFmtId="180" fontId="6" fillId="43" borderId="1" xfId="0" applyNumberFormat="1" applyFont="1" applyFill="1" applyBorder="1" applyAlignment="1">
      <alignment horizontal="center" vertical="center" wrapText="1"/>
    </xf>
    <xf numFmtId="180" fontId="6" fillId="22" borderId="1" xfId="0" applyNumberFormat="1" applyFont="1" applyFill="1" applyBorder="1" applyAlignment="1">
      <alignment horizontal="center" vertical="center" wrapText="1"/>
    </xf>
    <xf numFmtId="180" fontId="6" fillId="44" borderId="1" xfId="0" applyNumberFormat="1" applyFont="1" applyFill="1" applyBorder="1" applyAlignment="1">
      <alignment horizontal="center" vertical="center" wrapText="1"/>
    </xf>
    <xf numFmtId="177" fontId="6" fillId="7" borderId="1" xfId="0" applyNumberFormat="1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 wrapText="1"/>
    </xf>
    <xf numFmtId="0" fontId="6" fillId="45" borderId="1" xfId="0" applyFont="1" applyFill="1" applyBorder="1" applyAlignment="1">
      <alignment horizontal="center" vertical="center" wrapText="1"/>
    </xf>
    <xf numFmtId="0" fontId="6" fillId="45" borderId="1" xfId="0" applyFont="1" applyFill="1" applyBorder="1" applyAlignment="1">
      <alignment horizontal="left" vertical="center" wrapText="1"/>
    </xf>
    <xf numFmtId="0" fontId="5" fillId="45" borderId="1" xfId="0" applyFont="1" applyFill="1" applyBorder="1" applyAlignment="1">
      <alignment horizontal="left" vertical="center" wrapText="1"/>
    </xf>
    <xf numFmtId="177" fontId="6" fillId="45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177" fontId="6" fillId="3" borderId="1" xfId="0" applyNumberFormat="1" applyFont="1" applyFill="1" applyBorder="1" applyAlignment="1">
      <alignment horizontal="center" vertical="center" wrapText="1"/>
    </xf>
    <xf numFmtId="177" fontId="6" fillId="16" borderId="1" xfId="0" applyNumberFormat="1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left" vertical="center" wrapText="1"/>
    </xf>
    <xf numFmtId="177" fontId="6" fillId="19" borderId="1" xfId="0" applyNumberFormat="1" applyFont="1" applyFill="1" applyBorder="1" applyAlignment="1">
      <alignment horizontal="center" vertical="center" wrapText="1"/>
    </xf>
    <xf numFmtId="0" fontId="13" fillId="43" borderId="1" xfId="0" applyFont="1" applyFill="1" applyBorder="1" applyAlignment="1">
      <alignment horizontal="center" vertical="center" wrapText="1"/>
    </xf>
    <xf numFmtId="0" fontId="6" fillId="43" borderId="1" xfId="0" applyFont="1" applyFill="1" applyBorder="1" applyAlignment="1">
      <alignment horizontal="center" vertical="center" wrapText="1"/>
    </xf>
    <xf numFmtId="4" fontId="6" fillId="43" borderId="1" xfId="0" applyNumberFormat="1" applyFont="1" applyFill="1" applyBorder="1" applyAlignment="1">
      <alignment horizontal="center" vertical="center" wrapText="1"/>
    </xf>
    <xf numFmtId="0" fontId="6" fillId="43" borderId="1" xfId="0" applyFont="1" applyFill="1" applyBorder="1" applyAlignment="1">
      <alignment horizontal="left" vertical="center" wrapText="1"/>
    </xf>
    <xf numFmtId="0" fontId="13" fillId="22" borderId="1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 wrapText="1"/>
    </xf>
    <xf numFmtId="4" fontId="6" fillId="22" borderId="1" xfId="0" applyNumberFormat="1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left" vertical="center" wrapText="1"/>
    </xf>
    <xf numFmtId="0" fontId="13" fillId="44" borderId="1" xfId="0" applyFont="1" applyFill="1" applyBorder="1" applyAlignment="1">
      <alignment horizontal="center" vertical="center" wrapText="1"/>
    </xf>
    <xf numFmtId="0" fontId="6" fillId="44" borderId="1" xfId="0" applyFont="1" applyFill="1" applyBorder="1" applyAlignment="1">
      <alignment horizontal="center" vertical="center" wrapText="1"/>
    </xf>
    <xf numFmtId="4" fontId="6" fillId="44" borderId="1" xfId="0" applyNumberFormat="1" applyFont="1" applyFill="1" applyBorder="1" applyAlignment="1">
      <alignment horizontal="center" vertical="center" wrapText="1"/>
    </xf>
    <xf numFmtId="0" fontId="6" fillId="44" borderId="1" xfId="0" applyFont="1" applyFill="1" applyBorder="1" applyAlignment="1">
      <alignment horizontal="left" vertical="center" wrapText="1"/>
    </xf>
    <xf numFmtId="0" fontId="19" fillId="0" borderId="0" xfId="0" applyFont="1"/>
    <xf numFmtId="0" fontId="20" fillId="0" borderId="0" xfId="0" applyFont="1"/>
    <xf numFmtId="0" fontId="19" fillId="46" borderId="0" xfId="0" applyFont="1" applyFill="1" applyAlignment="1">
      <alignment vertical="center" wrapText="1"/>
    </xf>
    <xf numFmtId="0" fontId="21" fillId="46" borderId="0" xfId="0" applyFont="1" applyFill="1" applyAlignment="1">
      <alignment vertical="center" wrapText="1"/>
    </xf>
    <xf numFmtId="0" fontId="9" fillId="0" borderId="0" xfId="0" applyFont="1" applyAlignment="1">
      <alignment wrapText="1"/>
    </xf>
    <xf numFmtId="0" fontId="21" fillId="0" borderId="0" xfId="0" applyFont="1"/>
    <xf numFmtId="0" fontId="0" fillId="0" borderId="0" xfId="0" applyAlignment="1">
      <alignment wrapText="1"/>
    </xf>
    <xf numFmtId="0" fontId="24" fillId="48" borderId="0" xfId="0" applyFont="1" applyFill="1"/>
    <xf numFmtId="0" fontId="23" fillId="49" borderId="3" xfId="0" applyFont="1" applyFill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left" vertical="center" wrapText="1"/>
    </xf>
    <xf numFmtId="0" fontId="23" fillId="47" borderId="0" xfId="0" applyFont="1" applyFill="1" applyAlignment="1">
      <alignment horizontal="center"/>
    </xf>
    <xf numFmtId="0" fontId="10" fillId="12" borderId="0" xfId="0" applyFont="1" applyFill="1" applyAlignment="1">
      <alignment horizontal="left" vertical="center" wrapText="1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left" vertical="center" wrapText="1"/>
    </xf>
    <xf numFmtId="0" fontId="25" fillId="0" borderId="3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F3E0"/>
      <rgbColor rgb="FFD7EED2"/>
      <rgbColor rgb="FF0000FF"/>
      <rgbColor rgb="FFFFF2CC"/>
      <rgbColor rgb="FFF2E0FF"/>
      <rgbColor rgb="FFD2EEE3"/>
      <rgbColor rgb="FFFFF9F0"/>
      <rgbColor rgb="FFE5EED2"/>
      <rgbColor rgb="FF000080"/>
      <rgbColor rgb="FF7D6608"/>
      <rgbColor rgb="FFF2F2F2"/>
      <rgbColor rgb="FFDEEED2"/>
      <rgbColor rgb="FFBFBFBF"/>
      <rgbColor rgb="FF808080"/>
      <rgbColor rgb="FFC9DAF8"/>
      <rgbColor rgb="FF7D4706"/>
      <rgbColor rgb="FFFFFDE7"/>
      <rgbColor rgb="FFDAEEF3"/>
      <rgbColor rgb="FFEFF7FF"/>
      <rgbColor rgb="FFEED2D9"/>
      <rgbColor rgb="FFE2EFDA"/>
      <rgbColor rgb="FFD7D2EE"/>
      <rgbColor rgb="FF000080"/>
      <rgbColor rgb="FFEEE8D2"/>
      <rgbColor rgb="FFECEED2"/>
      <rgbColor rgb="FFD2EAEE"/>
      <rgbColor rgb="FFF5F5F5"/>
      <rgbColor rgb="FF800000"/>
      <rgbColor rgb="FFDDEBF7"/>
      <rgbColor rgb="FF0000FF"/>
      <rgbColor rgb="FFD2EEDC"/>
      <rgbColor rgb="FFDDEEFF"/>
      <rgbColor rgb="FFD2EED5"/>
      <rgbColor rgb="FFFDE9B5"/>
      <rgbColor rgb="FFBDD7EE"/>
      <rgbColor rgb="FFEED2D2"/>
      <rgbColor rgb="FFD2D5EE"/>
      <rgbColor rgb="FFFFE0B2"/>
      <rgbColor rgb="FF2E75B6"/>
      <rgbColor rgb="FFD2DCEE"/>
      <rgbColor rgb="FFD4EAC8"/>
      <rgbColor rgb="FFEED9D2"/>
      <rgbColor rgb="FFF57F17"/>
      <rgbColor rgb="FFE65100"/>
      <rgbColor rgb="FF595959"/>
      <rgbColor rgb="FFAAAAAA"/>
      <rgbColor rgb="FF1A4F78"/>
      <rgbColor rgb="FFD2E3EE"/>
      <rgbColor rgb="FF003300"/>
      <rgbColor rgb="FF375623"/>
      <rgbColor rgb="FFBF360C"/>
      <rgbColor rgb="FFEEE0D2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zoomScaleNormal="100" workbookViewId="0">
      <pane ySplit="4" topLeftCell="A5" activePane="bottomLeft" state="frozen"/>
      <selection pane="bottomLeft" activeCell="C24" sqref="C24"/>
    </sheetView>
  </sheetViews>
  <sheetFormatPr defaultColWidth="14.42578125" defaultRowHeight="15"/>
  <cols>
    <col min="1" max="1" width="10" customWidth="1"/>
    <col min="2" max="2" width="22" customWidth="1"/>
    <col min="3" max="3" width="20" customWidth="1"/>
    <col min="4" max="4" width="14" customWidth="1"/>
    <col min="5" max="6" width="12" customWidth="1"/>
    <col min="7" max="9" width="16" customWidth="1"/>
    <col min="10" max="26" width="8.7109375" customWidth="1"/>
  </cols>
  <sheetData>
    <row r="1" spans="1:9" ht="21.75" customHeight="1">
      <c r="A1" s="235" t="s">
        <v>2936</v>
      </c>
      <c r="B1" s="232"/>
      <c r="C1" s="232"/>
      <c r="D1" s="232"/>
      <c r="E1" s="232"/>
      <c r="F1" s="232"/>
      <c r="G1" s="232"/>
      <c r="H1" s="232"/>
      <c r="I1" s="232"/>
    </row>
    <row r="2" spans="1:9" ht="15.75" customHeight="1">
      <c r="A2" s="233" t="s">
        <v>767</v>
      </c>
      <c r="B2" s="232"/>
      <c r="C2" s="232"/>
      <c r="D2" s="232"/>
      <c r="E2" s="232"/>
      <c r="F2" s="232"/>
      <c r="G2" s="232"/>
      <c r="H2" s="232"/>
      <c r="I2" s="232"/>
    </row>
    <row r="3" spans="1:9" ht="15.75" customHeight="1">
      <c r="A3" s="234" t="s">
        <v>768</v>
      </c>
      <c r="B3" s="232"/>
      <c r="C3" s="232"/>
      <c r="D3" s="232"/>
      <c r="E3" s="237" t="s">
        <v>769</v>
      </c>
      <c r="F3" s="232"/>
      <c r="G3" s="236" t="s">
        <v>770</v>
      </c>
      <c r="H3" s="232"/>
      <c r="I3" s="232"/>
    </row>
    <row r="4" spans="1:9" ht="39.75" customHeight="1">
      <c r="A4" s="1" t="s">
        <v>771</v>
      </c>
      <c r="B4" s="1" t="s">
        <v>772</v>
      </c>
      <c r="C4" s="1" t="s">
        <v>773</v>
      </c>
      <c r="D4" s="2" t="s">
        <v>774</v>
      </c>
      <c r="E4" s="3" t="s">
        <v>775</v>
      </c>
      <c r="F4" s="4" t="s">
        <v>776</v>
      </c>
      <c r="G4" s="5" t="s">
        <v>777</v>
      </c>
      <c r="H4" s="5" t="s">
        <v>778</v>
      </c>
      <c r="I4" s="5" t="s">
        <v>779</v>
      </c>
    </row>
    <row r="5" spans="1:9" ht="16.5" customHeight="1">
      <c r="A5" s="6" t="s">
        <v>780</v>
      </c>
      <c r="B5" s="6" t="s">
        <v>781</v>
      </c>
      <c r="C5" s="7" t="s">
        <v>782</v>
      </c>
      <c r="D5" s="8" t="s">
        <v>783</v>
      </c>
      <c r="E5" s="9">
        <v>38.5</v>
      </c>
      <c r="F5" s="9">
        <v>15.236000000000001</v>
      </c>
      <c r="G5" s="9">
        <v>2.1507999999999998</v>
      </c>
      <c r="H5" s="9">
        <v>1.1259999999999999E-2</v>
      </c>
      <c r="I5" s="9">
        <v>2.1621000000000001</v>
      </c>
    </row>
    <row r="6" spans="1:9" ht="16.5" customHeight="1">
      <c r="A6" s="10" t="s">
        <v>780</v>
      </c>
      <c r="B6" s="10" t="s">
        <v>781</v>
      </c>
      <c r="C6" s="11" t="s">
        <v>784</v>
      </c>
      <c r="D6" s="12" t="s">
        <v>785</v>
      </c>
      <c r="E6" s="13">
        <v>49.4</v>
      </c>
      <c r="F6" s="13">
        <v>15.281000000000001</v>
      </c>
      <c r="G6" s="13">
        <v>2.7679</v>
      </c>
      <c r="H6" s="13">
        <v>1.444E-2</v>
      </c>
      <c r="I6" s="13">
        <v>2.7823000000000002</v>
      </c>
    </row>
    <row r="7" spans="1:9" ht="16.5" customHeight="1">
      <c r="A7" s="6" t="s">
        <v>780</v>
      </c>
      <c r="B7" s="6" t="s">
        <v>781</v>
      </c>
      <c r="C7" s="14" t="s">
        <v>786</v>
      </c>
      <c r="D7" s="8" t="s">
        <v>785</v>
      </c>
      <c r="E7" s="9">
        <v>49.4</v>
      </c>
      <c r="F7" s="9">
        <v>15.281000000000001</v>
      </c>
      <c r="G7" s="9">
        <v>2.7679</v>
      </c>
      <c r="H7" s="9">
        <v>1.444E-2</v>
      </c>
      <c r="I7" s="9">
        <v>2.7823000000000002</v>
      </c>
    </row>
    <row r="8" spans="1:9" ht="16.5" customHeight="1">
      <c r="A8" s="10" t="s">
        <v>780</v>
      </c>
      <c r="B8" s="10" t="s">
        <v>781</v>
      </c>
      <c r="C8" s="15" t="s">
        <v>787</v>
      </c>
      <c r="D8" s="12" t="s">
        <v>785</v>
      </c>
      <c r="E8" s="13">
        <v>49.4</v>
      </c>
      <c r="F8" s="13">
        <v>15.281000000000001</v>
      </c>
      <c r="G8" s="13">
        <v>2.7679</v>
      </c>
      <c r="H8" s="13">
        <v>1.444E-2</v>
      </c>
      <c r="I8" s="13">
        <v>2.7823000000000002</v>
      </c>
    </row>
    <row r="9" spans="1:9" ht="16.5" customHeight="1">
      <c r="A9" s="6" t="s">
        <v>780</v>
      </c>
      <c r="B9" s="6" t="s">
        <v>781</v>
      </c>
      <c r="C9" s="14" t="s">
        <v>788</v>
      </c>
      <c r="D9" s="8" t="s">
        <v>785</v>
      </c>
      <c r="E9" s="9">
        <v>46.2</v>
      </c>
      <c r="F9" s="9">
        <v>17.63</v>
      </c>
      <c r="G9" s="9">
        <v>2.9864999999999999</v>
      </c>
      <c r="H9" s="9">
        <v>2.162E-2</v>
      </c>
      <c r="I9" s="9">
        <v>3.0081000000000002</v>
      </c>
    </row>
    <row r="10" spans="1:9" ht="16.5" customHeight="1">
      <c r="A10" s="10" t="s">
        <v>780</v>
      </c>
      <c r="B10" s="10" t="s">
        <v>781</v>
      </c>
      <c r="C10" s="11" t="s">
        <v>789</v>
      </c>
      <c r="D10" s="12" t="s">
        <v>783</v>
      </c>
      <c r="E10" s="13">
        <v>58.3</v>
      </c>
      <c r="F10" s="13">
        <v>17.452999999999999</v>
      </c>
      <c r="G10" s="13">
        <v>3.7309000000000001</v>
      </c>
      <c r="H10" s="13">
        <v>1.7049999999999999E-2</v>
      </c>
      <c r="I10" s="13">
        <v>3.7479</v>
      </c>
    </row>
    <row r="11" spans="1:9" ht="16.5" customHeight="1">
      <c r="A11" s="6" t="s">
        <v>780</v>
      </c>
      <c r="B11" s="6" t="s">
        <v>781</v>
      </c>
      <c r="C11" s="7" t="s">
        <v>790</v>
      </c>
      <c r="D11" s="8" t="s">
        <v>785</v>
      </c>
      <c r="E11" s="9">
        <v>46.2</v>
      </c>
      <c r="F11" s="9">
        <v>17.63</v>
      </c>
      <c r="G11" s="9">
        <v>2.9864999999999999</v>
      </c>
      <c r="H11" s="9">
        <v>2.162E-2</v>
      </c>
      <c r="I11" s="9">
        <v>3.0081000000000002</v>
      </c>
    </row>
    <row r="12" spans="1:9" ht="16.5" customHeight="1">
      <c r="A12" s="16" t="s">
        <v>780</v>
      </c>
      <c r="B12" s="16" t="s">
        <v>791</v>
      </c>
      <c r="C12" s="17" t="s">
        <v>792</v>
      </c>
      <c r="D12" s="18" t="s">
        <v>793</v>
      </c>
      <c r="E12" s="19">
        <v>35.299999999999997</v>
      </c>
      <c r="F12" s="19">
        <v>20.09</v>
      </c>
      <c r="G12" s="19">
        <v>2.6002999999999998</v>
      </c>
      <c r="H12" s="19">
        <v>1.652E-2</v>
      </c>
      <c r="I12" s="19">
        <v>2.6168</v>
      </c>
    </row>
    <row r="13" spans="1:9" ht="16.5" customHeight="1">
      <c r="A13" s="20" t="s">
        <v>780</v>
      </c>
      <c r="B13" s="20" t="s">
        <v>791</v>
      </c>
      <c r="C13" s="21" t="s">
        <v>794</v>
      </c>
      <c r="D13" s="22" t="s">
        <v>793</v>
      </c>
      <c r="E13" s="23">
        <v>34.1</v>
      </c>
      <c r="F13" s="23">
        <v>19.925999999999998</v>
      </c>
      <c r="G13" s="23">
        <v>2.4914000000000001</v>
      </c>
      <c r="H13" s="23">
        <v>1.5959999999999998E-2</v>
      </c>
      <c r="I13" s="23">
        <v>2.5074000000000001</v>
      </c>
    </row>
    <row r="14" spans="1:9" ht="16.5" customHeight="1">
      <c r="A14" s="16" t="s">
        <v>780</v>
      </c>
      <c r="B14" s="16" t="s">
        <v>791</v>
      </c>
      <c r="C14" s="17" t="s">
        <v>795</v>
      </c>
      <c r="D14" s="18" t="s">
        <v>793</v>
      </c>
      <c r="E14" s="19">
        <v>34.1</v>
      </c>
      <c r="F14" s="19">
        <v>19.925999999999998</v>
      </c>
      <c r="G14" s="19">
        <v>2.4914000000000001</v>
      </c>
      <c r="H14" s="19">
        <v>1.5959999999999998E-2</v>
      </c>
      <c r="I14" s="19">
        <v>2.5074000000000001</v>
      </c>
    </row>
    <row r="15" spans="1:9" ht="16.5" customHeight="1">
      <c r="A15" s="20" t="s">
        <v>780</v>
      </c>
      <c r="B15" s="20" t="s">
        <v>791</v>
      </c>
      <c r="C15" s="21" t="s">
        <v>796</v>
      </c>
      <c r="D15" s="22" t="s">
        <v>793</v>
      </c>
      <c r="E15" s="23">
        <v>34</v>
      </c>
      <c r="F15" s="23">
        <v>19.956</v>
      </c>
      <c r="G15" s="23">
        <v>2.4878</v>
      </c>
      <c r="H15" s="23">
        <v>1.5910000000000001E-2</v>
      </c>
      <c r="I15" s="23">
        <v>2.5038</v>
      </c>
    </row>
    <row r="16" spans="1:9" ht="16.5" customHeight="1">
      <c r="A16" s="16" t="s">
        <v>780</v>
      </c>
      <c r="B16" s="16" t="s">
        <v>791</v>
      </c>
      <c r="C16" s="17" t="s">
        <v>797</v>
      </c>
      <c r="D16" s="18" t="s">
        <v>793</v>
      </c>
      <c r="E16" s="19">
        <v>30.1</v>
      </c>
      <c r="F16" s="19">
        <v>19.731000000000002</v>
      </c>
      <c r="G16" s="19">
        <v>2.1776</v>
      </c>
      <c r="H16" s="19">
        <v>1.409E-2</v>
      </c>
      <c r="I16" s="19">
        <v>2.1917</v>
      </c>
    </row>
    <row r="17" spans="1:10" ht="16.5" customHeight="1">
      <c r="A17" s="24" t="s">
        <v>780</v>
      </c>
      <c r="B17" s="24" t="s">
        <v>798</v>
      </c>
      <c r="C17" s="25" t="s">
        <v>799</v>
      </c>
      <c r="D17" s="26" t="s">
        <v>800</v>
      </c>
      <c r="E17" s="27" t="s">
        <v>801</v>
      </c>
      <c r="F17" s="27" t="s">
        <v>801</v>
      </c>
      <c r="G17" s="27" t="s">
        <v>801</v>
      </c>
      <c r="H17" s="27" t="s">
        <v>801</v>
      </c>
      <c r="I17" s="28">
        <v>0.4173</v>
      </c>
      <c r="J17" s="29" t="s">
        <v>802</v>
      </c>
    </row>
    <row r="18" spans="1:10" ht="16.5" customHeight="1">
      <c r="A18" s="30" t="s">
        <v>780</v>
      </c>
      <c r="B18" s="30" t="s">
        <v>803</v>
      </c>
      <c r="C18" s="31" t="s">
        <v>804</v>
      </c>
      <c r="D18" s="32" t="s">
        <v>805</v>
      </c>
      <c r="E18" s="33" t="s">
        <v>801</v>
      </c>
      <c r="F18" s="33" t="s">
        <v>801</v>
      </c>
      <c r="G18" s="33" t="s">
        <v>801</v>
      </c>
      <c r="H18" s="33" t="s">
        <v>801</v>
      </c>
      <c r="I18" s="34">
        <v>59685</v>
      </c>
    </row>
    <row r="19" spans="1:10" ht="27.75" customHeight="1">
      <c r="A19" s="231" t="s">
        <v>806</v>
      </c>
      <c r="B19" s="232"/>
      <c r="C19" s="232"/>
      <c r="D19" s="232"/>
      <c r="E19" s="232"/>
      <c r="F19" s="232"/>
      <c r="G19" s="232"/>
      <c r="H19" s="232"/>
      <c r="I19" s="232"/>
    </row>
    <row r="20" spans="1:10" ht="16.5" customHeight="1"/>
    <row r="21" spans="1:10" ht="16.5" customHeight="1"/>
    <row r="22" spans="1:10" ht="16.5" customHeight="1"/>
    <row r="23" spans="1:10" ht="16.5" customHeight="1"/>
    <row r="24" spans="1:10" ht="16.5" customHeight="1"/>
    <row r="25" spans="1:10" ht="16.5" customHeight="1"/>
    <row r="26" spans="1:10" ht="16.5" customHeight="1"/>
    <row r="27" spans="1:10" ht="16.5" customHeight="1"/>
    <row r="28" spans="1:10" ht="16.5" customHeight="1"/>
    <row r="29" spans="1:10" ht="16.5" customHeight="1"/>
    <row r="30" spans="1:10" ht="16.5" customHeight="1"/>
    <row r="31" spans="1:10" ht="16.5" customHeight="1"/>
    <row r="32" spans="1:10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6">
    <mergeCell ref="A19:I19"/>
    <mergeCell ref="A2:I2"/>
    <mergeCell ref="A3:D3"/>
    <mergeCell ref="A1:I1"/>
    <mergeCell ref="G3:I3"/>
    <mergeCell ref="E3:F3"/>
  </mergeCells>
  <phoneticPr fontId="22" type="noConversion"/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16"/>
  <sheetViews>
    <sheetView tabSelected="1" workbookViewId="0">
      <pane ySplit="3" topLeftCell="A4" activePane="bottomLeft" state="frozen"/>
      <selection pane="bottomLeft" activeCell="E6" sqref="E6"/>
    </sheetView>
  </sheetViews>
  <sheetFormatPr defaultRowHeight="15"/>
  <cols>
    <col min="1" max="1" width="6" customWidth="1"/>
    <col min="2" max="2" width="20" customWidth="1"/>
    <col min="3" max="3" width="10" customWidth="1"/>
    <col min="4" max="4" width="16" customWidth="1"/>
    <col min="5" max="5" width="55" customWidth="1"/>
  </cols>
  <sheetData>
    <row r="1" spans="1:12">
      <c r="A1" s="230" t="s">
        <v>2926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</row>
    <row r="2" spans="1:12">
      <c r="A2" s="225" t="s">
        <v>2927</v>
      </c>
    </row>
    <row r="3" spans="1:12" ht="24">
      <c r="A3" s="226" t="s">
        <v>2928</v>
      </c>
      <c r="B3" s="226" t="s">
        <v>773</v>
      </c>
      <c r="C3" s="226" t="s">
        <v>2929</v>
      </c>
      <c r="D3" s="226" t="s">
        <v>2930</v>
      </c>
      <c r="E3" s="226" t="s">
        <v>2931</v>
      </c>
    </row>
    <row r="4" spans="1:12" ht="24">
      <c r="A4" s="227">
        <v>1</v>
      </c>
      <c r="B4" s="228" t="s">
        <v>799</v>
      </c>
      <c r="C4" s="227" t="s">
        <v>800</v>
      </c>
      <c r="D4" s="227">
        <v>7.0999999999999994E-2</v>
      </c>
      <c r="E4" s="229" t="s">
        <v>2935</v>
      </c>
    </row>
    <row r="5" spans="1:12">
      <c r="A5" s="227">
        <v>2</v>
      </c>
      <c r="B5" s="228" t="s">
        <v>782</v>
      </c>
      <c r="C5" s="227" t="s">
        <v>783</v>
      </c>
      <c r="D5" s="227">
        <v>0.19527</v>
      </c>
      <c r="E5" s="243" t="s">
        <v>2938</v>
      </c>
    </row>
    <row r="6" spans="1:12">
      <c r="A6" s="227">
        <v>3</v>
      </c>
      <c r="B6" s="228" t="s">
        <v>784</v>
      </c>
      <c r="C6" s="227" t="s">
        <v>785</v>
      </c>
      <c r="D6" s="227">
        <v>0.27229999999999999</v>
      </c>
      <c r="E6" s="243" t="s">
        <v>2938</v>
      </c>
    </row>
    <row r="7" spans="1:12">
      <c r="A7" s="227">
        <v>4</v>
      </c>
      <c r="B7" s="228" t="s">
        <v>797</v>
      </c>
      <c r="C7" s="227" t="s">
        <v>785</v>
      </c>
      <c r="D7" s="227">
        <v>8.3169999999999994E-2</v>
      </c>
      <c r="E7" s="243" t="s">
        <v>2938</v>
      </c>
    </row>
    <row r="8" spans="1:12">
      <c r="A8" s="227">
        <v>5</v>
      </c>
      <c r="B8" s="228" t="s">
        <v>792</v>
      </c>
      <c r="C8" s="227" t="s">
        <v>785</v>
      </c>
      <c r="D8" s="227">
        <v>6.8190000000000001E-2</v>
      </c>
      <c r="E8" s="243" t="s">
        <v>2938</v>
      </c>
    </row>
    <row r="9" spans="1:12">
      <c r="A9" s="227">
        <v>6</v>
      </c>
      <c r="B9" s="228" t="s">
        <v>1423</v>
      </c>
      <c r="C9" s="227" t="s">
        <v>785</v>
      </c>
      <c r="D9" s="227">
        <v>0.25290000000000001</v>
      </c>
      <c r="E9" s="243" t="s">
        <v>2938</v>
      </c>
    </row>
    <row r="10" spans="1:12">
      <c r="A10" s="227">
        <v>7</v>
      </c>
      <c r="B10" s="228" t="s">
        <v>790</v>
      </c>
      <c r="C10" s="227" t="s">
        <v>785</v>
      </c>
      <c r="D10" s="227">
        <v>0.39360000000000001</v>
      </c>
      <c r="E10" s="243" t="s">
        <v>2938</v>
      </c>
    </row>
    <row r="11" spans="1:12">
      <c r="A11" s="227">
        <v>8</v>
      </c>
      <c r="B11" s="228" t="s">
        <v>1450</v>
      </c>
      <c r="C11" s="227" t="s">
        <v>785</v>
      </c>
      <c r="D11" s="227">
        <v>4.113E-2</v>
      </c>
      <c r="E11" s="243" t="s">
        <v>2938</v>
      </c>
    </row>
    <row r="12" spans="1:12">
      <c r="A12" s="227">
        <v>9</v>
      </c>
      <c r="B12" s="228" t="s">
        <v>2932</v>
      </c>
      <c r="C12" s="227" t="s">
        <v>785</v>
      </c>
      <c r="D12" s="227">
        <v>0.2394</v>
      </c>
      <c r="E12" s="243" t="s">
        <v>2938</v>
      </c>
    </row>
    <row r="13" spans="1:12">
      <c r="A13" s="227">
        <v>10</v>
      </c>
      <c r="B13" s="228" t="s">
        <v>2186</v>
      </c>
      <c r="C13" s="227" t="s">
        <v>785</v>
      </c>
      <c r="D13" s="227">
        <v>0.3246</v>
      </c>
      <c r="E13" s="243" t="s">
        <v>2938</v>
      </c>
    </row>
    <row r="14" spans="1:12">
      <c r="A14" s="227">
        <v>11</v>
      </c>
      <c r="B14" s="228" t="s">
        <v>1513</v>
      </c>
      <c r="C14" s="227" t="s">
        <v>785</v>
      </c>
      <c r="D14" s="227">
        <v>0.47949999999999998</v>
      </c>
      <c r="E14" s="243" t="s">
        <v>2938</v>
      </c>
    </row>
    <row r="15" spans="1:12" ht="24">
      <c r="A15" s="227">
        <v>12</v>
      </c>
      <c r="B15" s="228" t="s">
        <v>2933</v>
      </c>
      <c r="C15" s="227" t="s">
        <v>2934</v>
      </c>
      <c r="D15" s="227">
        <v>4.8444911450000001</v>
      </c>
      <c r="E15" s="229" t="s">
        <v>2937</v>
      </c>
    </row>
    <row r="16" spans="1:12">
      <c r="A16" s="227"/>
      <c r="B16" s="228"/>
      <c r="C16" s="227"/>
      <c r="D16" s="227"/>
      <c r="E16" s="228"/>
    </row>
  </sheetData>
  <mergeCells count="1">
    <mergeCell ref="A1:L1"/>
  </mergeCells>
  <phoneticPr fontId="2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99"/>
  <sheetViews>
    <sheetView zoomScaleNormal="100" workbookViewId="0">
      <pane ySplit="2" topLeftCell="A3" activePane="bottomLeft" state="frozen"/>
      <selection pane="bottomLeft" activeCell="B4" sqref="B4"/>
    </sheetView>
  </sheetViews>
  <sheetFormatPr defaultColWidth="14.42578125" defaultRowHeight="15"/>
  <cols>
    <col min="1" max="2" width="14" customWidth="1"/>
    <col min="3" max="3" width="28" customWidth="1"/>
    <col min="4" max="4" width="14" customWidth="1"/>
    <col min="5" max="5" width="20" customWidth="1"/>
    <col min="6" max="6" width="30" customWidth="1"/>
    <col min="7" max="26" width="8.7109375" customWidth="1"/>
  </cols>
  <sheetData>
    <row r="1" spans="1:6" ht="21.75" customHeight="1">
      <c r="A1" s="238" t="s">
        <v>807</v>
      </c>
      <c r="B1" s="232"/>
      <c r="C1" s="232"/>
      <c r="D1" s="232"/>
      <c r="E1" s="232"/>
      <c r="F1" s="232"/>
    </row>
    <row r="2" spans="1:6" ht="36" customHeight="1">
      <c r="A2" s="1" t="s">
        <v>808</v>
      </c>
      <c r="B2" s="1" t="s">
        <v>771</v>
      </c>
      <c r="C2" s="1" t="s">
        <v>809</v>
      </c>
      <c r="D2" s="2" t="s">
        <v>810</v>
      </c>
      <c r="E2" s="35" t="s">
        <v>811</v>
      </c>
      <c r="F2" s="36" t="s">
        <v>11</v>
      </c>
    </row>
    <row r="3" spans="1:6" ht="16.5" customHeight="1">
      <c r="A3" s="37" t="s">
        <v>812</v>
      </c>
      <c r="B3" s="37" t="s">
        <v>813</v>
      </c>
      <c r="C3" s="37" t="s">
        <v>814</v>
      </c>
      <c r="D3" s="38" t="s">
        <v>815</v>
      </c>
      <c r="E3" s="39">
        <v>0.12</v>
      </c>
      <c r="F3" s="37" t="s">
        <v>816</v>
      </c>
    </row>
    <row r="4" spans="1:6" ht="16.5" customHeight="1">
      <c r="A4" s="40" t="s">
        <v>812</v>
      </c>
      <c r="B4" s="40" t="s">
        <v>813</v>
      </c>
      <c r="C4" s="40" t="s">
        <v>817</v>
      </c>
      <c r="D4" s="41" t="s">
        <v>818</v>
      </c>
      <c r="E4" s="42">
        <v>0.18</v>
      </c>
      <c r="F4" s="40" t="s">
        <v>819</v>
      </c>
    </row>
    <row r="5" spans="1:6" ht="16.5" customHeight="1">
      <c r="A5" s="37" t="s">
        <v>812</v>
      </c>
      <c r="B5" s="37" t="s">
        <v>820</v>
      </c>
      <c r="C5" s="37" t="s">
        <v>821</v>
      </c>
      <c r="D5" s="38" t="s">
        <v>822</v>
      </c>
      <c r="E5" s="39">
        <v>0.03</v>
      </c>
      <c r="F5" s="37"/>
    </row>
    <row r="6" spans="1:6" ht="16.5" customHeight="1">
      <c r="A6" s="40" t="s">
        <v>812</v>
      </c>
      <c r="B6" s="40" t="s">
        <v>823</v>
      </c>
      <c r="C6" s="40" t="s">
        <v>824</v>
      </c>
      <c r="D6" s="41" t="s">
        <v>825</v>
      </c>
      <c r="E6" s="42">
        <v>1.4999999999999999E-2</v>
      </c>
      <c r="F6" s="40" t="s">
        <v>826</v>
      </c>
    </row>
    <row r="7" spans="1:6" ht="16.5" customHeight="1">
      <c r="A7" s="40" t="s">
        <v>812</v>
      </c>
      <c r="B7" s="40" t="s">
        <v>827</v>
      </c>
      <c r="C7" s="40" t="s">
        <v>828</v>
      </c>
      <c r="D7" s="41" t="s">
        <v>829</v>
      </c>
      <c r="E7" s="42">
        <v>0.6</v>
      </c>
      <c r="F7" s="40"/>
    </row>
    <row r="8" spans="1:6" ht="16.5" customHeight="1">
      <c r="A8" s="37" t="s">
        <v>812</v>
      </c>
      <c r="B8" s="37" t="s">
        <v>830</v>
      </c>
      <c r="C8" s="37" t="s">
        <v>831</v>
      </c>
      <c r="D8" s="38" t="s">
        <v>832</v>
      </c>
      <c r="E8" s="39">
        <v>3.1E-2</v>
      </c>
      <c r="F8" s="37"/>
    </row>
    <row r="9" spans="1:6" ht="16.5" customHeight="1"/>
    <row r="10" spans="1:6" ht="16.5" customHeight="1"/>
    <row r="11" spans="1:6" ht="16.5" customHeight="1"/>
    <row r="12" spans="1:6" ht="16.5" customHeight="1"/>
    <row r="13" spans="1:6" ht="16.5" customHeight="1"/>
    <row r="14" spans="1:6" ht="16.5" customHeight="1"/>
    <row r="15" spans="1:6" ht="16.5" customHeight="1"/>
    <row r="16" spans="1: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mergeCells count="1">
    <mergeCell ref="A1:F1"/>
  </mergeCells>
  <phoneticPr fontId="22" type="noConversion"/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78"/>
  <sheetViews>
    <sheetView zoomScaleNormal="100" workbookViewId="0">
      <pane ySplit="2" topLeftCell="A3" activePane="bottomLeft" state="frozen"/>
      <selection pane="bottomLeft" activeCell="B4" sqref="B4"/>
    </sheetView>
  </sheetViews>
  <sheetFormatPr defaultColWidth="14.42578125" defaultRowHeight="15"/>
  <cols>
    <col min="1" max="1" width="12" customWidth="1"/>
    <col min="2" max="2" width="25" customWidth="1"/>
    <col min="3" max="3" width="38" customWidth="1"/>
    <col min="4" max="4" width="14" customWidth="1"/>
    <col min="5" max="5" width="48" customWidth="1"/>
    <col min="6" max="6" width="14" customWidth="1"/>
    <col min="7" max="7" width="55" customWidth="1"/>
    <col min="8" max="26" width="8.7109375" customWidth="1"/>
  </cols>
  <sheetData>
    <row r="1" spans="1:7" ht="21.75" customHeight="1">
      <c r="A1" s="238" t="s">
        <v>833</v>
      </c>
      <c r="B1" s="232"/>
      <c r="C1" s="232"/>
      <c r="D1" s="232"/>
      <c r="E1" s="232"/>
      <c r="F1" s="232"/>
      <c r="G1" s="232"/>
    </row>
    <row r="2" spans="1:7" ht="39.75" customHeight="1">
      <c r="A2" s="2" t="s">
        <v>771</v>
      </c>
      <c r="B2" s="43" t="s">
        <v>834</v>
      </c>
      <c r="C2" s="1" t="s">
        <v>835</v>
      </c>
      <c r="D2" s="2" t="s">
        <v>836</v>
      </c>
      <c r="E2" s="2" t="s">
        <v>6</v>
      </c>
      <c r="F2" s="5" t="s">
        <v>837</v>
      </c>
      <c r="G2" s="44" t="s">
        <v>11</v>
      </c>
    </row>
    <row r="3" spans="1:7" ht="16.5" customHeight="1">
      <c r="A3" s="45" t="s">
        <v>838</v>
      </c>
      <c r="B3" s="46" t="s">
        <v>839</v>
      </c>
      <c r="C3" s="46" t="s">
        <v>840</v>
      </c>
      <c r="D3" s="47" t="s">
        <v>841</v>
      </c>
      <c r="E3" s="48" t="s">
        <v>842</v>
      </c>
      <c r="F3" s="49">
        <v>0.14252999999999999</v>
      </c>
      <c r="G3" s="46" t="s">
        <v>843</v>
      </c>
    </row>
    <row r="4" spans="1:7" ht="16.5" customHeight="1">
      <c r="A4" s="45" t="s">
        <v>838</v>
      </c>
      <c r="B4" s="46" t="s">
        <v>844</v>
      </c>
      <c r="C4" s="46" t="s">
        <v>845</v>
      </c>
      <c r="D4" s="47" t="s">
        <v>846</v>
      </c>
      <c r="E4" s="48" t="s">
        <v>847</v>
      </c>
      <c r="F4" s="49">
        <v>0.11269999999999999</v>
      </c>
      <c r="G4" s="46" t="s">
        <v>848</v>
      </c>
    </row>
    <row r="5" spans="1:7" ht="16.5" customHeight="1">
      <c r="A5" s="50" t="s">
        <v>849</v>
      </c>
      <c r="B5" s="51" t="s">
        <v>850</v>
      </c>
      <c r="C5" s="51" t="s">
        <v>851</v>
      </c>
      <c r="D5" s="52" t="s">
        <v>852</v>
      </c>
      <c r="E5" s="53" t="s">
        <v>853</v>
      </c>
      <c r="F5" s="54">
        <v>0.10385</v>
      </c>
      <c r="G5" s="51" t="s">
        <v>854</v>
      </c>
    </row>
    <row r="6" spans="1:7" ht="16.5" customHeight="1">
      <c r="A6" s="50" t="s">
        <v>849</v>
      </c>
      <c r="B6" s="51" t="s">
        <v>855</v>
      </c>
      <c r="C6" s="51" t="s">
        <v>856</v>
      </c>
      <c r="D6" s="52" t="s">
        <v>857</v>
      </c>
      <c r="E6" s="53" t="s">
        <v>858</v>
      </c>
      <c r="F6" s="54">
        <v>3.5459999999999998E-2</v>
      </c>
      <c r="G6" s="51" t="s">
        <v>854</v>
      </c>
    </row>
    <row r="7" spans="1:7" ht="16.5" customHeight="1">
      <c r="A7" s="50" t="s">
        <v>849</v>
      </c>
      <c r="B7" s="51" t="s">
        <v>855</v>
      </c>
      <c r="C7" s="51" t="s">
        <v>859</v>
      </c>
      <c r="D7" s="52" t="s">
        <v>860</v>
      </c>
      <c r="E7" s="53" t="s">
        <v>861</v>
      </c>
      <c r="F7" s="54">
        <v>2.7799999999999998E-2</v>
      </c>
      <c r="G7" s="51" t="s">
        <v>854</v>
      </c>
    </row>
    <row r="8" spans="1:7" ht="16.5" customHeight="1">
      <c r="A8" s="50" t="s">
        <v>849</v>
      </c>
      <c r="B8" s="51" t="s">
        <v>862</v>
      </c>
      <c r="C8" s="51" t="s">
        <v>863</v>
      </c>
      <c r="D8" s="52" t="s">
        <v>864</v>
      </c>
      <c r="E8" s="53" t="s">
        <v>865</v>
      </c>
      <c r="F8" s="54">
        <v>0.14860999999999999</v>
      </c>
      <c r="G8" s="51" t="s">
        <v>866</v>
      </c>
    </row>
    <row r="9" spans="1:7" ht="16.5" customHeight="1">
      <c r="A9" s="50" t="s">
        <v>849</v>
      </c>
      <c r="B9" s="51" t="s">
        <v>867</v>
      </c>
      <c r="C9" s="51" t="s">
        <v>868</v>
      </c>
      <c r="D9" s="52" t="s">
        <v>869</v>
      </c>
      <c r="E9" s="53" t="s">
        <v>870</v>
      </c>
      <c r="F9" s="54">
        <v>0.17304</v>
      </c>
      <c r="G9" s="51" t="s">
        <v>871</v>
      </c>
    </row>
    <row r="10" spans="1:7" ht="16.5" customHeight="1">
      <c r="A10" s="50" t="s">
        <v>849</v>
      </c>
      <c r="B10" s="51" t="s">
        <v>872</v>
      </c>
      <c r="C10" s="51" t="s">
        <v>873</v>
      </c>
      <c r="D10" s="52" t="s">
        <v>874</v>
      </c>
      <c r="E10" s="53" t="s">
        <v>875</v>
      </c>
      <c r="F10" s="54">
        <v>9.1670000000000001E-2</v>
      </c>
      <c r="G10" s="51" t="s">
        <v>876</v>
      </c>
    </row>
    <row r="11" spans="1:7" ht="16.5" customHeight="1">
      <c r="A11" s="50" t="s">
        <v>849</v>
      </c>
      <c r="B11" s="51" t="s">
        <v>877</v>
      </c>
      <c r="C11" s="51" t="s">
        <v>878</v>
      </c>
      <c r="D11" s="52" t="s">
        <v>879</v>
      </c>
      <c r="E11" s="53" t="s">
        <v>880</v>
      </c>
      <c r="F11" s="54">
        <v>0</v>
      </c>
      <c r="G11" s="51" t="s">
        <v>881</v>
      </c>
    </row>
    <row r="12" spans="1:7" ht="16.5" customHeight="1">
      <c r="A12" s="50" t="s">
        <v>849</v>
      </c>
      <c r="B12" s="51" t="s">
        <v>882</v>
      </c>
      <c r="C12" s="51" t="s">
        <v>883</v>
      </c>
      <c r="D12" s="52" t="s">
        <v>884</v>
      </c>
      <c r="E12" s="53" t="s">
        <v>885</v>
      </c>
      <c r="F12" s="54">
        <v>0.11366999999999999</v>
      </c>
      <c r="G12" s="51" t="s">
        <v>886</v>
      </c>
    </row>
    <row r="13" spans="1:7" ht="16.5" customHeight="1">
      <c r="A13" s="55" t="s">
        <v>887</v>
      </c>
      <c r="B13" s="56" t="s">
        <v>888</v>
      </c>
      <c r="C13" s="57" t="s">
        <v>889</v>
      </c>
      <c r="D13" s="58" t="s">
        <v>890</v>
      </c>
      <c r="E13" s="57" t="s">
        <v>891</v>
      </c>
      <c r="F13" s="59">
        <v>0</v>
      </c>
      <c r="G13" s="57" t="s">
        <v>892</v>
      </c>
    </row>
    <row r="14" spans="1:7" ht="16.5" customHeight="1"/>
    <row r="15" spans="1:7" ht="16.5" customHeight="1"/>
    <row r="16" spans="1:7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</sheetData>
  <mergeCells count="1">
    <mergeCell ref="A1:G1"/>
  </mergeCells>
  <phoneticPr fontId="22" type="noConversion"/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zoomScaleNormal="100" workbookViewId="0">
      <pane ySplit="3" topLeftCell="A4" activePane="bottomLeft" state="frozen"/>
      <selection pane="bottomLeft" activeCell="B5" sqref="B5"/>
    </sheetView>
  </sheetViews>
  <sheetFormatPr defaultColWidth="14.42578125" defaultRowHeight="15"/>
  <cols>
    <col min="1" max="1" width="18" customWidth="1"/>
    <col min="2" max="2" width="10" customWidth="1"/>
    <col min="3" max="3" width="40" customWidth="1"/>
    <col min="4" max="4" width="12" customWidth="1"/>
    <col min="5" max="5" width="25" customWidth="1"/>
    <col min="6" max="6" width="18" customWidth="1"/>
    <col min="7" max="7" width="30" customWidth="1"/>
    <col min="8" max="26" width="8.7109375" customWidth="1"/>
  </cols>
  <sheetData>
    <row r="1" spans="1:7" ht="21.75" customHeight="1">
      <c r="A1" s="239" t="s">
        <v>893</v>
      </c>
      <c r="B1" s="232"/>
      <c r="C1" s="232"/>
      <c r="D1" s="232"/>
      <c r="E1" s="232"/>
      <c r="F1" s="232"/>
      <c r="G1" s="232"/>
    </row>
    <row r="2" spans="1:7" ht="18" customHeight="1">
      <c r="A2" s="234" t="s">
        <v>1</v>
      </c>
      <c r="B2" s="232"/>
      <c r="C2" s="232"/>
      <c r="D2" s="232"/>
      <c r="E2" s="236" t="s">
        <v>894</v>
      </c>
      <c r="F2" s="232"/>
      <c r="G2" s="232"/>
    </row>
    <row r="3" spans="1:7" ht="39.75" customHeight="1">
      <c r="A3" s="2" t="s">
        <v>895</v>
      </c>
      <c r="B3" s="2" t="s">
        <v>896</v>
      </c>
      <c r="C3" s="60" t="s">
        <v>897</v>
      </c>
      <c r="D3" s="1" t="s">
        <v>898</v>
      </c>
      <c r="E3" s="35" t="s">
        <v>899</v>
      </c>
      <c r="F3" s="35" t="s">
        <v>900</v>
      </c>
      <c r="G3" s="36" t="s">
        <v>11</v>
      </c>
    </row>
    <row r="4" spans="1:7" ht="16.5" customHeight="1">
      <c r="A4" s="6" t="s">
        <v>901</v>
      </c>
      <c r="B4" s="6" t="s">
        <v>902</v>
      </c>
      <c r="C4" s="7" t="s">
        <v>903</v>
      </c>
      <c r="D4" s="6" t="s">
        <v>904</v>
      </c>
      <c r="E4" s="6" t="s">
        <v>905</v>
      </c>
      <c r="F4" s="61">
        <v>0.43815031900000001</v>
      </c>
      <c r="G4" s="6"/>
    </row>
    <row r="5" spans="1:7" ht="16.5" customHeight="1">
      <c r="A5" s="20" t="s">
        <v>901</v>
      </c>
      <c r="B5" s="20" t="s">
        <v>906</v>
      </c>
      <c r="C5" s="21" t="s">
        <v>903</v>
      </c>
      <c r="D5" s="20" t="s">
        <v>904</v>
      </c>
      <c r="E5" s="20" t="s">
        <v>907</v>
      </c>
      <c r="F5" s="62">
        <v>7.8136971999999999E-2</v>
      </c>
      <c r="G5" s="20"/>
    </row>
    <row r="6" spans="1:7" ht="16.5" customHeight="1">
      <c r="A6" s="63" t="s">
        <v>901</v>
      </c>
      <c r="B6" s="63" t="s">
        <v>908</v>
      </c>
      <c r="C6" s="64" t="s">
        <v>903</v>
      </c>
      <c r="D6" s="63" t="s">
        <v>904</v>
      </c>
      <c r="E6" s="63" t="s">
        <v>909</v>
      </c>
      <c r="F6" s="65">
        <v>1.1167109E-2</v>
      </c>
      <c r="G6" s="63"/>
    </row>
    <row r="7" spans="1:7" ht="16.5" customHeight="1">
      <c r="A7" s="66" t="s">
        <v>901</v>
      </c>
      <c r="B7" s="66" t="s">
        <v>754</v>
      </c>
      <c r="C7" s="66" t="s">
        <v>910</v>
      </c>
      <c r="D7" s="66" t="s">
        <v>904</v>
      </c>
      <c r="E7" s="67" t="s">
        <v>911</v>
      </c>
      <c r="F7" s="68">
        <v>0.17596592899999999</v>
      </c>
      <c r="G7" s="69" t="s">
        <v>912</v>
      </c>
    </row>
    <row r="8" spans="1:7" ht="16.5" customHeight="1">
      <c r="A8" s="6" t="s">
        <v>913</v>
      </c>
      <c r="B8" s="6" t="s">
        <v>902</v>
      </c>
      <c r="C8" s="7" t="s">
        <v>914</v>
      </c>
      <c r="D8" s="6" t="s">
        <v>904</v>
      </c>
      <c r="E8" s="6" t="s">
        <v>915</v>
      </c>
      <c r="F8" s="61">
        <v>1.17111755</v>
      </c>
      <c r="G8" s="6"/>
    </row>
    <row r="9" spans="1:7" ht="16.5" customHeight="1">
      <c r="A9" s="20" t="s">
        <v>913</v>
      </c>
      <c r="B9" s="20" t="s">
        <v>906</v>
      </c>
      <c r="C9" s="21" t="s">
        <v>914</v>
      </c>
      <c r="D9" s="20" t="s">
        <v>904</v>
      </c>
      <c r="E9" s="20" t="s">
        <v>916</v>
      </c>
      <c r="F9" s="62">
        <v>0.52876848799999998</v>
      </c>
      <c r="G9" s="20"/>
    </row>
    <row r="10" spans="1:7" ht="16.5" customHeight="1">
      <c r="A10" s="63" t="s">
        <v>913</v>
      </c>
      <c r="B10" s="63" t="s">
        <v>908</v>
      </c>
      <c r="C10" s="64" t="s">
        <v>917</v>
      </c>
      <c r="D10" s="63" t="s">
        <v>904</v>
      </c>
      <c r="E10" s="63" t="s">
        <v>918</v>
      </c>
      <c r="F10" s="65">
        <v>7.1486184999999994E-2</v>
      </c>
      <c r="G10" s="63"/>
    </row>
    <row r="11" spans="1:7" ht="16.5" customHeight="1">
      <c r="A11" s="63" t="s">
        <v>913</v>
      </c>
      <c r="B11" s="63" t="s">
        <v>908</v>
      </c>
      <c r="C11" s="63" t="s">
        <v>919</v>
      </c>
      <c r="D11" s="63" t="s">
        <v>904</v>
      </c>
      <c r="E11" s="63" t="s">
        <v>920</v>
      </c>
      <c r="F11" s="65">
        <v>0.104479559</v>
      </c>
      <c r="G11" s="63" t="s">
        <v>921</v>
      </c>
    </row>
    <row r="12" spans="1:7" ht="16.5" customHeight="1">
      <c r="A12" s="66" t="s">
        <v>913</v>
      </c>
      <c r="B12" s="66" t="s">
        <v>754</v>
      </c>
      <c r="C12" s="66" t="s">
        <v>922</v>
      </c>
      <c r="D12" s="66" t="s">
        <v>904</v>
      </c>
      <c r="E12" s="67" t="s">
        <v>923</v>
      </c>
      <c r="F12" s="68">
        <v>1.176142131</v>
      </c>
      <c r="G12" s="69" t="s">
        <v>924</v>
      </c>
    </row>
    <row r="13" spans="1:7" ht="16.5" customHeight="1">
      <c r="A13" s="6" t="s">
        <v>925</v>
      </c>
      <c r="B13" s="6" t="s">
        <v>902</v>
      </c>
      <c r="C13" s="7" t="s">
        <v>926</v>
      </c>
      <c r="D13" s="6" t="s">
        <v>927</v>
      </c>
      <c r="E13" s="6" t="s">
        <v>928</v>
      </c>
      <c r="F13" s="61">
        <v>1.3203539E-2</v>
      </c>
      <c r="G13" s="6"/>
    </row>
    <row r="14" spans="1:7" ht="16.5" customHeight="1">
      <c r="A14" s="20" t="s">
        <v>925</v>
      </c>
      <c r="B14" s="20" t="s">
        <v>906</v>
      </c>
      <c r="C14" s="21" t="s">
        <v>926</v>
      </c>
      <c r="D14" s="20" t="s">
        <v>927</v>
      </c>
      <c r="E14" s="20" t="s">
        <v>929</v>
      </c>
      <c r="F14" s="62">
        <v>3.4125540390000002</v>
      </c>
      <c r="G14" s="20"/>
    </row>
    <row r="15" spans="1:7" ht="16.5" customHeight="1">
      <c r="A15" s="63" t="s">
        <v>925</v>
      </c>
      <c r="B15" s="63" t="s">
        <v>908</v>
      </c>
      <c r="C15" s="64" t="s">
        <v>926</v>
      </c>
      <c r="D15" s="63" t="s">
        <v>927</v>
      </c>
      <c r="E15" s="63" t="s">
        <v>930</v>
      </c>
      <c r="F15" s="65">
        <v>1.8599999999999998E-2</v>
      </c>
      <c r="G15" s="63"/>
    </row>
    <row r="16" spans="1:7" ht="16.5" customHeight="1">
      <c r="A16" s="66" t="s">
        <v>925</v>
      </c>
      <c r="B16" s="66" t="s">
        <v>754</v>
      </c>
      <c r="C16" s="66" t="s">
        <v>931</v>
      </c>
      <c r="D16" s="66" t="s">
        <v>927</v>
      </c>
      <c r="E16" s="67" t="s">
        <v>923</v>
      </c>
      <c r="F16" s="68">
        <v>1.176142131</v>
      </c>
      <c r="G16" s="69" t="s">
        <v>924</v>
      </c>
    </row>
    <row r="17" spans="1:7" ht="16.5" customHeight="1">
      <c r="A17" s="6" t="s">
        <v>932</v>
      </c>
      <c r="B17" s="6" t="s">
        <v>902</v>
      </c>
      <c r="C17" s="7" t="s">
        <v>933</v>
      </c>
      <c r="D17" s="6" t="s">
        <v>904</v>
      </c>
      <c r="E17" s="6" t="s">
        <v>934</v>
      </c>
      <c r="F17" s="61">
        <v>2.1194689969999998</v>
      </c>
      <c r="G17" s="6"/>
    </row>
    <row r="18" spans="1:7" ht="16.5" customHeight="1">
      <c r="A18" s="20" t="s">
        <v>932</v>
      </c>
      <c r="B18" s="20" t="s">
        <v>906</v>
      </c>
      <c r="C18" s="21" t="s">
        <v>933</v>
      </c>
      <c r="D18" s="20" t="s">
        <v>904</v>
      </c>
      <c r="E18" s="20" t="s">
        <v>935</v>
      </c>
      <c r="F18" s="62">
        <v>0.71566062100000005</v>
      </c>
      <c r="G18" s="20"/>
    </row>
    <row r="19" spans="1:7" ht="16.5" customHeight="1">
      <c r="A19" s="63" t="s">
        <v>932</v>
      </c>
      <c r="B19" s="63" t="s">
        <v>908</v>
      </c>
      <c r="C19" s="64" t="s">
        <v>933</v>
      </c>
      <c r="D19" s="63" t="s">
        <v>904</v>
      </c>
      <c r="E19" s="63" t="s">
        <v>936</v>
      </c>
      <c r="F19" s="65">
        <v>1.3599999999999999E-2</v>
      </c>
      <c r="G19" s="63"/>
    </row>
    <row r="20" spans="1:7" ht="16.5" customHeight="1">
      <c r="A20" s="66" t="s">
        <v>932</v>
      </c>
      <c r="B20" s="66" t="s">
        <v>754</v>
      </c>
      <c r="C20" s="66" t="s">
        <v>937</v>
      </c>
      <c r="D20" s="66" t="s">
        <v>904</v>
      </c>
      <c r="E20" s="67" t="s">
        <v>923</v>
      </c>
      <c r="F20" s="68">
        <v>1.176142131</v>
      </c>
      <c r="G20" s="69" t="s">
        <v>924</v>
      </c>
    </row>
    <row r="21" spans="1:7" ht="16.5" customHeight="1">
      <c r="A21" s="6" t="s">
        <v>938</v>
      </c>
      <c r="B21" s="6" t="s">
        <v>902</v>
      </c>
      <c r="C21" s="6" t="s">
        <v>939</v>
      </c>
      <c r="D21" s="6" t="s">
        <v>904</v>
      </c>
      <c r="E21" s="6" t="s">
        <v>940</v>
      </c>
      <c r="F21" s="61">
        <v>6.3950029999999998E-3</v>
      </c>
      <c r="G21" s="6"/>
    </row>
    <row r="22" spans="1:7" ht="16.5" customHeight="1">
      <c r="A22" s="20" t="s">
        <v>938</v>
      </c>
      <c r="B22" s="20" t="s">
        <v>906</v>
      </c>
      <c r="C22" s="20" t="s">
        <v>939</v>
      </c>
      <c r="D22" s="20" t="s">
        <v>904</v>
      </c>
      <c r="E22" s="20" t="s">
        <v>941</v>
      </c>
      <c r="F22" s="62">
        <v>1.181687309</v>
      </c>
      <c r="G22" s="20"/>
    </row>
    <row r="23" spans="1:7" ht="16.5" customHeight="1">
      <c r="A23" s="63" t="s">
        <v>938</v>
      </c>
      <c r="B23" s="63" t="s">
        <v>908</v>
      </c>
      <c r="C23" s="63" t="s">
        <v>939</v>
      </c>
      <c r="D23" s="63" t="s">
        <v>904</v>
      </c>
      <c r="E23" s="70" t="s">
        <v>942</v>
      </c>
      <c r="F23" s="65">
        <v>2.9390316999999999E-2</v>
      </c>
      <c r="G23" s="63" t="s">
        <v>943</v>
      </c>
    </row>
    <row r="24" spans="1:7" ht="16.5" customHeight="1">
      <c r="A24" s="66" t="s">
        <v>938</v>
      </c>
      <c r="B24" s="66" t="s">
        <v>754</v>
      </c>
      <c r="C24" s="66" t="s">
        <v>944</v>
      </c>
      <c r="D24" s="66" t="s">
        <v>904</v>
      </c>
      <c r="E24" s="67" t="s">
        <v>923</v>
      </c>
      <c r="F24" s="68">
        <v>1.176142131</v>
      </c>
      <c r="G24" s="69" t="s">
        <v>924</v>
      </c>
    </row>
    <row r="25" spans="1:7" ht="16.5" customHeight="1">
      <c r="A25" s="6" t="s">
        <v>945</v>
      </c>
      <c r="B25" s="6" t="s">
        <v>902</v>
      </c>
      <c r="C25" s="7" t="s">
        <v>946</v>
      </c>
      <c r="D25" s="6" t="s">
        <v>904</v>
      </c>
      <c r="E25" s="6" t="s">
        <v>947</v>
      </c>
      <c r="F25" s="61">
        <v>1.1924972000000001E-2</v>
      </c>
      <c r="G25" s="6"/>
    </row>
    <row r="26" spans="1:7" ht="16.5" customHeight="1">
      <c r="A26" s="20" t="s">
        <v>945</v>
      </c>
      <c r="B26" s="20" t="s">
        <v>906</v>
      </c>
      <c r="C26" s="21" t="s">
        <v>946</v>
      </c>
      <c r="D26" s="20" t="s">
        <v>904</v>
      </c>
      <c r="E26" s="20" t="s">
        <v>948</v>
      </c>
      <c r="F26" s="62">
        <v>0.37272948700000003</v>
      </c>
      <c r="G26" s="20"/>
    </row>
    <row r="27" spans="1:7" ht="16.5" customHeight="1">
      <c r="A27" s="63" t="s">
        <v>945</v>
      </c>
      <c r="B27" s="63" t="s">
        <v>908</v>
      </c>
      <c r="C27" s="64" t="s">
        <v>946</v>
      </c>
      <c r="D27" s="63" t="s">
        <v>904</v>
      </c>
      <c r="E27" s="63" t="s">
        <v>949</v>
      </c>
      <c r="F27" s="65">
        <v>9.7800000000000005E-3</v>
      </c>
      <c r="G27" s="63"/>
    </row>
    <row r="28" spans="1:7" ht="16.5" customHeight="1">
      <c r="A28" s="66" t="s">
        <v>945</v>
      </c>
      <c r="B28" s="66" t="s">
        <v>754</v>
      </c>
      <c r="C28" s="66" t="s">
        <v>950</v>
      </c>
      <c r="D28" s="66" t="s">
        <v>904</v>
      </c>
      <c r="E28" s="67" t="s">
        <v>911</v>
      </c>
      <c r="F28" s="68">
        <v>0.17596592899999999</v>
      </c>
      <c r="G28" s="69" t="s">
        <v>912</v>
      </c>
    </row>
    <row r="29" spans="1:7" ht="16.5" customHeight="1">
      <c r="A29" s="6" t="s">
        <v>951</v>
      </c>
      <c r="B29" s="6" t="s">
        <v>902</v>
      </c>
      <c r="C29" s="7" t="s">
        <v>952</v>
      </c>
      <c r="D29" s="6" t="s">
        <v>904</v>
      </c>
      <c r="E29" s="6" t="s">
        <v>953</v>
      </c>
      <c r="F29" s="61">
        <v>1.222114E-2</v>
      </c>
      <c r="G29" s="6"/>
    </row>
    <row r="30" spans="1:7" ht="16.5" customHeight="1">
      <c r="A30" s="20" t="s">
        <v>951</v>
      </c>
      <c r="B30" s="20" t="s">
        <v>906</v>
      </c>
      <c r="C30" s="21" t="s">
        <v>952</v>
      </c>
      <c r="D30" s="20" t="s">
        <v>904</v>
      </c>
      <c r="E30" s="20" t="s">
        <v>954</v>
      </c>
      <c r="F30" s="62">
        <v>0.51208676900000005</v>
      </c>
      <c r="G30" s="20"/>
    </row>
    <row r="31" spans="1:7" ht="16.5" customHeight="1">
      <c r="A31" s="63" t="s">
        <v>951</v>
      </c>
      <c r="B31" s="63" t="s">
        <v>908</v>
      </c>
      <c r="C31" s="64" t="s">
        <v>955</v>
      </c>
      <c r="D31" s="63" t="s">
        <v>904</v>
      </c>
      <c r="E31" s="63" t="s">
        <v>956</v>
      </c>
      <c r="F31" s="65">
        <v>3.8E-3</v>
      </c>
      <c r="G31" s="63" t="s">
        <v>957</v>
      </c>
    </row>
    <row r="32" spans="1:7" ht="16.5" customHeight="1">
      <c r="A32" s="63" t="s">
        <v>951</v>
      </c>
      <c r="B32" s="63" t="s">
        <v>908</v>
      </c>
      <c r="C32" s="63" t="s">
        <v>958</v>
      </c>
      <c r="D32" s="63" t="s">
        <v>904</v>
      </c>
      <c r="E32" s="63" t="s">
        <v>959</v>
      </c>
      <c r="F32" s="65">
        <v>1.78E-2</v>
      </c>
      <c r="G32" s="63" t="s">
        <v>960</v>
      </c>
    </row>
    <row r="33" spans="1:7" ht="16.5" customHeight="1">
      <c r="A33" s="66" t="s">
        <v>951</v>
      </c>
      <c r="B33" s="66" t="s">
        <v>754</v>
      </c>
      <c r="C33" s="66" t="s">
        <v>961</v>
      </c>
      <c r="D33" s="66" t="s">
        <v>904</v>
      </c>
      <c r="E33" s="67" t="s">
        <v>923</v>
      </c>
      <c r="F33" s="68">
        <v>1.176142131</v>
      </c>
      <c r="G33" s="69" t="s">
        <v>924</v>
      </c>
    </row>
    <row r="34" spans="1:7" ht="16.5" customHeight="1">
      <c r="A34" s="6" t="s">
        <v>962</v>
      </c>
      <c r="B34" s="6" t="s">
        <v>902</v>
      </c>
      <c r="C34" s="6" t="s">
        <v>963</v>
      </c>
      <c r="D34" s="6" t="s">
        <v>927</v>
      </c>
      <c r="E34" s="6" t="s">
        <v>905</v>
      </c>
      <c r="F34" s="61">
        <v>0.43815031900000001</v>
      </c>
      <c r="G34" s="6"/>
    </row>
    <row r="35" spans="1:7" ht="16.5" customHeight="1">
      <c r="A35" s="20" t="s">
        <v>962</v>
      </c>
      <c r="B35" s="20" t="s">
        <v>906</v>
      </c>
      <c r="C35" s="20" t="s">
        <v>963</v>
      </c>
      <c r="D35" s="20" t="s">
        <v>927</v>
      </c>
      <c r="E35" s="20" t="s">
        <v>907</v>
      </c>
      <c r="F35" s="62">
        <v>7.8136971999999999E-2</v>
      </c>
      <c r="G35" s="20"/>
    </row>
    <row r="36" spans="1:7" ht="16.5" customHeight="1">
      <c r="A36" s="63" t="s">
        <v>962</v>
      </c>
      <c r="B36" s="63" t="s">
        <v>908</v>
      </c>
      <c r="C36" s="63" t="s">
        <v>963</v>
      </c>
      <c r="D36" s="63" t="s">
        <v>927</v>
      </c>
      <c r="E36" s="70" t="s">
        <v>942</v>
      </c>
      <c r="F36" s="65">
        <v>2.9390316999999999E-2</v>
      </c>
      <c r="G36" s="63"/>
    </row>
    <row r="37" spans="1:7" ht="16.5" customHeight="1">
      <c r="A37" s="66" t="s">
        <v>962</v>
      </c>
      <c r="B37" s="66" t="s">
        <v>754</v>
      </c>
      <c r="C37" s="66" t="s">
        <v>964</v>
      </c>
      <c r="D37" s="66" t="s">
        <v>927</v>
      </c>
      <c r="E37" s="67" t="s">
        <v>923</v>
      </c>
      <c r="F37" s="68">
        <v>1.176142131</v>
      </c>
      <c r="G37" s="69" t="s">
        <v>924</v>
      </c>
    </row>
    <row r="38" spans="1:7" ht="16.5" customHeight="1">
      <c r="A38" s="6" t="s">
        <v>965</v>
      </c>
      <c r="B38" s="6" t="s">
        <v>902</v>
      </c>
      <c r="C38" s="7" t="s">
        <v>966</v>
      </c>
      <c r="D38" s="6" t="s">
        <v>904</v>
      </c>
      <c r="E38" s="6" t="s">
        <v>940</v>
      </c>
      <c r="F38" s="61">
        <v>6.3950029999999998E-3</v>
      </c>
      <c r="G38" s="6"/>
    </row>
    <row r="39" spans="1:7" ht="16.5" customHeight="1">
      <c r="A39" s="20" t="s">
        <v>965</v>
      </c>
      <c r="B39" s="20" t="s">
        <v>906</v>
      </c>
      <c r="C39" s="21" t="s">
        <v>966</v>
      </c>
      <c r="D39" s="20" t="s">
        <v>904</v>
      </c>
      <c r="E39" s="20" t="s">
        <v>941</v>
      </c>
      <c r="F39" s="62">
        <v>1.181687309</v>
      </c>
      <c r="G39" s="20"/>
    </row>
    <row r="40" spans="1:7" ht="16.5" customHeight="1">
      <c r="A40" s="63" t="s">
        <v>965</v>
      </c>
      <c r="B40" s="63" t="s">
        <v>908</v>
      </c>
      <c r="C40" s="64" t="s">
        <v>967</v>
      </c>
      <c r="D40" s="63" t="s">
        <v>904</v>
      </c>
      <c r="E40" s="63" t="s">
        <v>959</v>
      </c>
      <c r="F40" s="65">
        <v>1.78E-2</v>
      </c>
      <c r="G40" s="63"/>
    </row>
    <row r="41" spans="1:7" ht="16.5" customHeight="1">
      <c r="A41" s="66" t="s">
        <v>965</v>
      </c>
      <c r="B41" s="66" t="s">
        <v>754</v>
      </c>
      <c r="C41" s="66" t="s">
        <v>968</v>
      </c>
      <c r="D41" s="66" t="s">
        <v>904</v>
      </c>
      <c r="E41" s="67" t="s">
        <v>923</v>
      </c>
      <c r="F41" s="68">
        <v>1.176142131</v>
      </c>
      <c r="G41" s="69" t="s">
        <v>924</v>
      </c>
    </row>
    <row r="42" spans="1:7" ht="16.5" customHeight="1">
      <c r="A42" s="6" t="s">
        <v>969</v>
      </c>
      <c r="B42" s="6" t="s">
        <v>902</v>
      </c>
      <c r="C42" s="6" t="s">
        <v>970</v>
      </c>
      <c r="D42" s="6" t="s">
        <v>927</v>
      </c>
      <c r="E42" s="6" t="s">
        <v>953</v>
      </c>
      <c r="F42" s="61">
        <v>1.222114E-2</v>
      </c>
      <c r="G42" s="6"/>
    </row>
    <row r="43" spans="1:7" ht="16.5" customHeight="1">
      <c r="A43" s="20" t="s">
        <v>969</v>
      </c>
      <c r="B43" s="20" t="s">
        <v>906</v>
      </c>
      <c r="C43" s="20" t="s">
        <v>970</v>
      </c>
      <c r="D43" s="20" t="s">
        <v>927</v>
      </c>
      <c r="E43" s="20" t="s">
        <v>954</v>
      </c>
      <c r="F43" s="62">
        <v>0.51208676900000005</v>
      </c>
      <c r="G43" s="20"/>
    </row>
    <row r="44" spans="1:7" ht="16.5" customHeight="1">
      <c r="A44" s="63" t="s">
        <v>969</v>
      </c>
      <c r="B44" s="63" t="s">
        <v>908</v>
      </c>
      <c r="C44" s="64" t="s">
        <v>971</v>
      </c>
      <c r="D44" s="63" t="s">
        <v>927</v>
      </c>
      <c r="E44" s="63" t="s">
        <v>959</v>
      </c>
      <c r="F44" s="65">
        <v>1.78E-2</v>
      </c>
      <c r="G44" s="63"/>
    </row>
    <row r="45" spans="1:7" ht="16.5" customHeight="1">
      <c r="A45" s="66" t="s">
        <v>969</v>
      </c>
      <c r="B45" s="66" t="s">
        <v>754</v>
      </c>
      <c r="C45" s="66" t="s">
        <v>972</v>
      </c>
      <c r="D45" s="66" t="s">
        <v>927</v>
      </c>
      <c r="E45" s="67" t="s">
        <v>923</v>
      </c>
      <c r="F45" s="68">
        <v>1.176142131</v>
      </c>
      <c r="G45" s="69" t="s">
        <v>924</v>
      </c>
    </row>
    <row r="46" spans="1:7" ht="16.5" customHeight="1">
      <c r="A46" s="6" t="s">
        <v>973</v>
      </c>
      <c r="B46" s="6" t="s">
        <v>902</v>
      </c>
      <c r="C46" s="6" t="s">
        <v>974</v>
      </c>
      <c r="D46" s="6" t="s">
        <v>975</v>
      </c>
      <c r="E46" s="6" t="s">
        <v>976</v>
      </c>
      <c r="F46" s="61">
        <v>0.17753638299999999</v>
      </c>
      <c r="G46" s="6"/>
    </row>
    <row r="47" spans="1:7" ht="16.5" customHeight="1">
      <c r="A47" s="20" t="s">
        <v>973</v>
      </c>
      <c r="B47" s="20" t="s">
        <v>906</v>
      </c>
      <c r="C47" s="21" t="s">
        <v>977</v>
      </c>
      <c r="D47" s="20" t="s">
        <v>975</v>
      </c>
      <c r="E47" s="20" t="s">
        <v>978</v>
      </c>
      <c r="F47" s="62">
        <v>1.79936531</v>
      </c>
      <c r="G47" s="20"/>
    </row>
    <row r="48" spans="1:7" ht="16.5" customHeight="1">
      <c r="A48" s="63" t="s">
        <v>973</v>
      </c>
      <c r="B48" s="63" t="s">
        <v>908</v>
      </c>
      <c r="C48" s="63" t="s">
        <v>979</v>
      </c>
      <c r="D48" s="63" t="s">
        <v>975</v>
      </c>
      <c r="E48" s="70" t="s">
        <v>942</v>
      </c>
      <c r="F48" s="65">
        <v>2.9390316999999999E-2</v>
      </c>
      <c r="G48" s="63"/>
    </row>
    <row r="49" spans="1:7" ht="16.5" customHeight="1">
      <c r="A49" s="66" t="s">
        <v>973</v>
      </c>
      <c r="B49" s="66" t="s">
        <v>754</v>
      </c>
      <c r="C49" s="66" t="s">
        <v>980</v>
      </c>
      <c r="D49" s="66" t="s">
        <v>975</v>
      </c>
      <c r="E49" s="67" t="s">
        <v>923</v>
      </c>
      <c r="F49" s="68">
        <v>1.176142131</v>
      </c>
      <c r="G49" s="69" t="s">
        <v>924</v>
      </c>
    </row>
    <row r="50" spans="1:7" ht="16.5" customHeight="1">
      <c r="A50" s="6" t="s">
        <v>981</v>
      </c>
      <c r="B50" s="6" t="s">
        <v>902</v>
      </c>
      <c r="C50" s="6" t="s">
        <v>982</v>
      </c>
      <c r="D50" s="6" t="s">
        <v>983</v>
      </c>
      <c r="E50" s="6" t="s">
        <v>984</v>
      </c>
      <c r="F50" s="61">
        <v>1.2153842999999999E-2</v>
      </c>
      <c r="G50" s="6"/>
    </row>
    <row r="51" spans="1:7" ht="16.5" customHeight="1">
      <c r="A51" s="20" t="s">
        <v>981</v>
      </c>
      <c r="B51" s="20" t="s">
        <v>906</v>
      </c>
      <c r="C51" s="20" t="s">
        <v>982</v>
      </c>
      <c r="D51" s="20" t="s">
        <v>983</v>
      </c>
      <c r="E51" s="22" t="s">
        <v>923</v>
      </c>
      <c r="F51" s="62">
        <v>1.176142131</v>
      </c>
      <c r="G51" s="21" t="s">
        <v>985</v>
      </c>
    </row>
    <row r="52" spans="1:7" ht="16.5" customHeight="1">
      <c r="A52" s="63" t="s">
        <v>981</v>
      </c>
      <c r="B52" s="63" t="s">
        <v>908</v>
      </c>
      <c r="C52" s="63" t="s">
        <v>982</v>
      </c>
      <c r="D52" s="63" t="s">
        <v>983</v>
      </c>
      <c r="E52" s="63" t="s">
        <v>986</v>
      </c>
      <c r="F52" s="65">
        <v>1.38E-2</v>
      </c>
      <c r="G52" s="63"/>
    </row>
    <row r="53" spans="1:7" ht="16.5" customHeight="1">
      <c r="A53" s="66" t="s">
        <v>981</v>
      </c>
      <c r="B53" s="66" t="s">
        <v>754</v>
      </c>
      <c r="C53" s="66" t="s">
        <v>987</v>
      </c>
      <c r="D53" s="66" t="s">
        <v>983</v>
      </c>
      <c r="E53" s="67" t="s">
        <v>911</v>
      </c>
      <c r="F53" s="68">
        <v>0.17596592899999999</v>
      </c>
      <c r="G53" s="69" t="s">
        <v>912</v>
      </c>
    </row>
    <row r="54" spans="1:7" ht="16.5" customHeight="1">
      <c r="A54" s="6" t="s">
        <v>988</v>
      </c>
      <c r="B54" s="6" t="s">
        <v>902</v>
      </c>
      <c r="C54" s="7" t="s">
        <v>989</v>
      </c>
      <c r="D54" s="6" t="s">
        <v>983</v>
      </c>
      <c r="E54" s="6" t="s">
        <v>990</v>
      </c>
      <c r="F54" s="61">
        <v>1.5674104600000001</v>
      </c>
      <c r="G54" s="6"/>
    </row>
    <row r="55" spans="1:7" ht="16.5" customHeight="1">
      <c r="A55" s="20" t="s">
        <v>988</v>
      </c>
      <c r="B55" s="20" t="s">
        <v>906</v>
      </c>
      <c r="C55" s="20" t="s">
        <v>991</v>
      </c>
      <c r="D55" s="20" t="s">
        <v>983</v>
      </c>
      <c r="E55" s="20" t="s">
        <v>992</v>
      </c>
      <c r="F55" s="62">
        <v>1.984290184</v>
      </c>
      <c r="G55" s="20"/>
    </row>
    <row r="56" spans="1:7" ht="16.5" customHeight="1">
      <c r="A56" s="63" t="s">
        <v>988</v>
      </c>
      <c r="B56" s="63" t="s">
        <v>908</v>
      </c>
      <c r="C56" s="63" t="s">
        <v>991</v>
      </c>
      <c r="D56" s="63" t="s">
        <v>983</v>
      </c>
      <c r="E56" s="70" t="s">
        <v>942</v>
      </c>
      <c r="F56" s="65">
        <v>2.9390316999999999E-2</v>
      </c>
      <c r="G56" s="63" t="s">
        <v>943</v>
      </c>
    </row>
    <row r="57" spans="1:7" ht="16.5" customHeight="1">
      <c r="A57" s="66" t="s">
        <v>988</v>
      </c>
      <c r="B57" s="66" t="s">
        <v>754</v>
      </c>
      <c r="C57" s="66" t="s">
        <v>993</v>
      </c>
      <c r="D57" s="66" t="s">
        <v>983</v>
      </c>
      <c r="E57" s="67" t="s">
        <v>923</v>
      </c>
      <c r="F57" s="68">
        <v>1.176142131</v>
      </c>
      <c r="G57" s="69" t="s">
        <v>924</v>
      </c>
    </row>
    <row r="58" spans="1:7" ht="16.5" customHeight="1">
      <c r="A58" s="6" t="s">
        <v>994</v>
      </c>
      <c r="B58" s="6" t="s">
        <v>902</v>
      </c>
      <c r="C58" s="7" t="s">
        <v>995</v>
      </c>
      <c r="D58" s="6" t="s">
        <v>975</v>
      </c>
      <c r="E58" s="6" t="s">
        <v>976</v>
      </c>
      <c r="F58" s="61">
        <v>0.17753638299999999</v>
      </c>
      <c r="G58" s="6"/>
    </row>
    <row r="59" spans="1:7" ht="16.5" customHeight="1">
      <c r="A59" s="20" t="s">
        <v>994</v>
      </c>
      <c r="B59" s="20" t="s">
        <v>906</v>
      </c>
      <c r="C59" s="21" t="s">
        <v>995</v>
      </c>
      <c r="D59" s="20" t="s">
        <v>975</v>
      </c>
      <c r="E59" s="20" t="s">
        <v>978</v>
      </c>
      <c r="F59" s="62">
        <v>1.79936531</v>
      </c>
      <c r="G59" s="20"/>
    </row>
    <row r="60" spans="1:7" ht="16.5" customHeight="1">
      <c r="A60" s="63" t="s">
        <v>994</v>
      </c>
      <c r="B60" s="63" t="s">
        <v>908</v>
      </c>
      <c r="C60" s="63" t="s">
        <v>996</v>
      </c>
      <c r="D60" s="63" t="s">
        <v>975</v>
      </c>
      <c r="E60" s="70" t="s">
        <v>942</v>
      </c>
      <c r="F60" s="65">
        <v>2.9390316999999999E-2</v>
      </c>
      <c r="G60" s="63"/>
    </row>
    <row r="61" spans="1:7" ht="16.5" customHeight="1">
      <c r="A61" s="66" t="s">
        <v>994</v>
      </c>
      <c r="B61" s="66" t="s">
        <v>754</v>
      </c>
      <c r="C61" s="66" t="s">
        <v>996</v>
      </c>
      <c r="D61" s="66" t="s">
        <v>975</v>
      </c>
      <c r="E61" s="67" t="s">
        <v>923</v>
      </c>
      <c r="F61" s="68">
        <v>1.176142131</v>
      </c>
      <c r="G61" s="69" t="s">
        <v>924</v>
      </c>
    </row>
    <row r="62" spans="1:7" ht="16.5" customHeight="1">
      <c r="A62" s="6" t="s">
        <v>754</v>
      </c>
      <c r="B62" s="6" t="s">
        <v>902</v>
      </c>
      <c r="C62" s="6" t="s">
        <v>997</v>
      </c>
      <c r="D62" s="6" t="s">
        <v>983</v>
      </c>
      <c r="E62" s="6" t="s">
        <v>940</v>
      </c>
      <c r="F62" s="61">
        <v>6.3950029999999998E-3</v>
      </c>
      <c r="G62" s="6" t="s">
        <v>998</v>
      </c>
    </row>
    <row r="63" spans="1:7" ht="16.5" customHeight="1">
      <c r="A63" s="20" t="s">
        <v>754</v>
      </c>
      <c r="B63" s="20" t="s">
        <v>906</v>
      </c>
      <c r="C63" s="20" t="s">
        <v>997</v>
      </c>
      <c r="D63" s="20" t="s">
        <v>983</v>
      </c>
      <c r="E63" s="20" t="s">
        <v>941</v>
      </c>
      <c r="F63" s="62">
        <v>1.181687309</v>
      </c>
      <c r="G63" s="20"/>
    </row>
    <row r="64" spans="1:7" ht="16.5" customHeight="1">
      <c r="A64" s="63" t="s">
        <v>754</v>
      </c>
      <c r="B64" s="63" t="s">
        <v>908</v>
      </c>
      <c r="C64" s="63" t="s">
        <v>999</v>
      </c>
      <c r="D64" s="63" t="s">
        <v>983</v>
      </c>
      <c r="E64" s="70" t="s">
        <v>942</v>
      </c>
      <c r="F64" s="65">
        <v>2.9390316999999999E-2</v>
      </c>
      <c r="G64" s="63"/>
    </row>
    <row r="65" spans="1:7" ht="16.5" customHeight="1">
      <c r="A65" s="66" t="s">
        <v>754</v>
      </c>
      <c r="B65" s="66" t="s">
        <v>754</v>
      </c>
      <c r="C65" s="66"/>
      <c r="D65" s="66" t="s">
        <v>983</v>
      </c>
      <c r="E65" s="67" t="s">
        <v>923</v>
      </c>
      <c r="F65" s="68">
        <v>1.176142131</v>
      </c>
      <c r="G65" s="69" t="s">
        <v>924</v>
      </c>
    </row>
    <row r="66" spans="1:7" ht="16.5" customHeight="1">
      <c r="A66" s="71"/>
      <c r="B66" s="71"/>
      <c r="C66" s="71"/>
      <c r="D66" s="71"/>
      <c r="E66" s="71"/>
      <c r="F66" s="71"/>
      <c r="G66" s="71"/>
    </row>
    <row r="67" spans="1:7" ht="16.5" customHeight="1">
      <c r="A67" s="72" t="s">
        <v>1000</v>
      </c>
      <c r="B67" s="73" t="s">
        <v>902</v>
      </c>
      <c r="C67" s="74" t="s">
        <v>1001</v>
      </c>
      <c r="D67" s="73" t="s">
        <v>1002</v>
      </c>
      <c r="E67" s="72" t="s">
        <v>1003</v>
      </c>
      <c r="F67" s="75">
        <v>0.17596592899999999</v>
      </c>
      <c r="G67" s="72"/>
    </row>
    <row r="68" spans="1:7" ht="16.5" customHeight="1">
      <c r="A68" s="72" t="s">
        <v>1000</v>
      </c>
      <c r="B68" s="73" t="s">
        <v>906</v>
      </c>
      <c r="C68" s="74" t="s">
        <v>1001</v>
      </c>
      <c r="D68" s="73" t="s">
        <v>1002</v>
      </c>
      <c r="E68" s="72" t="s">
        <v>1004</v>
      </c>
      <c r="F68" s="75">
        <v>1.176142131</v>
      </c>
      <c r="G68" s="72"/>
    </row>
    <row r="69" spans="1:7" ht="16.5" customHeight="1">
      <c r="A69" s="72" t="s">
        <v>1000</v>
      </c>
      <c r="B69" s="73" t="s">
        <v>908</v>
      </c>
      <c r="C69" s="74" t="s">
        <v>1001</v>
      </c>
      <c r="D69" s="73" t="s">
        <v>1002</v>
      </c>
      <c r="E69" s="76" t="s">
        <v>1005</v>
      </c>
      <c r="F69" s="75">
        <v>2.9390316999999999E-2</v>
      </c>
      <c r="G69" s="72"/>
    </row>
    <row r="70" spans="1:7" ht="16.5" customHeight="1"/>
    <row r="71" spans="1:7" ht="16.5" customHeight="1"/>
    <row r="72" spans="1:7" ht="16.5" customHeight="1"/>
    <row r="73" spans="1:7" ht="16.5" customHeight="1"/>
    <row r="74" spans="1:7" ht="16.5" customHeight="1"/>
    <row r="75" spans="1:7" ht="16.5" customHeight="1"/>
    <row r="76" spans="1:7" ht="16.5" customHeight="1"/>
    <row r="77" spans="1:7" ht="16.5" customHeight="1"/>
    <row r="78" spans="1:7" ht="16.5" customHeight="1"/>
    <row r="79" spans="1:7" ht="16.5" customHeight="1"/>
    <row r="80" spans="1:7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3">
    <mergeCell ref="E2:G2"/>
    <mergeCell ref="A1:G1"/>
    <mergeCell ref="A2:D2"/>
  </mergeCells>
  <phoneticPr fontId="22" type="noConversion"/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zoomScaleNormal="100" workbookViewId="0">
      <pane ySplit="2" topLeftCell="A3" activePane="bottomLeft" state="frozen"/>
      <selection pane="bottomLeft" activeCell="B4" sqref="B4"/>
    </sheetView>
  </sheetViews>
  <sheetFormatPr defaultColWidth="14.42578125" defaultRowHeight="15"/>
  <cols>
    <col min="1" max="3" width="11" customWidth="1"/>
    <col min="4" max="4" width="40" customWidth="1"/>
    <col min="5" max="5" width="11" customWidth="1"/>
    <col min="6" max="8" width="16" customWidth="1"/>
    <col min="9" max="26" width="8.7109375" customWidth="1"/>
  </cols>
  <sheetData>
    <row r="1" spans="1:8" ht="21.75" customHeight="1">
      <c r="A1" s="239" t="s">
        <v>1006</v>
      </c>
      <c r="B1" s="232"/>
      <c r="C1" s="232"/>
      <c r="D1" s="232"/>
      <c r="E1" s="232"/>
      <c r="F1" s="232"/>
      <c r="G1" s="232"/>
      <c r="H1" s="232"/>
    </row>
    <row r="2" spans="1:8" ht="39.75" customHeight="1">
      <c r="A2" s="1" t="s">
        <v>1007</v>
      </c>
      <c r="B2" s="1" t="s">
        <v>1008</v>
      </c>
      <c r="C2" s="1" t="s">
        <v>1009</v>
      </c>
      <c r="D2" s="77" t="s">
        <v>1010</v>
      </c>
      <c r="E2" s="2" t="s">
        <v>771</v>
      </c>
      <c r="F2" s="35" t="s">
        <v>1011</v>
      </c>
      <c r="G2" s="78" t="s">
        <v>1012</v>
      </c>
      <c r="H2" s="3" t="s">
        <v>1013</v>
      </c>
    </row>
    <row r="3" spans="1:8" ht="16.5" customHeight="1">
      <c r="A3" s="41" t="s">
        <v>1014</v>
      </c>
      <c r="B3" s="41" t="s">
        <v>1015</v>
      </c>
      <c r="C3" s="41" t="s">
        <v>1016</v>
      </c>
      <c r="D3" s="40" t="s">
        <v>1017</v>
      </c>
      <c r="E3" s="40" t="s">
        <v>975</v>
      </c>
      <c r="F3" s="79">
        <v>1.3203539E-2</v>
      </c>
      <c r="G3" s="79">
        <v>3.4125540390000002</v>
      </c>
      <c r="H3" s="79">
        <v>1.8599999999999998E-2</v>
      </c>
    </row>
    <row r="4" spans="1:8" ht="16.5" customHeight="1">
      <c r="A4" s="38" t="s">
        <v>1014</v>
      </c>
      <c r="B4" s="38" t="s">
        <v>1015</v>
      </c>
      <c r="C4" s="38" t="s">
        <v>1018</v>
      </c>
      <c r="D4" s="37" t="s">
        <v>1019</v>
      </c>
      <c r="E4" s="37" t="s">
        <v>975</v>
      </c>
      <c r="F4" s="80">
        <v>1.3203539E-2</v>
      </c>
      <c r="G4" s="80">
        <v>3.4125540390000002</v>
      </c>
      <c r="H4" s="80">
        <v>1.8599999999999998E-2</v>
      </c>
    </row>
    <row r="5" spans="1:8" ht="16.5" customHeight="1">
      <c r="A5" s="41" t="s">
        <v>1014</v>
      </c>
      <c r="B5" s="41" t="s">
        <v>1015</v>
      </c>
      <c r="C5" s="41" t="s">
        <v>1020</v>
      </c>
      <c r="D5" s="40" t="s">
        <v>1021</v>
      </c>
      <c r="E5" s="40" t="s">
        <v>975</v>
      </c>
      <c r="F5" s="79">
        <v>1.3203539E-2</v>
      </c>
      <c r="G5" s="79">
        <v>3.4125540390000002</v>
      </c>
      <c r="H5" s="79">
        <v>1.8599999999999998E-2</v>
      </c>
    </row>
    <row r="6" spans="1:8" ht="16.5" customHeight="1">
      <c r="A6" s="38" t="s">
        <v>1014</v>
      </c>
      <c r="B6" s="38" t="s">
        <v>1015</v>
      </c>
      <c r="C6" s="38" t="s">
        <v>1022</v>
      </c>
      <c r="D6" s="37" t="s">
        <v>1023</v>
      </c>
      <c r="E6" s="37" t="s">
        <v>975</v>
      </c>
      <c r="F6" s="80">
        <v>1.3203539E-2</v>
      </c>
      <c r="G6" s="80">
        <v>3.4125540390000002</v>
      </c>
      <c r="H6" s="80">
        <v>1.8599999999999998E-2</v>
      </c>
    </row>
    <row r="7" spans="1:8" ht="16.5" customHeight="1">
      <c r="A7" s="41" t="s">
        <v>1014</v>
      </c>
      <c r="B7" s="41" t="s">
        <v>1015</v>
      </c>
      <c r="C7" s="41" t="s">
        <v>1024</v>
      </c>
      <c r="D7" s="40" t="s">
        <v>1025</v>
      </c>
      <c r="E7" s="40" t="s">
        <v>975</v>
      </c>
      <c r="F7" s="79">
        <v>1.3203539E-2</v>
      </c>
      <c r="G7" s="79">
        <v>3.4125540390000002</v>
      </c>
      <c r="H7" s="79">
        <v>1.8599999999999998E-2</v>
      </c>
    </row>
    <row r="8" spans="1:8" ht="16.5" customHeight="1">
      <c r="A8" s="38" t="s">
        <v>1014</v>
      </c>
      <c r="B8" s="38" t="s">
        <v>1015</v>
      </c>
      <c r="C8" s="38" t="s">
        <v>1026</v>
      </c>
      <c r="D8" s="37" t="s">
        <v>1027</v>
      </c>
      <c r="E8" s="37" t="s">
        <v>975</v>
      </c>
      <c r="F8" s="80">
        <v>1.3203539E-2</v>
      </c>
      <c r="G8" s="80">
        <v>3.4125540390000002</v>
      </c>
      <c r="H8" s="80">
        <v>1.8599999999999998E-2</v>
      </c>
    </row>
    <row r="9" spans="1:8" ht="16.5" customHeight="1">
      <c r="A9" s="41" t="s">
        <v>1014</v>
      </c>
      <c r="B9" s="41" t="s">
        <v>1015</v>
      </c>
      <c r="C9" s="41" t="s">
        <v>1028</v>
      </c>
      <c r="D9" s="40" t="s">
        <v>1029</v>
      </c>
      <c r="E9" s="40" t="s">
        <v>975</v>
      </c>
      <c r="F9" s="79">
        <v>1.5674104600000001</v>
      </c>
      <c r="G9" s="79">
        <v>1.984290184</v>
      </c>
      <c r="H9" s="79">
        <v>2.9390316999999999E-2</v>
      </c>
    </row>
    <row r="10" spans="1:8" ht="16.5" customHeight="1">
      <c r="A10" s="38" t="s">
        <v>1014</v>
      </c>
      <c r="B10" s="38" t="s">
        <v>1015</v>
      </c>
      <c r="C10" s="38" t="s">
        <v>1030</v>
      </c>
      <c r="D10" s="37" t="s">
        <v>1031</v>
      </c>
      <c r="E10" s="37" t="s">
        <v>975</v>
      </c>
      <c r="F10" s="80">
        <v>1.3203539E-2</v>
      </c>
      <c r="G10" s="80">
        <v>3.4125540390000002</v>
      </c>
      <c r="H10" s="80">
        <v>1.8599999999999998E-2</v>
      </c>
    </row>
    <row r="11" spans="1:8" ht="16.5" customHeight="1">
      <c r="A11" s="41" t="s">
        <v>1014</v>
      </c>
      <c r="B11" s="41" t="s">
        <v>1015</v>
      </c>
      <c r="C11" s="41" t="s">
        <v>1032</v>
      </c>
      <c r="D11" s="81" t="s">
        <v>1033</v>
      </c>
      <c r="E11" s="40" t="s">
        <v>975</v>
      </c>
      <c r="F11" s="79">
        <v>1.3203539E-2</v>
      </c>
      <c r="G11" s="79">
        <v>3.4125540390000002</v>
      </c>
      <c r="H11" s="79">
        <v>1.8599999999999998E-2</v>
      </c>
    </row>
    <row r="12" spans="1:8" ht="16.5" customHeight="1">
      <c r="A12" s="38" t="s">
        <v>1014</v>
      </c>
      <c r="B12" s="38" t="s">
        <v>1015</v>
      </c>
      <c r="C12" s="38" t="s">
        <v>1034</v>
      </c>
      <c r="D12" s="37" t="s">
        <v>1035</v>
      </c>
      <c r="E12" s="37" t="s">
        <v>975</v>
      </c>
      <c r="F12" s="80">
        <v>1.3203539E-2</v>
      </c>
      <c r="G12" s="80">
        <v>3.4125540390000002</v>
      </c>
      <c r="H12" s="80">
        <v>1.8599999999999998E-2</v>
      </c>
    </row>
    <row r="13" spans="1:8" ht="16.5" customHeight="1">
      <c r="A13" s="41" t="s">
        <v>1014</v>
      </c>
      <c r="B13" s="41" t="s">
        <v>1036</v>
      </c>
      <c r="C13" s="41" t="s">
        <v>1037</v>
      </c>
      <c r="D13" s="40" t="s">
        <v>1038</v>
      </c>
      <c r="E13" s="40" t="s">
        <v>975</v>
      </c>
      <c r="F13" s="79">
        <v>0.43815031900000001</v>
      </c>
      <c r="G13" s="79">
        <v>7.8136971999999999E-2</v>
      </c>
      <c r="H13" s="79">
        <v>2.9390316999999999E-2</v>
      </c>
    </row>
    <row r="14" spans="1:8" ht="16.5" customHeight="1">
      <c r="A14" s="38" t="s">
        <v>1039</v>
      </c>
      <c r="B14" s="38" t="s">
        <v>1040</v>
      </c>
      <c r="C14" s="38" t="s">
        <v>1041</v>
      </c>
      <c r="D14" s="37" t="s">
        <v>1042</v>
      </c>
      <c r="E14" s="37" t="s">
        <v>975</v>
      </c>
      <c r="F14" s="80">
        <v>0.17753638299999999</v>
      </c>
      <c r="G14" s="80">
        <v>0.51208676900000005</v>
      </c>
      <c r="H14" s="80">
        <v>2.9390316999999999E-2</v>
      </c>
    </row>
    <row r="15" spans="1:8" ht="16.5" customHeight="1">
      <c r="A15" s="41" t="s">
        <v>1039</v>
      </c>
      <c r="B15" s="41" t="s">
        <v>1043</v>
      </c>
      <c r="C15" s="41" t="s">
        <v>1044</v>
      </c>
      <c r="D15" s="40" t="s">
        <v>1045</v>
      </c>
      <c r="E15" s="40" t="s">
        <v>975</v>
      </c>
      <c r="F15" s="79">
        <v>5.0935920000000001E-3</v>
      </c>
      <c r="G15" s="79">
        <v>1.176142131</v>
      </c>
      <c r="H15" s="79">
        <v>2.9390316999999999E-2</v>
      </c>
    </row>
    <row r="16" spans="1:8" ht="16.5" customHeight="1">
      <c r="A16" s="38" t="s">
        <v>1046</v>
      </c>
      <c r="B16" s="38" t="s">
        <v>1047</v>
      </c>
      <c r="C16" s="38" t="s">
        <v>1048</v>
      </c>
      <c r="D16" s="37" t="s">
        <v>1049</v>
      </c>
      <c r="E16" s="37" t="s">
        <v>983</v>
      </c>
      <c r="F16" s="80">
        <v>0.43815031900000001</v>
      </c>
      <c r="G16" s="80">
        <v>7.8136971999999999E-2</v>
      </c>
      <c r="H16" s="80">
        <v>2.9390316999999999E-2</v>
      </c>
    </row>
    <row r="17" spans="1:8" ht="16.5" customHeight="1">
      <c r="A17" s="41" t="s">
        <v>1046</v>
      </c>
      <c r="B17" s="41" t="s">
        <v>1047</v>
      </c>
      <c r="C17" s="41" t="s">
        <v>1050</v>
      </c>
      <c r="D17" s="40" t="s">
        <v>1051</v>
      </c>
      <c r="E17" s="40" t="s">
        <v>983</v>
      </c>
      <c r="F17" s="79">
        <v>0.43815031900000001</v>
      </c>
      <c r="G17" s="79">
        <v>7.8136971999999999E-2</v>
      </c>
      <c r="H17" s="79">
        <v>2.9390316999999999E-2</v>
      </c>
    </row>
    <row r="18" spans="1:8" ht="16.5" customHeight="1">
      <c r="A18" s="38" t="s">
        <v>1046</v>
      </c>
      <c r="B18" s="38" t="s">
        <v>1052</v>
      </c>
      <c r="C18" s="38" t="s">
        <v>1053</v>
      </c>
      <c r="D18" s="37" t="s">
        <v>1054</v>
      </c>
      <c r="E18" s="37" t="s">
        <v>983</v>
      </c>
      <c r="F18" s="80">
        <v>5.0935920000000001E-3</v>
      </c>
      <c r="G18" s="80">
        <v>7.8136971999999999E-2</v>
      </c>
      <c r="H18" s="80">
        <v>2.9390316999999999E-2</v>
      </c>
    </row>
    <row r="19" spans="1:8" ht="16.5" customHeight="1">
      <c r="A19" s="41" t="s">
        <v>1046</v>
      </c>
      <c r="B19" s="41" t="s">
        <v>1055</v>
      </c>
      <c r="C19" s="41" t="s">
        <v>1056</v>
      </c>
      <c r="D19" s="40" t="s">
        <v>1057</v>
      </c>
      <c r="E19" s="40" t="s">
        <v>983</v>
      </c>
      <c r="F19" s="79">
        <v>1.17111755</v>
      </c>
      <c r="G19" s="79">
        <v>0.52876848799999998</v>
      </c>
      <c r="H19" s="79">
        <v>7.1486184999999994E-2</v>
      </c>
    </row>
    <row r="20" spans="1:8" ht="16.5" customHeight="1">
      <c r="A20" s="38" t="s">
        <v>1046</v>
      </c>
      <c r="B20" s="38" t="s">
        <v>1055</v>
      </c>
      <c r="C20" s="38" t="s">
        <v>1058</v>
      </c>
      <c r="D20" s="37" t="s">
        <v>1059</v>
      </c>
      <c r="E20" s="37" t="s">
        <v>983</v>
      </c>
      <c r="F20" s="80">
        <v>1.17111755</v>
      </c>
      <c r="G20" s="80">
        <v>0.52876848799999998</v>
      </c>
      <c r="H20" s="80">
        <v>0.104479559</v>
      </c>
    </row>
    <row r="21" spans="1:8" ht="16.5" customHeight="1">
      <c r="A21" s="41" t="s">
        <v>1046</v>
      </c>
      <c r="B21" s="41" t="s">
        <v>1055</v>
      </c>
      <c r="C21" s="41" t="s">
        <v>1060</v>
      </c>
      <c r="D21" s="40" t="s">
        <v>1061</v>
      </c>
      <c r="E21" s="40" t="s">
        <v>983</v>
      </c>
      <c r="F21" s="79">
        <v>1.17111755</v>
      </c>
      <c r="G21" s="79">
        <v>0.52876848799999998</v>
      </c>
      <c r="H21" s="79">
        <v>7.1486184999999994E-2</v>
      </c>
    </row>
    <row r="22" spans="1:8" ht="16.5" customHeight="1">
      <c r="A22" s="38" t="s">
        <v>1046</v>
      </c>
      <c r="B22" s="38" t="s">
        <v>1055</v>
      </c>
      <c r="C22" s="38" t="s">
        <v>1062</v>
      </c>
      <c r="D22" s="37" t="s">
        <v>1063</v>
      </c>
      <c r="E22" s="37" t="s">
        <v>983</v>
      </c>
      <c r="F22" s="80">
        <v>1.17111755</v>
      </c>
      <c r="G22" s="80">
        <v>0.52876848799999998</v>
      </c>
      <c r="H22" s="80">
        <v>7.1486184999999994E-2</v>
      </c>
    </row>
    <row r="23" spans="1:8" ht="16.5" customHeight="1">
      <c r="A23" s="41" t="s">
        <v>1046</v>
      </c>
      <c r="B23" s="41" t="s">
        <v>1055</v>
      </c>
      <c r="C23" s="41" t="s">
        <v>1064</v>
      </c>
      <c r="D23" s="40" t="s">
        <v>1065</v>
      </c>
      <c r="E23" s="40" t="s">
        <v>983</v>
      </c>
      <c r="F23" s="79">
        <v>1.17111755</v>
      </c>
      <c r="G23" s="79">
        <v>0.52876848799999998</v>
      </c>
      <c r="H23" s="79">
        <v>7.1486184999999994E-2</v>
      </c>
    </row>
    <row r="24" spans="1:8" ht="16.5" customHeight="1">
      <c r="A24" s="38" t="s">
        <v>1046</v>
      </c>
      <c r="B24" s="38" t="s">
        <v>1066</v>
      </c>
      <c r="C24" s="38" t="s">
        <v>1067</v>
      </c>
      <c r="D24" s="37" t="s">
        <v>1068</v>
      </c>
      <c r="E24" s="37" t="s">
        <v>983</v>
      </c>
      <c r="F24" s="80">
        <v>2.1194689969999998</v>
      </c>
      <c r="G24" s="80">
        <v>0.71566062100000005</v>
      </c>
      <c r="H24" s="80">
        <v>1.3599999999999999E-2</v>
      </c>
    </row>
    <row r="25" spans="1:8" ht="16.5" customHeight="1">
      <c r="A25" s="41" t="s">
        <v>1046</v>
      </c>
      <c r="B25" s="41" t="s">
        <v>1066</v>
      </c>
      <c r="C25" s="41" t="s">
        <v>1069</v>
      </c>
      <c r="D25" s="40" t="s">
        <v>1070</v>
      </c>
      <c r="E25" s="40" t="s">
        <v>983</v>
      </c>
      <c r="F25" s="79">
        <v>2.1194689969999998</v>
      </c>
      <c r="G25" s="79">
        <v>0.71566062100000005</v>
      </c>
      <c r="H25" s="79">
        <v>1.3599999999999999E-2</v>
      </c>
    </row>
    <row r="26" spans="1:8" ht="16.5" customHeight="1">
      <c r="A26" s="38" t="s">
        <v>1046</v>
      </c>
      <c r="B26" s="38" t="s">
        <v>1066</v>
      </c>
      <c r="C26" s="38" t="s">
        <v>1071</v>
      </c>
      <c r="D26" s="37" t="s">
        <v>1072</v>
      </c>
      <c r="E26" s="37" t="s">
        <v>983</v>
      </c>
      <c r="F26" s="80">
        <v>2.1194689969999998</v>
      </c>
      <c r="G26" s="80">
        <v>0.71566062100000005</v>
      </c>
      <c r="H26" s="80">
        <v>1.3599999999999999E-2</v>
      </c>
    </row>
    <row r="27" spans="1:8" ht="16.5" customHeight="1">
      <c r="A27" s="41" t="s">
        <v>1046</v>
      </c>
      <c r="B27" s="41" t="s">
        <v>1066</v>
      </c>
      <c r="C27" s="41" t="s">
        <v>1073</v>
      </c>
      <c r="D27" s="40" t="s">
        <v>1074</v>
      </c>
      <c r="E27" s="40" t="s">
        <v>983</v>
      </c>
      <c r="F27" s="79">
        <v>2.1194689969999998</v>
      </c>
      <c r="G27" s="79">
        <v>0.71566062100000005</v>
      </c>
      <c r="H27" s="79">
        <v>1.3599999999999999E-2</v>
      </c>
    </row>
    <row r="28" spans="1:8" ht="16.5" customHeight="1">
      <c r="A28" s="38" t="s">
        <v>1046</v>
      </c>
      <c r="B28" s="38" t="s">
        <v>1075</v>
      </c>
      <c r="C28" s="38" t="s">
        <v>1076</v>
      </c>
      <c r="D28" s="37" t="s">
        <v>1077</v>
      </c>
      <c r="E28" s="37" t="s">
        <v>983</v>
      </c>
      <c r="F28" s="80">
        <v>1.3203539E-2</v>
      </c>
      <c r="G28" s="80">
        <v>3.4125540390000002</v>
      </c>
      <c r="H28" s="80">
        <v>1.8599999999999998E-2</v>
      </c>
    </row>
    <row r="29" spans="1:8" ht="16.5" customHeight="1">
      <c r="A29" s="41" t="s">
        <v>1046</v>
      </c>
      <c r="B29" s="41" t="s">
        <v>1075</v>
      </c>
      <c r="C29" s="41" t="s">
        <v>1078</v>
      </c>
      <c r="D29" s="40" t="s">
        <v>1079</v>
      </c>
      <c r="E29" s="40" t="s">
        <v>983</v>
      </c>
      <c r="F29" s="79">
        <v>1.3203539E-2</v>
      </c>
      <c r="G29" s="79">
        <v>3.4125540390000002</v>
      </c>
      <c r="H29" s="79">
        <v>1.8599999999999998E-2</v>
      </c>
    </row>
    <row r="30" spans="1:8" ht="16.5" customHeight="1">
      <c r="A30" s="38" t="s">
        <v>1046</v>
      </c>
      <c r="B30" s="38" t="s">
        <v>1075</v>
      </c>
      <c r="C30" s="38" t="s">
        <v>1080</v>
      </c>
      <c r="D30" s="37" t="s">
        <v>1081</v>
      </c>
      <c r="E30" s="37" t="s">
        <v>983</v>
      </c>
      <c r="F30" s="80">
        <v>1.3203539E-2</v>
      </c>
      <c r="G30" s="80">
        <v>3.4125540390000002</v>
      </c>
      <c r="H30" s="80">
        <v>1.8599999999999998E-2</v>
      </c>
    </row>
    <row r="31" spans="1:8" ht="16.5" customHeight="1">
      <c r="A31" s="41" t="s">
        <v>1046</v>
      </c>
      <c r="B31" s="41" t="s">
        <v>1075</v>
      </c>
      <c r="C31" s="41" t="s">
        <v>1082</v>
      </c>
      <c r="D31" s="40" t="s">
        <v>1083</v>
      </c>
      <c r="E31" s="40" t="s">
        <v>983</v>
      </c>
      <c r="F31" s="79">
        <v>1.3203539E-2</v>
      </c>
      <c r="G31" s="79">
        <v>3.4125540390000002</v>
      </c>
      <c r="H31" s="79">
        <v>1.8599999999999998E-2</v>
      </c>
    </row>
    <row r="32" spans="1:8" ht="16.5" customHeight="1">
      <c r="A32" s="38" t="s">
        <v>1046</v>
      </c>
      <c r="B32" s="38" t="s">
        <v>1075</v>
      </c>
      <c r="C32" s="38" t="s">
        <v>1084</v>
      </c>
      <c r="D32" s="37" t="s">
        <v>1085</v>
      </c>
      <c r="E32" s="37" t="s">
        <v>983</v>
      </c>
      <c r="F32" s="80">
        <v>1.3203539E-2</v>
      </c>
      <c r="G32" s="80">
        <v>3.4125540390000002</v>
      </c>
      <c r="H32" s="80">
        <v>1.8599999999999998E-2</v>
      </c>
    </row>
    <row r="33" spans="1:8" ht="16.5" customHeight="1">
      <c r="A33" s="41" t="s">
        <v>1046</v>
      </c>
      <c r="B33" s="41" t="s">
        <v>1075</v>
      </c>
      <c r="C33" s="41" t="s">
        <v>1086</v>
      </c>
      <c r="D33" s="40" t="s">
        <v>1087</v>
      </c>
      <c r="E33" s="40" t="s">
        <v>983</v>
      </c>
      <c r="F33" s="79">
        <v>1.3203539E-2</v>
      </c>
      <c r="G33" s="79">
        <v>3.4125540390000002</v>
      </c>
      <c r="H33" s="79">
        <v>1.8599999999999998E-2</v>
      </c>
    </row>
    <row r="34" spans="1:8" ht="16.5" customHeight="1">
      <c r="A34" s="38" t="s">
        <v>1046</v>
      </c>
      <c r="B34" s="38" t="s">
        <v>1075</v>
      </c>
      <c r="C34" s="38" t="s">
        <v>1088</v>
      </c>
      <c r="D34" s="37" t="s">
        <v>1089</v>
      </c>
      <c r="E34" s="37" t="s">
        <v>983</v>
      </c>
      <c r="F34" s="80">
        <v>1.3203539E-2</v>
      </c>
      <c r="G34" s="80">
        <v>3.4125540390000002</v>
      </c>
      <c r="H34" s="80">
        <v>1.8599999999999998E-2</v>
      </c>
    </row>
    <row r="35" spans="1:8" ht="16.5" customHeight="1">
      <c r="A35" s="41" t="s">
        <v>1046</v>
      </c>
      <c r="B35" s="41" t="s">
        <v>1075</v>
      </c>
      <c r="C35" s="41" t="s">
        <v>1090</v>
      </c>
      <c r="D35" s="40" t="s">
        <v>1091</v>
      </c>
      <c r="E35" s="40" t="s">
        <v>983</v>
      </c>
      <c r="F35" s="79">
        <v>1.3203539E-2</v>
      </c>
      <c r="G35" s="79">
        <v>3.4125540390000002</v>
      </c>
      <c r="H35" s="79">
        <v>1.8599999999999998E-2</v>
      </c>
    </row>
    <row r="36" spans="1:8" ht="16.5" customHeight="1">
      <c r="A36" s="38" t="s">
        <v>1046</v>
      </c>
      <c r="B36" s="38" t="s">
        <v>1092</v>
      </c>
      <c r="C36" s="38" t="s">
        <v>1093</v>
      </c>
      <c r="D36" s="37" t="s">
        <v>1094</v>
      </c>
      <c r="E36" s="37" t="s">
        <v>983</v>
      </c>
      <c r="F36" s="80">
        <v>1.222114E-2</v>
      </c>
      <c r="G36" s="80">
        <v>0.51208676900000005</v>
      </c>
      <c r="H36" s="80">
        <v>3.8E-3</v>
      </c>
    </row>
    <row r="37" spans="1:8" ht="16.5" customHeight="1">
      <c r="A37" s="41" t="s">
        <v>1046</v>
      </c>
      <c r="B37" s="41" t="s">
        <v>1092</v>
      </c>
      <c r="C37" s="41" t="s">
        <v>1095</v>
      </c>
      <c r="D37" s="40" t="s">
        <v>1096</v>
      </c>
      <c r="E37" s="40" t="s">
        <v>983</v>
      </c>
      <c r="F37" s="79">
        <v>1.222114E-2</v>
      </c>
      <c r="G37" s="79">
        <v>0.51208676900000005</v>
      </c>
      <c r="H37" s="79">
        <v>1.78E-2</v>
      </c>
    </row>
    <row r="38" spans="1:8" ht="16.5" customHeight="1">
      <c r="A38" s="38" t="s">
        <v>1046</v>
      </c>
      <c r="B38" s="38" t="s">
        <v>1092</v>
      </c>
      <c r="C38" s="38" t="s">
        <v>1097</v>
      </c>
      <c r="D38" s="37" t="s">
        <v>1098</v>
      </c>
      <c r="E38" s="37" t="s">
        <v>983</v>
      </c>
      <c r="F38" s="80">
        <v>1.222114E-2</v>
      </c>
      <c r="G38" s="80">
        <v>0.51208676900000005</v>
      </c>
      <c r="H38" s="80">
        <v>1.78E-2</v>
      </c>
    </row>
    <row r="39" spans="1:8" ht="16.5" customHeight="1">
      <c r="A39" s="41" t="s">
        <v>1046</v>
      </c>
      <c r="B39" s="41" t="s">
        <v>1092</v>
      </c>
      <c r="C39" s="41" t="s">
        <v>1099</v>
      </c>
      <c r="D39" s="40" t="s">
        <v>1100</v>
      </c>
      <c r="E39" s="40" t="s">
        <v>983</v>
      </c>
      <c r="F39" s="79">
        <v>1.222114E-2</v>
      </c>
      <c r="G39" s="79">
        <v>0.51208676900000005</v>
      </c>
      <c r="H39" s="79">
        <v>1.78E-2</v>
      </c>
    </row>
    <row r="40" spans="1:8" ht="16.5" customHeight="1">
      <c r="A40" s="38" t="s">
        <v>1046</v>
      </c>
      <c r="B40" s="38" t="s">
        <v>1092</v>
      </c>
      <c r="C40" s="38" t="s">
        <v>1101</v>
      </c>
      <c r="D40" s="37" t="s">
        <v>1102</v>
      </c>
      <c r="E40" s="37" t="s">
        <v>983</v>
      </c>
      <c r="F40" s="80">
        <v>1.222114E-2</v>
      </c>
      <c r="G40" s="80">
        <v>0.51208676900000005</v>
      </c>
      <c r="H40" s="80">
        <v>1.78E-2</v>
      </c>
    </row>
    <row r="41" spans="1:8" ht="16.5" customHeight="1">
      <c r="A41" s="41" t="s">
        <v>1046</v>
      </c>
      <c r="B41" s="41" t="s">
        <v>1092</v>
      </c>
      <c r="C41" s="41" t="s">
        <v>1103</v>
      </c>
      <c r="D41" s="40" t="s">
        <v>1104</v>
      </c>
      <c r="E41" s="40" t="s">
        <v>983</v>
      </c>
      <c r="F41" s="79">
        <v>1.222114E-2</v>
      </c>
      <c r="G41" s="79">
        <v>0.51208676900000005</v>
      </c>
      <c r="H41" s="79">
        <v>1.78E-2</v>
      </c>
    </row>
    <row r="42" spans="1:8" ht="16.5" customHeight="1">
      <c r="A42" s="38" t="s">
        <v>1046</v>
      </c>
      <c r="B42" s="38" t="s">
        <v>1105</v>
      </c>
      <c r="C42" s="38" t="s">
        <v>1106</v>
      </c>
      <c r="D42" s="37" t="s">
        <v>1107</v>
      </c>
      <c r="E42" s="37" t="s">
        <v>983</v>
      </c>
      <c r="F42" s="80">
        <v>1.1924972000000001E-2</v>
      </c>
      <c r="G42" s="80">
        <v>0.37272948700000003</v>
      </c>
      <c r="H42" s="80">
        <v>9.7800000000000005E-3</v>
      </c>
    </row>
    <row r="43" spans="1:8" ht="16.5" customHeight="1">
      <c r="A43" s="41" t="s">
        <v>1046</v>
      </c>
      <c r="B43" s="41" t="s">
        <v>1105</v>
      </c>
      <c r="C43" s="41" t="s">
        <v>1108</v>
      </c>
      <c r="D43" s="40" t="s">
        <v>1109</v>
      </c>
      <c r="E43" s="40" t="s">
        <v>983</v>
      </c>
      <c r="F43" s="79">
        <v>1.1924972000000001E-2</v>
      </c>
      <c r="G43" s="79">
        <v>0.37272948700000003</v>
      </c>
      <c r="H43" s="79">
        <v>9.7800000000000005E-3</v>
      </c>
    </row>
    <row r="44" spans="1:8" ht="16.5" customHeight="1">
      <c r="A44" s="38" t="s">
        <v>1046</v>
      </c>
      <c r="B44" s="38" t="s">
        <v>1105</v>
      </c>
      <c r="C44" s="38" t="s">
        <v>1110</v>
      </c>
      <c r="D44" s="37" t="s">
        <v>1111</v>
      </c>
      <c r="E44" s="37" t="s">
        <v>983</v>
      </c>
      <c r="F44" s="80">
        <v>1.1924972000000001E-2</v>
      </c>
      <c r="G44" s="80">
        <v>0.37272948700000003</v>
      </c>
      <c r="H44" s="80">
        <v>9.7800000000000005E-3</v>
      </c>
    </row>
    <row r="45" spans="1:8" ht="16.5" customHeight="1">
      <c r="A45" s="41" t="s">
        <v>1046</v>
      </c>
      <c r="B45" s="41" t="s">
        <v>1112</v>
      </c>
      <c r="C45" s="41" t="s">
        <v>1113</v>
      </c>
      <c r="D45" s="40" t="s">
        <v>1114</v>
      </c>
      <c r="E45" s="40" t="s">
        <v>983</v>
      </c>
      <c r="F45" s="79">
        <v>1.2153842999999999E-2</v>
      </c>
      <c r="G45" s="79">
        <v>1.176142131</v>
      </c>
      <c r="H45" s="79">
        <v>1.38E-2</v>
      </c>
    </row>
    <row r="46" spans="1:8" ht="16.5" customHeight="1">
      <c r="A46" s="38" t="s">
        <v>1046</v>
      </c>
      <c r="B46" s="38" t="s">
        <v>1112</v>
      </c>
      <c r="C46" s="38" t="s">
        <v>1115</v>
      </c>
      <c r="D46" s="37" t="s">
        <v>1116</v>
      </c>
      <c r="E46" s="37" t="s">
        <v>983</v>
      </c>
      <c r="F46" s="80">
        <v>1.2153842999999999E-2</v>
      </c>
      <c r="G46" s="80">
        <v>1.176142131</v>
      </c>
      <c r="H46" s="80">
        <v>1.38E-2</v>
      </c>
    </row>
    <row r="47" spans="1:8" ht="16.5" customHeight="1">
      <c r="A47" s="41" t="s">
        <v>1046</v>
      </c>
      <c r="B47" s="41" t="s">
        <v>1112</v>
      </c>
      <c r="C47" s="41" t="s">
        <v>1117</v>
      </c>
      <c r="D47" s="40" t="s">
        <v>1118</v>
      </c>
      <c r="E47" s="40" t="s">
        <v>983</v>
      </c>
      <c r="F47" s="79">
        <v>1.2153842999999999E-2</v>
      </c>
      <c r="G47" s="79">
        <v>1.176142131</v>
      </c>
      <c r="H47" s="79">
        <v>1.38E-2</v>
      </c>
    </row>
    <row r="48" spans="1:8" ht="16.5" customHeight="1">
      <c r="A48" s="38" t="s">
        <v>1046</v>
      </c>
      <c r="B48" s="38" t="s">
        <v>1119</v>
      </c>
      <c r="C48" s="38" t="s">
        <v>1120</v>
      </c>
      <c r="D48" s="37" t="s">
        <v>1121</v>
      </c>
      <c r="E48" s="37" t="s">
        <v>983</v>
      </c>
      <c r="F48" s="80">
        <v>1.5674104600000001</v>
      </c>
      <c r="G48" s="80">
        <v>1.984290184</v>
      </c>
      <c r="H48" s="80">
        <v>2.9390316999999999E-2</v>
      </c>
    </row>
    <row r="49" spans="1:8" ht="16.5" customHeight="1">
      <c r="A49" s="41" t="s">
        <v>1046</v>
      </c>
      <c r="B49" s="41" t="s">
        <v>1119</v>
      </c>
      <c r="C49" s="41" t="s">
        <v>1122</v>
      </c>
      <c r="D49" s="40" t="s">
        <v>1123</v>
      </c>
      <c r="E49" s="40" t="s">
        <v>983</v>
      </c>
      <c r="F49" s="79">
        <v>1.5674104600000001</v>
      </c>
      <c r="G49" s="79">
        <v>1.984290184</v>
      </c>
      <c r="H49" s="79">
        <v>2.9390316999999999E-2</v>
      </c>
    </row>
    <row r="50" spans="1:8" ht="16.5" customHeight="1">
      <c r="A50" s="38" t="s">
        <v>1046</v>
      </c>
      <c r="B50" s="38" t="s">
        <v>1119</v>
      </c>
      <c r="C50" s="38" t="s">
        <v>1124</v>
      </c>
      <c r="D50" s="37" t="s">
        <v>1125</v>
      </c>
      <c r="E50" s="37" t="s">
        <v>983</v>
      </c>
      <c r="F50" s="80">
        <v>1.5674104600000001</v>
      </c>
      <c r="G50" s="80">
        <v>1.984290184</v>
      </c>
      <c r="H50" s="80">
        <v>2.9390316999999999E-2</v>
      </c>
    </row>
    <row r="51" spans="1:8" ht="16.5" customHeight="1">
      <c r="A51" s="41" t="s">
        <v>1046</v>
      </c>
      <c r="B51" s="41" t="s">
        <v>1126</v>
      </c>
      <c r="C51" s="41" t="s">
        <v>1127</v>
      </c>
      <c r="D51" s="40" t="s">
        <v>1128</v>
      </c>
      <c r="E51" s="40" t="s">
        <v>983</v>
      </c>
      <c r="F51" s="79">
        <v>6.3950029999999998E-3</v>
      </c>
      <c r="G51" s="79">
        <v>1.181687309</v>
      </c>
      <c r="H51" s="79">
        <v>2.9390316999999999E-2</v>
      </c>
    </row>
    <row r="52" spans="1:8" ht="16.5" customHeight="1">
      <c r="A52" s="38" t="s">
        <v>1046</v>
      </c>
      <c r="B52" s="38" t="s">
        <v>1126</v>
      </c>
      <c r="C52" s="38" t="s">
        <v>1129</v>
      </c>
      <c r="D52" s="37" t="s">
        <v>1130</v>
      </c>
      <c r="E52" s="37" t="s">
        <v>983</v>
      </c>
      <c r="F52" s="80">
        <v>6.3950029999999998E-3</v>
      </c>
      <c r="G52" s="80">
        <v>1.181687309</v>
      </c>
      <c r="H52" s="80">
        <v>2.9390316999999999E-2</v>
      </c>
    </row>
    <row r="53" spans="1:8" ht="16.5" customHeight="1">
      <c r="A53" s="41" t="s">
        <v>1046</v>
      </c>
      <c r="B53" s="41" t="s">
        <v>1126</v>
      </c>
      <c r="C53" s="41" t="s">
        <v>1131</v>
      </c>
      <c r="D53" s="40" t="s">
        <v>1132</v>
      </c>
      <c r="E53" s="40" t="s">
        <v>983</v>
      </c>
      <c r="F53" s="79">
        <v>6.3950029999999998E-3</v>
      </c>
      <c r="G53" s="79">
        <v>1.181687309</v>
      </c>
      <c r="H53" s="79">
        <v>2.9390316999999999E-2</v>
      </c>
    </row>
    <row r="54" spans="1:8" ht="16.5" customHeight="1">
      <c r="A54" s="38" t="s">
        <v>1046</v>
      </c>
      <c r="B54" s="38" t="s">
        <v>1133</v>
      </c>
      <c r="C54" s="38" t="s">
        <v>1134</v>
      </c>
      <c r="D54" s="37" t="s">
        <v>1135</v>
      </c>
      <c r="E54" s="37" t="s">
        <v>983</v>
      </c>
      <c r="F54" s="80">
        <v>1.222114E-2</v>
      </c>
      <c r="G54" s="80">
        <v>0.51208676900000005</v>
      </c>
      <c r="H54" s="80">
        <v>1.78E-2</v>
      </c>
    </row>
    <row r="55" spans="1:8" ht="16.5" customHeight="1">
      <c r="A55" s="41" t="s">
        <v>1046</v>
      </c>
      <c r="B55" s="41" t="s">
        <v>1133</v>
      </c>
      <c r="C55" s="41" t="s">
        <v>1136</v>
      </c>
      <c r="D55" s="40" t="s">
        <v>1137</v>
      </c>
      <c r="E55" s="40" t="s">
        <v>983</v>
      </c>
      <c r="F55" s="79">
        <v>1.222114E-2</v>
      </c>
      <c r="G55" s="79">
        <v>0.51208676900000005</v>
      </c>
      <c r="H55" s="79">
        <v>1.78E-2</v>
      </c>
    </row>
    <row r="56" spans="1:8" ht="16.5" customHeight="1">
      <c r="A56" s="38" t="s">
        <v>1046</v>
      </c>
      <c r="B56" s="38" t="s">
        <v>1138</v>
      </c>
      <c r="C56" s="38" t="s">
        <v>1139</v>
      </c>
      <c r="D56" s="37" t="s">
        <v>1140</v>
      </c>
      <c r="E56" s="37" t="s">
        <v>983</v>
      </c>
      <c r="F56" s="80">
        <v>6.3950029999999998E-3</v>
      </c>
      <c r="G56" s="80">
        <v>1.181687309</v>
      </c>
      <c r="H56" s="80">
        <v>1.78E-2</v>
      </c>
    </row>
    <row r="57" spans="1:8" ht="16.5" customHeight="1">
      <c r="A57" s="41" t="s">
        <v>1046</v>
      </c>
      <c r="B57" s="41" t="s">
        <v>1138</v>
      </c>
      <c r="C57" s="41" t="s">
        <v>1141</v>
      </c>
      <c r="D57" s="40" t="s">
        <v>1142</v>
      </c>
      <c r="E57" s="40" t="s">
        <v>983</v>
      </c>
      <c r="F57" s="79">
        <v>6.3950029999999998E-3</v>
      </c>
      <c r="G57" s="79">
        <v>1.181687309</v>
      </c>
      <c r="H57" s="79">
        <v>1.78E-2</v>
      </c>
    </row>
    <row r="58" spans="1:8" ht="16.5" customHeight="1">
      <c r="A58" s="38" t="s">
        <v>1046</v>
      </c>
      <c r="B58" s="38" t="s">
        <v>1138</v>
      </c>
      <c r="C58" s="38" t="s">
        <v>1143</v>
      </c>
      <c r="D58" s="82" t="s">
        <v>1144</v>
      </c>
      <c r="E58" s="37" t="s">
        <v>983</v>
      </c>
      <c r="F58" s="80">
        <v>6.3950029999999998E-3</v>
      </c>
      <c r="G58" s="80">
        <v>1.181687309</v>
      </c>
      <c r="H58" s="80">
        <v>2.9390316999999999E-2</v>
      </c>
    </row>
    <row r="59" spans="1:8" ht="16.5" customHeight="1">
      <c r="A59" s="41" t="s">
        <v>1046</v>
      </c>
      <c r="B59" s="41" t="s">
        <v>1145</v>
      </c>
      <c r="C59" s="41" t="s">
        <v>1146</v>
      </c>
      <c r="D59" s="40" t="s">
        <v>901</v>
      </c>
      <c r="E59" s="40" t="s">
        <v>983</v>
      </c>
      <c r="F59" s="79">
        <v>0.43815031900000001</v>
      </c>
      <c r="G59" s="79">
        <v>7.8136971999999999E-2</v>
      </c>
      <c r="H59" s="79">
        <v>1.1167109E-2</v>
      </c>
    </row>
    <row r="60" spans="1:8" ht="16.5" customHeight="1">
      <c r="A60" s="38" t="s">
        <v>1046</v>
      </c>
      <c r="B60" s="38" t="s">
        <v>1147</v>
      </c>
      <c r="C60" s="38" t="s">
        <v>1148</v>
      </c>
      <c r="D60" s="37" t="s">
        <v>1149</v>
      </c>
      <c r="E60" s="37" t="s">
        <v>983</v>
      </c>
      <c r="F60" s="80">
        <v>6.3950029999999998E-3</v>
      </c>
      <c r="G60" s="80">
        <v>1.181687309</v>
      </c>
      <c r="H60" s="80">
        <v>2.9390316999999999E-2</v>
      </c>
    </row>
    <row r="61" spans="1:8" ht="16.5" customHeight="1">
      <c r="A61" s="41" t="s">
        <v>1150</v>
      </c>
      <c r="B61" s="41" t="s">
        <v>1151</v>
      </c>
      <c r="C61" s="41" t="s">
        <v>1152</v>
      </c>
      <c r="D61" s="40" t="s">
        <v>901</v>
      </c>
      <c r="E61" s="40" t="s">
        <v>1153</v>
      </c>
      <c r="F61" s="79">
        <v>0.43815031900000001</v>
      </c>
      <c r="G61" s="79">
        <v>7.8136971999999999E-2</v>
      </c>
      <c r="H61" s="79">
        <v>1.1167109E-2</v>
      </c>
    </row>
    <row r="62" spans="1:8" ht="16.5" customHeight="1">
      <c r="A62" s="38" t="s">
        <v>1150</v>
      </c>
      <c r="B62" s="38" t="s">
        <v>1154</v>
      </c>
      <c r="C62" s="38" t="s">
        <v>1155</v>
      </c>
      <c r="D62" s="37" t="s">
        <v>1057</v>
      </c>
      <c r="E62" s="37" t="s">
        <v>1153</v>
      </c>
      <c r="F62" s="80">
        <v>1.17111755</v>
      </c>
      <c r="G62" s="80">
        <v>0.52876848799999998</v>
      </c>
      <c r="H62" s="80">
        <v>7.1486184999999994E-2</v>
      </c>
    </row>
    <row r="63" spans="1:8" ht="16.5" customHeight="1">
      <c r="A63" s="41" t="s">
        <v>1150</v>
      </c>
      <c r="B63" s="41" t="s">
        <v>1154</v>
      </c>
      <c r="C63" s="41" t="s">
        <v>1156</v>
      </c>
      <c r="D63" s="40" t="s">
        <v>1059</v>
      </c>
      <c r="E63" s="40" t="s">
        <v>1153</v>
      </c>
      <c r="F63" s="79">
        <v>1.17111755</v>
      </c>
      <c r="G63" s="79">
        <v>0.52876848799999998</v>
      </c>
      <c r="H63" s="79">
        <v>0.104479559</v>
      </c>
    </row>
    <row r="64" spans="1:8" ht="16.5" customHeight="1">
      <c r="A64" s="38" t="s">
        <v>1150</v>
      </c>
      <c r="B64" s="38" t="s">
        <v>1157</v>
      </c>
      <c r="C64" s="38" t="s">
        <v>1158</v>
      </c>
      <c r="D64" s="37" t="s">
        <v>1159</v>
      </c>
      <c r="E64" s="37" t="s">
        <v>1153</v>
      </c>
      <c r="F64" s="80">
        <v>1.222114E-2</v>
      </c>
      <c r="G64" s="80">
        <v>0.51208676900000005</v>
      </c>
      <c r="H64" s="80">
        <v>3.8E-3</v>
      </c>
    </row>
    <row r="65" spans="1:8" ht="16.5" customHeight="1">
      <c r="A65" s="41" t="s">
        <v>1150</v>
      </c>
      <c r="B65" s="41" t="s">
        <v>1157</v>
      </c>
      <c r="C65" s="41" t="s">
        <v>1160</v>
      </c>
      <c r="D65" s="40" t="s">
        <v>1161</v>
      </c>
      <c r="E65" s="40" t="s">
        <v>1153</v>
      </c>
      <c r="F65" s="79">
        <v>1.222114E-2</v>
      </c>
      <c r="G65" s="79">
        <v>0.51208676900000005</v>
      </c>
      <c r="H65" s="79">
        <v>1.78E-2</v>
      </c>
    </row>
    <row r="66" spans="1:8" ht="16.5" customHeight="1">
      <c r="A66" s="38" t="s">
        <v>1150</v>
      </c>
      <c r="B66" s="38" t="s">
        <v>1162</v>
      </c>
      <c r="C66" s="38" t="s">
        <v>1163</v>
      </c>
      <c r="D66" s="37" t="s">
        <v>1164</v>
      </c>
      <c r="E66" s="37" t="s">
        <v>1153</v>
      </c>
      <c r="F66" s="80">
        <v>1.1924972000000001E-2</v>
      </c>
      <c r="G66" s="80">
        <v>0.37272948700000003</v>
      </c>
      <c r="H66" s="80">
        <v>9.7800000000000005E-3</v>
      </c>
    </row>
    <row r="67" spans="1:8" ht="16.5" customHeight="1">
      <c r="A67" s="41" t="s">
        <v>1150</v>
      </c>
      <c r="B67" s="41" t="s">
        <v>1165</v>
      </c>
      <c r="C67" s="41" t="s">
        <v>1166</v>
      </c>
      <c r="D67" s="40" t="s">
        <v>1167</v>
      </c>
      <c r="E67" s="40" t="s">
        <v>1153</v>
      </c>
      <c r="F67" s="79">
        <v>1.3203539E-2</v>
      </c>
      <c r="G67" s="79">
        <v>3.4125540390000002</v>
      </c>
      <c r="H67" s="79">
        <v>1.8599999999999998E-2</v>
      </c>
    </row>
    <row r="68" spans="1:8" ht="16.5" customHeight="1">
      <c r="A68" s="38" t="s">
        <v>1150</v>
      </c>
      <c r="B68" s="38" t="s">
        <v>1168</v>
      </c>
      <c r="C68" s="38" t="s">
        <v>1169</v>
      </c>
      <c r="D68" s="37" t="s">
        <v>1128</v>
      </c>
      <c r="E68" s="37" t="s">
        <v>1153</v>
      </c>
      <c r="F68" s="80">
        <v>0.45514634799999998</v>
      </c>
      <c r="G68" s="80">
        <v>1.181687309</v>
      </c>
      <c r="H68" s="80">
        <v>2.9390316999999999E-2</v>
      </c>
    </row>
    <row r="69" spans="1:8" ht="16.5" customHeight="1">
      <c r="A69" s="41" t="s">
        <v>1150</v>
      </c>
      <c r="B69" s="41" t="s">
        <v>1170</v>
      </c>
      <c r="C69" s="41" t="s">
        <v>1171</v>
      </c>
      <c r="D69" s="40" t="s">
        <v>1140</v>
      </c>
      <c r="E69" s="40" t="s">
        <v>1153</v>
      </c>
      <c r="F69" s="79">
        <v>0.45514634799999998</v>
      </c>
      <c r="G69" s="79">
        <v>1.181687309</v>
      </c>
      <c r="H69" s="79">
        <v>1.78E-2</v>
      </c>
    </row>
    <row r="70" spans="1:8" ht="16.5" customHeight="1">
      <c r="A70" s="38" t="s">
        <v>1150</v>
      </c>
      <c r="B70" s="38" t="s">
        <v>1172</v>
      </c>
      <c r="C70" s="38" t="s">
        <v>1173</v>
      </c>
      <c r="D70" s="37" t="s">
        <v>1072</v>
      </c>
      <c r="E70" s="37" t="s">
        <v>1153</v>
      </c>
      <c r="F70" s="80">
        <v>2.1194689969999998</v>
      </c>
      <c r="G70" s="80">
        <v>0.71566062100000005</v>
      </c>
      <c r="H70" s="80">
        <v>1.3599999999999999E-2</v>
      </c>
    </row>
    <row r="71" spans="1:8" ht="16.5" customHeight="1">
      <c r="A71" s="41" t="s">
        <v>1150</v>
      </c>
      <c r="B71" s="41" t="s">
        <v>1174</v>
      </c>
      <c r="C71" s="41" t="s">
        <v>1175</v>
      </c>
      <c r="D71" s="40" t="s">
        <v>932</v>
      </c>
      <c r="E71" s="40" t="s">
        <v>1153</v>
      </c>
      <c r="F71" s="79">
        <v>2.1194689969999998</v>
      </c>
      <c r="G71" s="79">
        <v>0.71566062100000005</v>
      </c>
      <c r="H71" s="79">
        <v>1.3599999999999999E-2</v>
      </c>
    </row>
    <row r="72" spans="1:8" ht="16.5" customHeight="1">
      <c r="A72" s="38" t="s">
        <v>1150</v>
      </c>
      <c r="B72" s="38" t="s">
        <v>1176</v>
      </c>
      <c r="C72" s="38" t="s">
        <v>1177</v>
      </c>
      <c r="D72" s="37" t="s">
        <v>1178</v>
      </c>
      <c r="E72" s="37" t="s">
        <v>1153</v>
      </c>
      <c r="F72" s="80">
        <v>0.45514634799999998</v>
      </c>
      <c r="G72" s="80">
        <v>1.181687309</v>
      </c>
      <c r="H72" s="80">
        <v>2.9390316999999999E-2</v>
      </c>
    </row>
    <row r="73" spans="1:8" ht="16.5" customHeight="1">
      <c r="A73" s="71"/>
      <c r="B73" s="71"/>
      <c r="C73" s="71"/>
      <c r="D73" s="71"/>
      <c r="E73" s="71"/>
      <c r="F73" s="71"/>
      <c r="G73" s="71"/>
      <c r="H73" s="71"/>
    </row>
    <row r="74" spans="1:8" ht="16.5" customHeight="1">
      <c r="A74" s="72" t="s">
        <v>1179</v>
      </c>
      <c r="B74" s="72"/>
      <c r="C74" s="72"/>
      <c r="D74" s="72" t="s">
        <v>1180</v>
      </c>
      <c r="E74" s="73" t="s">
        <v>1002</v>
      </c>
      <c r="F74" s="75">
        <v>0.17596592899999999</v>
      </c>
      <c r="G74" s="75"/>
      <c r="H74" s="75"/>
    </row>
    <row r="75" spans="1:8" ht="16.5" customHeight="1">
      <c r="A75" s="72" t="s">
        <v>1179</v>
      </c>
      <c r="B75" s="72"/>
      <c r="C75" s="72"/>
      <c r="D75" s="72" t="s">
        <v>1181</v>
      </c>
      <c r="E75" s="73" t="s">
        <v>1002</v>
      </c>
      <c r="F75" s="75"/>
      <c r="G75" s="75">
        <v>1.176142131</v>
      </c>
      <c r="H75" s="75"/>
    </row>
    <row r="76" spans="1:8" ht="16.5" customHeight="1">
      <c r="A76" s="72" t="s">
        <v>1179</v>
      </c>
      <c r="B76" s="72"/>
      <c r="C76" s="72"/>
      <c r="D76" s="76" t="s">
        <v>1182</v>
      </c>
      <c r="E76" s="73" t="s">
        <v>1002</v>
      </c>
      <c r="F76" s="75"/>
      <c r="G76" s="75"/>
      <c r="H76" s="75">
        <v>2.9390316999999999E-2</v>
      </c>
    </row>
    <row r="77" spans="1:8" ht="16.5" customHeight="1"/>
    <row r="78" spans="1:8" ht="16.5" customHeight="1"/>
    <row r="79" spans="1:8" ht="16.5" customHeight="1"/>
    <row r="80" spans="1:8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A1:H1"/>
  </mergeCells>
  <phoneticPr fontId="22" type="noConversion"/>
  <pageMargins left="0.75" right="0.75" top="1" bottom="1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58"/>
  <sheetViews>
    <sheetView zoomScaleNormal="100" workbookViewId="0">
      <pane ySplit="3" topLeftCell="A154" activePane="bottomLeft" state="frozen"/>
      <selection pane="bottomLeft" activeCell="C195" sqref="C195"/>
    </sheetView>
  </sheetViews>
  <sheetFormatPr defaultColWidth="14.42578125" defaultRowHeight="15"/>
  <cols>
    <col min="1" max="1" width="16" customWidth="1"/>
    <col min="2" max="2" width="20" customWidth="1"/>
    <col min="3" max="3" width="50" customWidth="1"/>
    <col min="4" max="4" width="10" customWidth="1"/>
    <col min="5" max="5" width="58" customWidth="1"/>
    <col min="6" max="6" width="12" customWidth="1"/>
    <col min="7" max="7" width="16" customWidth="1"/>
    <col min="8" max="8" width="25" customWidth="1"/>
    <col min="9" max="11" width="16" customWidth="1"/>
    <col min="12" max="26" width="8.7109375" customWidth="1"/>
  </cols>
  <sheetData>
    <row r="1" spans="1:11" ht="21.75" customHeight="1">
      <c r="A1" s="239" t="s">
        <v>0</v>
      </c>
      <c r="B1" s="232"/>
      <c r="C1" s="232"/>
      <c r="D1" s="232"/>
      <c r="E1" s="232"/>
      <c r="F1" s="232"/>
      <c r="G1" s="232"/>
      <c r="H1" s="232"/>
      <c r="I1" s="83"/>
      <c r="J1" s="83"/>
      <c r="K1" s="83"/>
    </row>
    <row r="2" spans="1:11" ht="15.75" customHeight="1">
      <c r="A2" s="234" t="s">
        <v>1</v>
      </c>
      <c r="B2" s="232"/>
      <c r="C2" s="232"/>
      <c r="D2" s="240" t="s">
        <v>2</v>
      </c>
      <c r="E2" s="232"/>
      <c r="F2" s="232"/>
      <c r="G2" s="241" t="s">
        <v>3</v>
      </c>
      <c r="H2" s="232"/>
      <c r="I2" s="84"/>
      <c r="J2" s="84"/>
      <c r="K2" s="84"/>
    </row>
    <row r="3" spans="1:11" ht="55.5" customHeight="1">
      <c r="A3" s="2" t="s">
        <v>4</v>
      </c>
      <c r="B3" s="2" t="s">
        <v>5</v>
      </c>
      <c r="C3" s="2" t="s">
        <v>6</v>
      </c>
      <c r="D3" s="5" t="s">
        <v>7</v>
      </c>
      <c r="E3" s="5" t="s">
        <v>8</v>
      </c>
      <c r="F3" s="5" t="s">
        <v>9</v>
      </c>
      <c r="G3" s="85" t="s">
        <v>10</v>
      </c>
      <c r="H3" s="44" t="s">
        <v>11</v>
      </c>
      <c r="I3" s="86" t="s">
        <v>12</v>
      </c>
      <c r="J3" s="87" t="s">
        <v>13</v>
      </c>
      <c r="K3" s="88" t="s">
        <v>14</v>
      </c>
    </row>
    <row r="4" spans="1:11" ht="16.5" customHeight="1">
      <c r="A4" s="89" t="s">
        <v>15</v>
      </c>
      <c r="B4" s="89" t="s">
        <v>16</v>
      </c>
      <c r="C4" s="90" t="s">
        <v>17</v>
      </c>
      <c r="D4" s="91" t="s">
        <v>18</v>
      </c>
      <c r="E4" s="92" t="s">
        <v>19</v>
      </c>
      <c r="F4" s="93">
        <v>0.78700000000000003</v>
      </c>
      <c r="G4" s="91" t="s">
        <v>20</v>
      </c>
      <c r="H4" s="92" t="s">
        <v>21</v>
      </c>
      <c r="I4" s="94">
        <f t="shared" ref="I4:I35" si="0">F4/1264.5</f>
        <v>6.223803875049427E-4</v>
      </c>
      <c r="J4" s="94">
        <f t="shared" ref="J4:J35" si="1">F4/1472.5</f>
        <v>5.3446519524618004E-4</v>
      </c>
      <c r="K4" s="94">
        <f t="shared" ref="K4:K35" si="2">F4/1439</f>
        <v>5.4690757470465606E-4</v>
      </c>
    </row>
    <row r="5" spans="1:11" ht="16.5" customHeight="1">
      <c r="A5" s="89" t="s">
        <v>15</v>
      </c>
      <c r="B5" s="89" t="s">
        <v>22</v>
      </c>
      <c r="C5" s="90" t="s">
        <v>23</v>
      </c>
      <c r="D5" s="91" t="s">
        <v>24</v>
      </c>
      <c r="E5" s="92" t="s">
        <v>25</v>
      </c>
      <c r="F5" s="93">
        <v>0.72099999999999997</v>
      </c>
      <c r="G5" s="91" t="s">
        <v>20</v>
      </c>
      <c r="H5" s="92" t="s">
        <v>21</v>
      </c>
      <c r="I5" s="94">
        <f t="shared" si="0"/>
        <v>5.7018584420719652E-4</v>
      </c>
      <c r="J5" s="94">
        <f t="shared" si="1"/>
        <v>4.8964346349745331E-4</v>
      </c>
      <c r="K5" s="94">
        <f t="shared" si="2"/>
        <v>5.0104239054899239E-4</v>
      </c>
    </row>
    <row r="6" spans="1:11" ht="16.5" customHeight="1">
      <c r="A6" s="89" t="s">
        <v>15</v>
      </c>
      <c r="B6" s="89" t="s">
        <v>26</v>
      </c>
      <c r="C6" s="90" t="s">
        <v>27</v>
      </c>
      <c r="D6" s="91" t="s">
        <v>28</v>
      </c>
      <c r="E6" s="92" t="s">
        <v>29</v>
      </c>
      <c r="F6" s="93">
        <v>1.0449999999999999</v>
      </c>
      <c r="G6" s="91" t="s">
        <v>20</v>
      </c>
      <c r="H6" s="92" t="s">
        <v>21</v>
      </c>
      <c r="I6" s="94">
        <f t="shared" si="0"/>
        <v>8.2641360221431392E-4</v>
      </c>
      <c r="J6" s="94">
        <f t="shared" si="1"/>
        <v>7.0967741935483864E-4</v>
      </c>
      <c r="K6" s="94">
        <f t="shared" si="2"/>
        <v>7.2619874913134111E-4</v>
      </c>
    </row>
    <row r="7" spans="1:11" ht="16.5" customHeight="1">
      <c r="A7" s="89" t="s">
        <v>15</v>
      </c>
      <c r="B7" s="89" t="s">
        <v>30</v>
      </c>
      <c r="C7" s="90" t="s">
        <v>31</v>
      </c>
      <c r="D7" s="91" t="s">
        <v>32</v>
      </c>
      <c r="E7" s="92" t="s">
        <v>33</v>
      </c>
      <c r="F7" s="93">
        <v>0.90200000000000002</v>
      </c>
      <c r="G7" s="91" t="s">
        <v>20</v>
      </c>
      <c r="H7" s="92" t="s">
        <v>21</v>
      </c>
      <c r="I7" s="94">
        <f t="shared" si="0"/>
        <v>7.1332542506919729E-4</v>
      </c>
      <c r="J7" s="94">
        <f t="shared" si="1"/>
        <v>6.1256366723259762E-4</v>
      </c>
      <c r="K7" s="94">
        <f t="shared" si="2"/>
        <v>6.2682418346073662E-4</v>
      </c>
    </row>
    <row r="8" spans="1:11" ht="16.5" customHeight="1">
      <c r="A8" s="89" t="s">
        <v>15</v>
      </c>
      <c r="B8" s="89" t="s">
        <v>34</v>
      </c>
      <c r="C8" s="90" t="s">
        <v>35</v>
      </c>
      <c r="D8" s="91" t="s">
        <v>36</v>
      </c>
      <c r="E8" s="92" t="s">
        <v>37</v>
      </c>
      <c r="F8" s="93">
        <v>0.50700000000000001</v>
      </c>
      <c r="G8" s="91" t="s">
        <v>20</v>
      </c>
      <c r="H8" s="92" t="s">
        <v>21</v>
      </c>
      <c r="I8" s="94">
        <f t="shared" si="0"/>
        <v>4.0094899169632265E-4</v>
      </c>
      <c r="J8" s="94">
        <f t="shared" si="1"/>
        <v>3.4431239388794569E-4</v>
      </c>
      <c r="K8" s="94">
        <f t="shared" si="2"/>
        <v>3.5232800555941627E-4</v>
      </c>
    </row>
    <row r="9" spans="1:11" ht="16.5" customHeight="1">
      <c r="A9" s="89" t="s">
        <v>15</v>
      </c>
      <c r="B9" s="89" t="s">
        <v>38</v>
      </c>
      <c r="C9" s="90" t="s">
        <v>39</v>
      </c>
      <c r="D9" s="91" t="s">
        <v>40</v>
      </c>
      <c r="E9" s="92" t="s">
        <v>41</v>
      </c>
      <c r="F9" s="93">
        <v>1.01</v>
      </c>
      <c r="G9" s="91" t="s">
        <v>20</v>
      </c>
      <c r="H9" s="92" t="s">
        <v>21</v>
      </c>
      <c r="I9" s="94">
        <f t="shared" si="0"/>
        <v>7.9873467773823646E-4</v>
      </c>
      <c r="J9" s="94">
        <f t="shared" si="1"/>
        <v>6.859083191850594E-4</v>
      </c>
      <c r="K9" s="94">
        <f t="shared" si="2"/>
        <v>7.0187630298818623E-4</v>
      </c>
    </row>
    <row r="10" spans="1:11" ht="16.5" customHeight="1">
      <c r="A10" s="89" t="s">
        <v>15</v>
      </c>
      <c r="B10" s="89" t="s">
        <v>42</v>
      </c>
      <c r="C10" s="90" t="s">
        <v>43</v>
      </c>
      <c r="D10" s="91" t="s">
        <v>44</v>
      </c>
      <c r="E10" s="92" t="s">
        <v>45</v>
      </c>
      <c r="F10" s="93">
        <v>0.59699999999999998</v>
      </c>
      <c r="G10" s="91" t="s">
        <v>20</v>
      </c>
      <c r="H10" s="92" t="s">
        <v>21</v>
      </c>
      <c r="I10" s="94">
        <f t="shared" si="0"/>
        <v>4.7212336892052192E-4</v>
      </c>
      <c r="J10" s="94">
        <f t="shared" si="1"/>
        <v>4.0543293718166382E-4</v>
      </c>
      <c r="K10" s="94">
        <f t="shared" si="2"/>
        <v>4.1487143849895761E-4</v>
      </c>
    </row>
    <row r="11" spans="1:11" ht="16.5" customHeight="1">
      <c r="A11" s="89" t="s">
        <v>15</v>
      </c>
      <c r="B11" s="89" t="s">
        <v>46</v>
      </c>
      <c r="C11" s="90" t="s">
        <v>47</v>
      </c>
      <c r="D11" s="91" t="s">
        <v>48</v>
      </c>
      <c r="E11" s="92" t="s">
        <v>49</v>
      </c>
      <c r="F11" s="93">
        <v>0.26400000000000001</v>
      </c>
      <c r="G11" s="91" t="s">
        <v>20</v>
      </c>
      <c r="H11" s="92" t="s">
        <v>21</v>
      </c>
      <c r="I11" s="94">
        <f t="shared" si="0"/>
        <v>2.087781731909846E-4</v>
      </c>
      <c r="J11" s="94">
        <f t="shared" si="1"/>
        <v>1.7928692699490664E-4</v>
      </c>
      <c r="K11" s="94">
        <f t="shared" si="2"/>
        <v>1.8346073662265462E-4</v>
      </c>
    </row>
    <row r="12" spans="1:11" ht="16.5" customHeight="1">
      <c r="A12" s="89" t="s">
        <v>15</v>
      </c>
      <c r="B12" s="89" t="s">
        <v>50</v>
      </c>
      <c r="C12" s="90" t="s">
        <v>51</v>
      </c>
      <c r="D12" s="91" t="s">
        <v>52</v>
      </c>
      <c r="E12" s="92" t="s">
        <v>53</v>
      </c>
      <c r="F12" s="93">
        <v>1.002</v>
      </c>
      <c r="G12" s="91" t="s">
        <v>20</v>
      </c>
      <c r="H12" s="92" t="s">
        <v>21</v>
      </c>
      <c r="I12" s="94">
        <f t="shared" si="0"/>
        <v>7.9240806642941869E-4</v>
      </c>
      <c r="J12" s="94">
        <f t="shared" si="1"/>
        <v>6.8047538200339554E-4</v>
      </c>
      <c r="K12" s="94">
        <f t="shared" si="2"/>
        <v>6.9631688672689373E-4</v>
      </c>
    </row>
    <row r="13" spans="1:11" ht="16.5" customHeight="1">
      <c r="A13" s="89" t="s">
        <v>15</v>
      </c>
      <c r="B13" s="89" t="s">
        <v>54</v>
      </c>
      <c r="C13" s="90" t="s">
        <v>55</v>
      </c>
      <c r="D13" s="91" t="s">
        <v>56</v>
      </c>
      <c r="E13" s="92" t="s">
        <v>57</v>
      </c>
      <c r="F13" s="93">
        <v>0.29099999999999998</v>
      </c>
      <c r="G13" s="91" t="s">
        <v>20</v>
      </c>
      <c r="H13" s="92" t="s">
        <v>21</v>
      </c>
      <c r="I13" s="94">
        <f t="shared" si="0"/>
        <v>2.3013048635824436E-4</v>
      </c>
      <c r="J13" s="94">
        <f t="shared" si="1"/>
        <v>1.9762308998302205E-4</v>
      </c>
      <c r="K13" s="94">
        <f t="shared" si="2"/>
        <v>2.0222376650451702E-4</v>
      </c>
    </row>
    <row r="14" spans="1:11" ht="16.5" customHeight="1">
      <c r="A14" s="89" t="s">
        <v>15</v>
      </c>
      <c r="B14" s="89" t="s">
        <v>58</v>
      </c>
      <c r="C14" s="90" t="s">
        <v>59</v>
      </c>
      <c r="D14" s="89">
        <v>336320</v>
      </c>
      <c r="E14" s="92" t="s">
        <v>60</v>
      </c>
      <c r="F14" s="93">
        <v>0.218</v>
      </c>
      <c r="G14" s="91" t="s">
        <v>20</v>
      </c>
      <c r="H14" s="92" t="s">
        <v>21</v>
      </c>
      <c r="I14" s="94">
        <f t="shared" si="0"/>
        <v>1.7240015816528273E-4</v>
      </c>
      <c r="J14" s="94">
        <f t="shared" si="1"/>
        <v>1.4804753820033955E-4</v>
      </c>
      <c r="K14" s="94">
        <f t="shared" si="2"/>
        <v>1.5149409312022237E-4</v>
      </c>
    </row>
    <row r="15" spans="1:11" ht="16.5" customHeight="1">
      <c r="A15" s="89" t="s">
        <v>15</v>
      </c>
      <c r="B15" s="89" t="s">
        <v>61</v>
      </c>
      <c r="C15" s="90" t="s">
        <v>62</v>
      </c>
      <c r="D15" s="91" t="s">
        <v>63</v>
      </c>
      <c r="E15" s="92" t="s">
        <v>64</v>
      </c>
      <c r="F15" s="93">
        <v>0.81100000000000005</v>
      </c>
      <c r="G15" s="91" t="s">
        <v>20</v>
      </c>
      <c r="H15" s="92" t="s">
        <v>21</v>
      </c>
      <c r="I15" s="94">
        <f t="shared" si="0"/>
        <v>6.413602214313959E-4</v>
      </c>
      <c r="J15" s="94">
        <f t="shared" si="1"/>
        <v>5.5076400679117149E-4</v>
      </c>
      <c r="K15" s="94">
        <f t="shared" si="2"/>
        <v>5.6358582348853378E-4</v>
      </c>
    </row>
    <row r="16" spans="1:11" ht="16.5" customHeight="1">
      <c r="A16" s="89" t="s">
        <v>15</v>
      </c>
      <c r="B16" s="89" t="s">
        <v>65</v>
      </c>
      <c r="C16" s="90" t="s">
        <v>66</v>
      </c>
      <c r="D16" s="91" t="s">
        <v>67</v>
      </c>
      <c r="E16" s="92" t="s">
        <v>68</v>
      </c>
      <c r="F16" s="93">
        <v>1.2110000000000001</v>
      </c>
      <c r="G16" s="91" t="s">
        <v>20</v>
      </c>
      <c r="H16" s="92" t="s">
        <v>21</v>
      </c>
      <c r="I16" s="94">
        <f t="shared" si="0"/>
        <v>9.5769078687228161E-4</v>
      </c>
      <c r="J16" s="94">
        <f t="shared" si="1"/>
        <v>8.224108658743634E-4</v>
      </c>
      <c r="K16" s="94">
        <f t="shared" si="2"/>
        <v>8.4155663655316199E-4</v>
      </c>
    </row>
    <row r="17" spans="1:11" ht="16.5" customHeight="1">
      <c r="A17" s="89" t="s">
        <v>15</v>
      </c>
      <c r="B17" s="89" t="s">
        <v>69</v>
      </c>
      <c r="C17" s="90" t="s">
        <v>70</v>
      </c>
      <c r="D17" s="91" t="s">
        <v>71</v>
      </c>
      <c r="E17" s="92" t="s">
        <v>72</v>
      </c>
      <c r="F17" s="93">
        <v>0.432</v>
      </c>
      <c r="G17" s="91" t="s">
        <v>20</v>
      </c>
      <c r="H17" s="92" t="s">
        <v>21</v>
      </c>
      <c r="I17" s="94">
        <f t="shared" si="0"/>
        <v>3.4163701067615657E-4</v>
      </c>
      <c r="J17" s="94">
        <f t="shared" si="1"/>
        <v>2.9337860780984722E-4</v>
      </c>
      <c r="K17" s="94">
        <f t="shared" si="2"/>
        <v>3.0020847810979849E-4</v>
      </c>
    </row>
    <row r="18" spans="1:11" ht="16.5" customHeight="1">
      <c r="A18" s="89" t="s">
        <v>15</v>
      </c>
      <c r="B18" s="89" t="s">
        <v>73</v>
      </c>
      <c r="C18" s="90" t="s">
        <v>74</v>
      </c>
      <c r="D18" s="91" t="s">
        <v>75</v>
      </c>
      <c r="E18" s="92" t="s">
        <v>76</v>
      </c>
      <c r="F18" s="93">
        <v>0.46300000000000002</v>
      </c>
      <c r="G18" s="91" t="s">
        <v>20</v>
      </c>
      <c r="H18" s="92" t="s">
        <v>21</v>
      </c>
      <c r="I18" s="94">
        <f t="shared" si="0"/>
        <v>3.6615262949782525E-4</v>
      </c>
      <c r="J18" s="94">
        <f t="shared" si="1"/>
        <v>3.1443123938879459E-4</v>
      </c>
      <c r="K18" s="94">
        <f t="shared" si="2"/>
        <v>3.2175121612230717E-4</v>
      </c>
    </row>
    <row r="19" spans="1:11" ht="16.5" customHeight="1">
      <c r="A19" s="89" t="s">
        <v>15</v>
      </c>
      <c r="B19" s="89" t="s">
        <v>77</v>
      </c>
      <c r="C19" s="90" t="s">
        <v>78</v>
      </c>
      <c r="D19" s="91" t="s">
        <v>79</v>
      </c>
      <c r="E19" s="92" t="s">
        <v>80</v>
      </c>
      <c r="F19" s="93">
        <v>0.19400000000000001</v>
      </c>
      <c r="G19" s="91" t="s">
        <v>20</v>
      </c>
      <c r="H19" s="92" t="s">
        <v>21</v>
      </c>
      <c r="I19" s="94">
        <f t="shared" si="0"/>
        <v>1.5342032423882958E-4</v>
      </c>
      <c r="J19" s="94">
        <f t="shared" si="1"/>
        <v>1.3174872665534806E-4</v>
      </c>
      <c r="K19" s="94">
        <f t="shared" si="2"/>
        <v>1.348158443363447E-4</v>
      </c>
    </row>
    <row r="20" spans="1:11" ht="16.5" customHeight="1">
      <c r="A20" s="89" t="s">
        <v>15</v>
      </c>
      <c r="B20" s="89" t="s">
        <v>81</v>
      </c>
      <c r="C20" s="90" t="s">
        <v>82</v>
      </c>
      <c r="D20" s="91" t="s">
        <v>83</v>
      </c>
      <c r="E20" s="92" t="s">
        <v>84</v>
      </c>
      <c r="F20" s="93">
        <v>0.38600000000000001</v>
      </c>
      <c r="G20" s="91" t="s">
        <v>20</v>
      </c>
      <c r="H20" s="92" t="s">
        <v>21</v>
      </c>
      <c r="I20" s="94">
        <f t="shared" si="0"/>
        <v>3.0525899565045475E-4</v>
      </c>
      <c r="J20" s="94">
        <f t="shared" si="1"/>
        <v>2.6213921901528013E-4</v>
      </c>
      <c r="K20" s="94">
        <f t="shared" si="2"/>
        <v>2.6824183460736625E-4</v>
      </c>
    </row>
    <row r="21" spans="1:11" ht="16.5" customHeight="1">
      <c r="A21" s="89" t="s">
        <v>15</v>
      </c>
      <c r="B21" s="89" t="s">
        <v>85</v>
      </c>
      <c r="C21" s="90" t="s">
        <v>86</v>
      </c>
      <c r="D21" s="91" t="s">
        <v>87</v>
      </c>
      <c r="E21" s="92" t="s">
        <v>88</v>
      </c>
      <c r="F21" s="93">
        <v>0.309</v>
      </c>
      <c r="G21" s="91" t="s">
        <v>20</v>
      </c>
      <c r="H21" s="92" t="s">
        <v>21</v>
      </c>
      <c r="I21" s="94">
        <f t="shared" si="0"/>
        <v>2.4436536180308421E-4</v>
      </c>
      <c r="J21" s="94">
        <f t="shared" si="1"/>
        <v>2.098471986417657E-4</v>
      </c>
      <c r="K21" s="94">
        <f t="shared" si="2"/>
        <v>2.1473245309242529E-4</v>
      </c>
    </row>
    <row r="22" spans="1:11" ht="16.5" customHeight="1">
      <c r="A22" s="89" t="s">
        <v>15</v>
      </c>
      <c r="B22" s="89" t="s">
        <v>89</v>
      </c>
      <c r="C22" s="90" t="s">
        <v>90</v>
      </c>
      <c r="D22" s="91" t="s">
        <v>91</v>
      </c>
      <c r="E22" s="92" t="s">
        <v>92</v>
      </c>
      <c r="F22" s="93">
        <v>1.018</v>
      </c>
      <c r="G22" s="91" t="s">
        <v>20</v>
      </c>
      <c r="H22" s="92" t="s">
        <v>21</v>
      </c>
      <c r="I22" s="94">
        <f t="shared" si="0"/>
        <v>8.0506128904705423E-4</v>
      </c>
      <c r="J22" s="94">
        <f t="shared" si="1"/>
        <v>6.9134125636672325E-4</v>
      </c>
      <c r="K22" s="94">
        <f t="shared" si="2"/>
        <v>7.0743571924947884E-4</v>
      </c>
    </row>
    <row r="23" spans="1:11" ht="16.5" customHeight="1">
      <c r="A23" s="89" t="s">
        <v>15</v>
      </c>
      <c r="B23" s="89" t="s">
        <v>93</v>
      </c>
      <c r="C23" s="90" t="s">
        <v>94</v>
      </c>
      <c r="D23" s="91" t="s">
        <v>95</v>
      </c>
      <c r="E23" s="92" t="s">
        <v>96</v>
      </c>
      <c r="F23" s="93">
        <v>0.36899999999999999</v>
      </c>
      <c r="G23" s="91" t="s">
        <v>20</v>
      </c>
      <c r="H23" s="92" t="s">
        <v>21</v>
      </c>
      <c r="I23" s="94">
        <f t="shared" si="0"/>
        <v>2.9181494661921709E-4</v>
      </c>
      <c r="J23" s="94">
        <f t="shared" si="1"/>
        <v>2.5059422750424448E-4</v>
      </c>
      <c r="K23" s="94">
        <f t="shared" si="2"/>
        <v>2.5642807505211953E-4</v>
      </c>
    </row>
    <row r="24" spans="1:11" ht="16.5" customHeight="1">
      <c r="A24" s="89" t="s">
        <v>15</v>
      </c>
      <c r="B24" s="89" t="s">
        <v>97</v>
      </c>
      <c r="C24" s="90" t="s">
        <v>98</v>
      </c>
      <c r="D24" s="91" t="s">
        <v>99</v>
      </c>
      <c r="E24" s="92" t="s">
        <v>100</v>
      </c>
      <c r="F24" s="93">
        <v>0.49299999999999999</v>
      </c>
      <c r="G24" s="91" t="s">
        <v>20</v>
      </c>
      <c r="H24" s="92" t="s">
        <v>21</v>
      </c>
      <c r="I24" s="94">
        <f t="shared" si="0"/>
        <v>3.8987742190589163E-4</v>
      </c>
      <c r="J24" s="94">
        <f t="shared" si="1"/>
        <v>3.3480475382003397E-4</v>
      </c>
      <c r="K24" s="94">
        <f t="shared" si="2"/>
        <v>3.4259902710215425E-4</v>
      </c>
    </row>
    <row r="25" spans="1:11" ht="16.5" customHeight="1">
      <c r="A25" s="89" t="s">
        <v>15</v>
      </c>
      <c r="B25" s="89" t="s">
        <v>101</v>
      </c>
      <c r="C25" s="90" t="s">
        <v>102</v>
      </c>
      <c r="D25" s="91" t="s">
        <v>103</v>
      </c>
      <c r="E25" s="92" t="s">
        <v>104</v>
      </c>
      <c r="F25" s="93">
        <v>0.248</v>
      </c>
      <c r="G25" s="91" t="s">
        <v>20</v>
      </c>
      <c r="H25" s="92" t="s">
        <v>21</v>
      </c>
      <c r="I25" s="94">
        <f t="shared" si="0"/>
        <v>1.9612495057334914E-4</v>
      </c>
      <c r="J25" s="94">
        <f t="shared" si="1"/>
        <v>1.6842105263157895E-4</v>
      </c>
      <c r="K25" s="94">
        <f t="shared" si="2"/>
        <v>1.723419041000695E-4</v>
      </c>
    </row>
    <row r="26" spans="1:11" ht="16.5" customHeight="1">
      <c r="A26" s="89" t="s">
        <v>15</v>
      </c>
      <c r="B26" s="89" t="s">
        <v>105</v>
      </c>
      <c r="C26" s="90" t="s">
        <v>106</v>
      </c>
      <c r="D26" s="91" t="s">
        <v>107</v>
      </c>
      <c r="E26" s="92" t="s">
        <v>108</v>
      </c>
      <c r="F26" s="93">
        <v>0.17299999999999999</v>
      </c>
      <c r="G26" s="91" t="s">
        <v>20</v>
      </c>
      <c r="H26" s="92" t="s">
        <v>21</v>
      </c>
      <c r="I26" s="94">
        <f t="shared" si="0"/>
        <v>1.3681296955318306E-4</v>
      </c>
      <c r="J26" s="94">
        <f t="shared" si="1"/>
        <v>1.1748726655348047E-4</v>
      </c>
      <c r="K26" s="94">
        <f t="shared" si="2"/>
        <v>1.2022237665045169E-4</v>
      </c>
    </row>
    <row r="27" spans="1:11" ht="16.5" customHeight="1">
      <c r="A27" s="89" t="s">
        <v>15</v>
      </c>
      <c r="B27" s="89" t="s">
        <v>109</v>
      </c>
      <c r="C27" s="90" t="s">
        <v>110</v>
      </c>
      <c r="D27" s="91" t="s">
        <v>111</v>
      </c>
      <c r="E27" s="92" t="s">
        <v>112</v>
      </c>
      <c r="F27" s="93">
        <v>0.20300000000000001</v>
      </c>
      <c r="G27" s="91" t="s">
        <v>20</v>
      </c>
      <c r="H27" s="92" t="s">
        <v>21</v>
      </c>
      <c r="I27" s="94">
        <f t="shared" si="0"/>
        <v>1.6053776196124951E-4</v>
      </c>
      <c r="J27" s="94">
        <f t="shared" si="1"/>
        <v>1.3786078098471989E-4</v>
      </c>
      <c r="K27" s="94">
        <f t="shared" si="2"/>
        <v>1.4107018763029883E-4</v>
      </c>
    </row>
    <row r="28" spans="1:11" ht="16.5" customHeight="1">
      <c r="A28" s="89" t="s">
        <v>15</v>
      </c>
      <c r="B28" s="89" t="s">
        <v>113</v>
      </c>
      <c r="C28" s="90" t="s">
        <v>114</v>
      </c>
      <c r="D28" s="91" t="s">
        <v>115</v>
      </c>
      <c r="E28" s="92" t="s">
        <v>116</v>
      </c>
      <c r="F28" s="93">
        <v>0.23300000000000001</v>
      </c>
      <c r="G28" s="91" t="s">
        <v>20</v>
      </c>
      <c r="H28" s="92" t="s">
        <v>21</v>
      </c>
      <c r="I28" s="94">
        <f t="shared" si="0"/>
        <v>1.8426255436931595E-4</v>
      </c>
      <c r="J28" s="94">
        <f t="shared" si="1"/>
        <v>1.5823429541595926E-4</v>
      </c>
      <c r="K28" s="94">
        <f t="shared" si="2"/>
        <v>1.6191799861014594E-4</v>
      </c>
    </row>
    <row r="29" spans="1:11" ht="16.5" customHeight="1">
      <c r="A29" s="89" t="s">
        <v>15</v>
      </c>
      <c r="B29" s="89" t="s">
        <v>117</v>
      </c>
      <c r="C29" s="90" t="s">
        <v>118</v>
      </c>
      <c r="D29" s="91" t="s">
        <v>119</v>
      </c>
      <c r="E29" s="92" t="s">
        <v>120</v>
      </c>
      <c r="F29" s="93">
        <v>0.26200000000000001</v>
      </c>
      <c r="G29" s="91" t="s">
        <v>20</v>
      </c>
      <c r="H29" s="92" t="s">
        <v>21</v>
      </c>
      <c r="I29" s="94">
        <f t="shared" si="0"/>
        <v>2.0719652036378015E-4</v>
      </c>
      <c r="J29" s="94">
        <f t="shared" si="1"/>
        <v>1.7792869269949067E-4</v>
      </c>
      <c r="K29" s="94">
        <f t="shared" si="2"/>
        <v>1.8207088255733149E-4</v>
      </c>
    </row>
    <row r="30" spans="1:11" ht="16.5" customHeight="1">
      <c r="A30" s="89" t="s">
        <v>15</v>
      </c>
      <c r="B30" s="89" t="s">
        <v>121</v>
      </c>
      <c r="C30" s="90" t="s">
        <v>122</v>
      </c>
      <c r="D30" s="91" t="s">
        <v>123</v>
      </c>
      <c r="E30" s="92" t="s">
        <v>124</v>
      </c>
      <c r="F30" s="93">
        <v>0.38200000000000001</v>
      </c>
      <c r="G30" s="91" t="s">
        <v>20</v>
      </c>
      <c r="H30" s="92" t="s">
        <v>21</v>
      </c>
      <c r="I30" s="94">
        <f t="shared" si="0"/>
        <v>3.0209568999604587E-4</v>
      </c>
      <c r="J30" s="94">
        <f t="shared" si="1"/>
        <v>2.5942275042444821E-4</v>
      </c>
      <c r="K30" s="94">
        <f t="shared" si="2"/>
        <v>2.6546212647671994E-4</v>
      </c>
    </row>
    <row r="31" spans="1:11" ht="16.5" customHeight="1">
      <c r="A31" s="89" t="s">
        <v>15</v>
      </c>
      <c r="B31" s="89" t="s">
        <v>125</v>
      </c>
      <c r="C31" s="90" t="s">
        <v>126</v>
      </c>
      <c r="D31" s="91" t="s">
        <v>127</v>
      </c>
      <c r="E31" s="92" t="s">
        <v>128</v>
      </c>
      <c r="F31" s="93">
        <v>0.248</v>
      </c>
      <c r="G31" s="91" t="s">
        <v>20</v>
      </c>
      <c r="H31" s="92" t="s">
        <v>21</v>
      </c>
      <c r="I31" s="94">
        <f t="shared" si="0"/>
        <v>1.9612495057334914E-4</v>
      </c>
      <c r="J31" s="94">
        <f t="shared" si="1"/>
        <v>1.6842105263157895E-4</v>
      </c>
      <c r="K31" s="94">
        <f t="shared" si="2"/>
        <v>1.723419041000695E-4</v>
      </c>
    </row>
    <row r="32" spans="1:11" ht="16.5" customHeight="1">
      <c r="A32" s="89" t="s">
        <v>15</v>
      </c>
      <c r="B32" s="89" t="s">
        <v>129</v>
      </c>
      <c r="C32" s="90" t="s">
        <v>130</v>
      </c>
      <c r="D32" s="91" t="s">
        <v>131</v>
      </c>
      <c r="E32" s="92" t="s">
        <v>132</v>
      </c>
      <c r="F32" s="93">
        <v>0.59699999999999998</v>
      </c>
      <c r="G32" s="91" t="s">
        <v>20</v>
      </c>
      <c r="H32" s="92" t="s">
        <v>21</v>
      </c>
      <c r="I32" s="94">
        <f t="shared" si="0"/>
        <v>4.7212336892052192E-4</v>
      </c>
      <c r="J32" s="94">
        <f t="shared" si="1"/>
        <v>4.0543293718166382E-4</v>
      </c>
      <c r="K32" s="94">
        <f t="shared" si="2"/>
        <v>4.1487143849895761E-4</v>
      </c>
    </row>
    <row r="33" spans="1:11" ht="16.5" customHeight="1">
      <c r="A33" s="89" t="s">
        <v>15</v>
      </c>
      <c r="B33" s="89" t="s">
        <v>133</v>
      </c>
      <c r="C33" s="90" t="s">
        <v>134</v>
      </c>
      <c r="D33" s="91" t="s">
        <v>135</v>
      </c>
      <c r="E33" s="92" t="s">
        <v>136</v>
      </c>
      <c r="F33" s="93">
        <v>0.45100000000000001</v>
      </c>
      <c r="G33" s="91" t="s">
        <v>20</v>
      </c>
      <c r="H33" s="92" t="s">
        <v>21</v>
      </c>
      <c r="I33" s="94">
        <f t="shared" si="0"/>
        <v>3.5666271253459865E-4</v>
      </c>
      <c r="J33" s="94">
        <f t="shared" si="1"/>
        <v>3.0628183361629881E-4</v>
      </c>
      <c r="K33" s="94">
        <f t="shared" si="2"/>
        <v>3.1341209173036831E-4</v>
      </c>
    </row>
    <row r="34" spans="1:11" ht="16.5" customHeight="1">
      <c r="A34" s="89" t="s">
        <v>15</v>
      </c>
      <c r="B34" s="89" t="s">
        <v>137</v>
      </c>
      <c r="C34" s="90" t="s">
        <v>138</v>
      </c>
      <c r="D34" s="91" t="s">
        <v>139</v>
      </c>
      <c r="E34" s="92" t="s">
        <v>140</v>
      </c>
      <c r="F34" s="93">
        <v>0.187</v>
      </c>
      <c r="G34" s="91" t="s">
        <v>20</v>
      </c>
      <c r="H34" s="92" t="s">
        <v>21</v>
      </c>
      <c r="I34" s="94">
        <f t="shared" si="0"/>
        <v>1.4788453934361408E-4</v>
      </c>
      <c r="J34" s="94">
        <f t="shared" si="1"/>
        <v>1.269949066213922E-4</v>
      </c>
      <c r="K34" s="94">
        <f t="shared" si="2"/>
        <v>1.2995135510771369E-4</v>
      </c>
    </row>
    <row r="35" spans="1:11" ht="16.5" customHeight="1">
      <c r="A35" s="89" t="s">
        <v>15</v>
      </c>
      <c r="B35" s="89" t="s">
        <v>141</v>
      </c>
      <c r="C35" s="90" t="s">
        <v>142</v>
      </c>
      <c r="D35" s="91" t="s">
        <v>143</v>
      </c>
      <c r="E35" s="92" t="s">
        <v>144</v>
      </c>
      <c r="F35" s="93">
        <v>0.20799999999999999</v>
      </c>
      <c r="G35" s="91" t="s">
        <v>20</v>
      </c>
      <c r="H35" s="92" t="s">
        <v>21</v>
      </c>
      <c r="I35" s="94">
        <f t="shared" si="0"/>
        <v>1.6449189402926057E-4</v>
      </c>
      <c r="J35" s="94">
        <f t="shared" si="1"/>
        <v>1.4125636672325975E-4</v>
      </c>
      <c r="K35" s="94">
        <f t="shared" si="2"/>
        <v>1.4454482279360666E-4</v>
      </c>
    </row>
    <row r="36" spans="1:11" ht="16.5" customHeight="1">
      <c r="A36" s="89" t="s">
        <v>15</v>
      </c>
      <c r="B36" s="89" t="s">
        <v>145</v>
      </c>
      <c r="C36" s="90" t="s">
        <v>146</v>
      </c>
      <c r="D36" s="91" t="s">
        <v>147</v>
      </c>
      <c r="E36" s="92" t="s">
        <v>148</v>
      </c>
      <c r="F36" s="93">
        <v>0.54400000000000004</v>
      </c>
      <c r="G36" s="91" t="s">
        <v>20</v>
      </c>
      <c r="H36" s="92" t="s">
        <v>21</v>
      </c>
      <c r="I36" s="94">
        <f t="shared" ref="I36:I67" si="3">F36/1264.5</f>
        <v>4.3020956899960462E-4</v>
      </c>
      <c r="J36" s="94">
        <f t="shared" ref="J36:J67" si="4">F36/1472.5</f>
        <v>3.6943972835314093E-4</v>
      </c>
      <c r="K36" s="94">
        <f t="shared" ref="K36:K67" si="5">F36/1439</f>
        <v>3.7804030576789441E-4</v>
      </c>
    </row>
    <row r="37" spans="1:11" ht="16.5" customHeight="1">
      <c r="A37" s="89" t="s">
        <v>15</v>
      </c>
      <c r="B37" s="89" t="s">
        <v>149</v>
      </c>
      <c r="C37" s="90" t="s">
        <v>150</v>
      </c>
      <c r="D37" s="91" t="s">
        <v>151</v>
      </c>
      <c r="E37" s="92" t="s">
        <v>152</v>
      </c>
      <c r="F37" s="93">
        <v>0.35099999999999998</v>
      </c>
      <c r="G37" s="91" t="s">
        <v>20</v>
      </c>
      <c r="H37" s="92" t="s">
        <v>21</v>
      </c>
      <c r="I37" s="94">
        <f t="shared" si="3"/>
        <v>2.7758007117437719E-4</v>
      </c>
      <c r="J37" s="94">
        <f t="shared" si="4"/>
        <v>2.3837011884550083E-4</v>
      </c>
      <c r="K37" s="94">
        <f t="shared" si="5"/>
        <v>2.4391938846421123E-4</v>
      </c>
    </row>
    <row r="38" spans="1:11" ht="16.5" customHeight="1">
      <c r="A38" s="89" t="s">
        <v>15</v>
      </c>
      <c r="B38" s="89" t="s">
        <v>153</v>
      </c>
      <c r="C38" s="90" t="s">
        <v>154</v>
      </c>
      <c r="D38" s="91" t="s">
        <v>155</v>
      </c>
      <c r="E38" s="92" t="s">
        <v>156</v>
      </c>
      <c r="F38" s="93">
        <v>0.36</v>
      </c>
      <c r="G38" s="91" t="s">
        <v>20</v>
      </c>
      <c r="H38" s="92" t="s">
        <v>21</v>
      </c>
      <c r="I38" s="94">
        <f t="shared" si="3"/>
        <v>2.8469750889679714E-4</v>
      </c>
      <c r="J38" s="94">
        <f t="shared" si="4"/>
        <v>2.4448217317487263E-4</v>
      </c>
      <c r="K38" s="94">
        <f t="shared" si="5"/>
        <v>2.5017373175816537E-4</v>
      </c>
    </row>
    <row r="39" spans="1:11" ht="16.5" customHeight="1">
      <c r="A39" s="89" t="s">
        <v>15</v>
      </c>
      <c r="B39" s="89" t="s">
        <v>157</v>
      </c>
      <c r="C39" s="90" t="s">
        <v>158</v>
      </c>
      <c r="D39" s="91" t="s">
        <v>159</v>
      </c>
      <c r="E39" s="92" t="s">
        <v>160</v>
      </c>
      <c r="F39" s="93">
        <v>0.90200000000000002</v>
      </c>
      <c r="G39" s="91" t="s">
        <v>20</v>
      </c>
      <c r="H39" s="92" t="s">
        <v>21</v>
      </c>
      <c r="I39" s="94">
        <f t="shared" si="3"/>
        <v>7.1332542506919729E-4</v>
      </c>
      <c r="J39" s="94">
        <f t="shared" si="4"/>
        <v>6.1256366723259762E-4</v>
      </c>
      <c r="K39" s="94">
        <f t="shared" si="5"/>
        <v>6.2682418346073662E-4</v>
      </c>
    </row>
    <row r="40" spans="1:11" ht="16.5" customHeight="1">
      <c r="A40" s="89" t="s">
        <v>15</v>
      </c>
      <c r="B40" s="89" t="s">
        <v>161</v>
      </c>
      <c r="C40" s="90" t="s">
        <v>162</v>
      </c>
      <c r="D40" s="91" t="s">
        <v>163</v>
      </c>
      <c r="E40" s="92" t="s">
        <v>164</v>
      </c>
      <c r="F40" s="93">
        <v>0.65900000000000003</v>
      </c>
      <c r="G40" s="91" t="s">
        <v>20</v>
      </c>
      <c r="H40" s="92" t="s">
        <v>21</v>
      </c>
      <c r="I40" s="94">
        <f t="shared" si="3"/>
        <v>5.2115460656385927E-4</v>
      </c>
      <c r="J40" s="94">
        <f t="shared" si="4"/>
        <v>4.4753820033955862E-4</v>
      </c>
      <c r="K40" s="94">
        <f t="shared" si="5"/>
        <v>4.5795691452397503E-4</v>
      </c>
    </row>
    <row r="41" spans="1:11" ht="16.5" customHeight="1">
      <c r="A41" s="89" t="s">
        <v>15</v>
      </c>
      <c r="B41" s="89" t="s">
        <v>165</v>
      </c>
      <c r="C41" s="90" t="s">
        <v>166</v>
      </c>
      <c r="D41" s="91" t="s">
        <v>167</v>
      </c>
      <c r="E41" s="92" t="s">
        <v>168</v>
      </c>
      <c r="F41" s="93">
        <v>0.50700000000000001</v>
      </c>
      <c r="G41" s="91" t="s">
        <v>20</v>
      </c>
      <c r="H41" s="92" t="s">
        <v>21</v>
      </c>
      <c r="I41" s="94">
        <f t="shared" si="3"/>
        <v>4.0094899169632265E-4</v>
      </c>
      <c r="J41" s="94">
        <f t="shared" si="4"/>
        <v>3.4431239388794569E-4</v>
      </c>
      <c r="K41" s="94">
        <f t="shared" si="5"/>
        <v>3.5232800555941627E-4</v>
      </c>
    </row>
    <row r="42" spans="1:11" ht="16.5" customHeight="1">
      <c r="A42" s="89" t="s">
        <v>15</v>
      </c>
      <c r="B42" s="89" t="s">
        <v>169</v>
      </c>
      <c r="C42" s="90" t="s">
        <v>170</v>
      </c>
      <c r="D42" s="91" t="s">
        <v>171</v>
      </c>
      <c r="E42" s="92" t="s">
        <v>172</v>
      </c>
      <c r="F42" s="93">
        <v>0.28199999999999997</v>
      </c>
      <c r="G42" s="91" t="s">
        <v>20</v>
      </c>
      <c r="H42" s="92" t="s">
        <v>21</v>
      </c>
      <c r="I42" s="94">
        <f t="shared" si="3"/>
        <v>2.2301304863582441E-4</v>
      </c>
      <c r="J42" s="94">
        <f t="shared" si="4"/>
        <v>1.9151103565365023E-4</v>
      </c>
      <c r="K42" s="94">
        <f t="shared" si="5"/>
        <v>1.9596942321056286E-4</v>
      </c>
    </row>
    <row r="43" spans="1:11" ht="16.5" customHeight="1">
      <c r="A43" s="95" t="s">
        <v>173</v>
      </c>
      <c r="B43" s="95" t="s">
        <v>174</v>
      </c>
      <c r="C43" s="96" t="s">
        <v>175</v>
      </c>
      <c r="D43" s="97" t="s">
        <v>176</v>
      </c>
      <c r="E43" s="98" t="s">
        <v>177</v>
      </c>
      <c r="F43" s="99">
        <v>0.76900000000000002</v>
      </c>
      <c r="G43" s="97" t="s">
        <v>20</v>
      </c>
      <c r="H43" s="98" t="s">
        <v>21</v>
      </c>
      <c r="I43" s="100">
        <f t="shared" si="3"/>
        <v>6.081455120601028E-4</v>
      </c>
      <c r="J43" s="100">
        <f t="shared" si="4"/>
        <v>5.2224108658743633E-4</v>
      </c>
      <c r="K43" s="100">
        <f t="shared" si="5"/>
        <v>5.3439888811674773E-4</v>
      </c>
    </row>
    <row r="44" spans="1:11" ht="16.5" customHeight="1">
      <c r="A44" s="95" t="s">
        <v>173</v>
      </c>
      <c r="B44" s="95" t="s">
        <v>178</v>
      </c>
      <c r="C44" s="96" t="s">
        <v>179</v>
      </c>
      <c r="D44" s="97" t="s">
        <v>180</v>
      </c>
      <c r="E44" s="98" t="s">
        <v>181</v>
      </c>
      <c r="F44" s="99">
        <v>0.38500000000000001</v>
      </c>
      <c r="G44" s="97" t="s">
        <v>20</v>
      </c>
      <c r="H44" s="98" t="s">
        <v>21</v>
      </c>
      <c r="I44" s="100">
        <f t="shared" si="3"/>
        <v>3.0446816923685252E-4</v>
      </c>
      <c r="J44" s="100">
        <f t="shared" si="4"/>
        <v>2.6146010186757214E-4</v>
      </c>
      <c r="K44" s="100">
        <f t="shared" si="5"/>
        <v>2.6754690757470464E-4</v>
      </c>
    </row>
    <row r="45" spans="1:11" ht="16.5" customHeight="1">
      <c r="A45" s="95" t="s">
        <v>173</v>
      </c>
      <c r="B45" s="95" t="s">
        <v>182</v>
      </c>
      <c r="C45" s="96" t="s">
        <v>183</v>
      </c>
      <c r="D45" s="97" t="s">
        <v>184</v>
      </c>
      <c r="E45" s="98" t="s">
        <v>185</v>
      </c>
      <c r="F45" s="99">
        <v>0.48199999999999998</v>
      </c>
      <c r="G45" s="97" t="s">
        <v>20</v>
      </c>
      <c r="H45" s="98" t="s">
        <v>21</v>
      </c>
      <c r="I45" s="100">
        <f t="shared" si="3"/>
        <v>3.8117833135626727E-4</v>
      </c>
      <c r="J45" s="100">
        <f t="shared" si="4"/>
        <v>3.2733446519524618E-4</v>
      </c>
      <c r="K45" s="100">
        <f t="shared" si="5"/>
        <v>3.3495482974287699E-4</v>
      </c>
    </row>
    <row r="46" spans="1:11" ht="16.5" customHeight="1">
      <c r="A46" s="95" t="s">
        <v>173</v>
      </c>
      <c r="B46" s="95" t="s">
        <v>186</v>
      </c>
      <c r="C46" s="96" t="s">
        <v>187</v>
      </c>
      <c r="D46" s="97" t="s">
        <v>188</v>
      </c>
      <c r="E46" s="98" t="s">
        <v>189</v>
      </c>
      <c r="F46" s="99">
        <v>1.1200000000000001</v>
      </c>
      <c r="G46" s="97" t="s">
        <v>20</v>
      </c>
      <c r="H46" s="98" t="s">
        <v>21</v>
      </c>
      <c r="I46" s="100">
        <f t="shared" si="3"/>
        <v>8.857255832344801E-4</v>
      </c>
      <c r="J46" s="100">
        <f t="shared" si="4"/>
        <v>7.6061120543293728E-4</v>
      </c>
      <c r="K46" s="100">
        <f t="shared" si="5"/>
        <v>7.7831827658095905E-4</v>
      </c>
    </row>
    <row r="47" spans="1:11" ht="16.5" customHeight="1">
      <c r="A47" s="95" t="s">
        <v>173</v>
      </c>
      <c r="B47" s="95" t="s">
        <v>190</v>
      </c>
      <c r="C47" s="96" t="s">
        <v>191</v>
      </c>
      <c r="D47" s="97" t="s">
        <v>192</v>
      </c>
      <c r="E47" s="98" t="s">
        <v>193</v>
      </c>
      <c r="F47" s="99">
        <v>0.26600000000000001</v>
      </c>
      <c r="G47" s="97" t="s">
        <v>20</v>
      </c>
      <c r="H47" s="98" t="s">
        <v>21</v>
      </c>
      <c r="I47" s="100">
        <f t="shared" si="3"/>
        <v>2.1035982601818901E-4</v>
      </c>
      <c r="J47" s="100">
        <f t="shared" si="4"/>
        <v>1.806451612903226E-4</v>
      </c>
      <c r="K47" s="100">
        <f t="shared" si="5"/>
        <v>1.8485059068797777E-4</v>
      </c>
    </row>
    <row r="48" spans="1:11" ht="16.5" customHeight="1">
      <c r="A48" s="95" t="s">
        <v>173</v>
      </c>
      <c r="B48" s="95" t="s">
        <v>194</v>
      </c>
      <c r="C48" s="96" t="s">
        <v>195</v>
      </c>
      <c r="D48" s="97" t="s">
        <v>196</v>
      </c>
      <c r="E48" s="98" t="s">
        <v>197</v>
      </c>
      <c r="F48" s="99">
        <v>0.80300000000000005</v>
      </c>
      <c r="G48" s="97" t="s">
        <v>20</v>
      </c>
      <c r="H48" s="98" t="s">
        <v>21</v>
      </c>
      <c r="I48" s="100">
        <f t="shared" si="3"/>
        <v>6.3503361012257813E-4</v>
      </c>
      <c r="J48" s="100">
        <f t="shared" si="4"/>
        <v>5.4533106960950764E-4</v>
      </c>
      <c r="K48" s="100">
        <f t="shared" si="5"/>
        <v>5.5802640722724117E-4</v>
      </c>
    </row>
    <row r="49" spans="1:11" ht="16.5" customHeight="1">
      <c r="A49" s="95" t="s">
        <v>173</v>
      </c>
      <c r="B49" s="95" t="s">
        <v>198</v>
      </c>
      <c r="C49" s="96" t="s">
        <v>199</v>
      </c>
      <c r="D49" s="97" t="s">
        <v>200</v>
      </c>
      <c r="E49" s="98" t="s">
        <v>201</v>
      </c>
      <c r="F49" s="99">
        <v>0.253</v>
      </c>
      <c r="G49" s="97" t="s">
        <v>20</v>
      </c>
      <c r="H49" s="98" t="s">
        <v>21</v>
      </c>
      <c r="I49" s="100">
        <f t="shared" si="3"/>
        <v>2.0007908264136023E-4</v>
      </c>
      <c r="J49" s="100">
        <f t="shared" si="4"/>
        <v>1.7181663837011885E-4</v>
      </c>
      <c r="K49" s="100">
        <f t="shared" si="5"/>
        <v>1.7581653926337736E-4</v>
      </c>
    </row>
    <row r="50" spans="1:11" ht="16.5" customHeight="1">
      <c r="A50" s="95" t="s">
        <v>173</v>
      </c>
      <c r="B50" s="95" t="s">
        <v>202</v>
      </c>
      <c r="C50" s="96" t="s">
        <v>203</v>
      </c>
      <c r="D50" s="97" t="s">
        <v>204</v>
      </c>
      <c r="E50" s="98" t="s">
        <v>205</v>
      </c>
      <c r="F50" s="99">
        <v>0.34399999999999997</v>
      </c>
      <c r="G50" s="97" t="s">
        <v>20</v>
      </c>
      <c r="H50" s="98" t="s">
        <v>21</v>
      </c>
      <c r="I50" s="100">
        <f t="shared" si="3"/>
        <v>2.7204428627916171E-4</v>
      </c>
      <c r="J50" s="100">
        <f t="shared" si="4"/>
        <v>2.3361629881154497E-4</v>
      </c>
      <c r="K50" s="100">
        <f t="shared" si="5"/>
        <v>2.3905489923558025E-4</v>
      </c>
    </row>
    <row r="51" spans="1:11" ht="16.5" customHeight="1">
      <c r="A51" s="95" t="s">
        <v>173</v>
      </c>
      <c r="B51" s="95" t="s">
        <v>206</v>
      </c>
      <c r="C51" s="96" t="s">
        <v>207</v>
      </c>
      <c r="D51" s="97" t="s">
        <v>208</v>
      </c>
      <c r="E51" s="98" t="s">
        <v>209</v>
      </c>
      <c r="F51" s="99">
        <v>0.38100000000000001</v>
      </c>
      <c r="G51" s="97" t="s">
        <v>20</v>
      </c>
      <c r="H51" s="98" t="s">
        <v>21</v>
      </c>
      <c r="I51" s="100">
        <f t="shared" si="3"/>
        <v>3.0130486358244363E-4</v>
      </c>
      <c r="J51" s="100">
        <f t="shared" si="4"/>
        <v>2.5874363327674026E-4</v>
      </c>
      <c r="K51" s="100">
        <f t="shared" si="5"/>
        <v>2.6476719944405839E-4</v>
      </c>
    </row>
    <row r="52" spans="1:11" ht="16.5" customHeight="1">
      <c r="A52" s="95" t="s">
        <v>173</v>
      </c>
      <c r="B52" s="95" t="s">
        <v>210</v>
      </c>
      <c r="C52" s="96" t="s">
        <v>211</v>
      </c>
      <c r="D52" s="97" t="s">
        <v>212</v>
      </c>
      <c r="E52" s="98" t="s">
        <v>213</v>
      </c>
      <c r="F52" s="99">
        <v>0.27400000000000002</v>
      </c>
      <c r="G52" s="97" t="s">
        <v>20</v>
      </c>
      <c r="H52" s="98" t="s">
        <v>21</v>
      </c>
      <c r="I52" s="100">
        <f t="shared" si="3"/>
        <v>2.1668643732700673E-4</v>
      </c>
      <c r="J52" s="100">
        <f t="shared" si="4"/>
        <v>1.8607809847198643E-4</v>
      </c>
      <c r="K52" s="100">
        <f t="shared" si="5"/>
        <v>1.9041000694927033E-4</v>
      </c>
    </row>
    <row r="53" spans="1:11" ht="16.5" customHeight="1">
      <c r="A53" s="101" t="s">
        <v>214</v>
      </c>
      <c r="B53" s="101" t="s">
        <v>215</v>
      </c>
      <c r="C53" s="102" t="s">
        <v>216</v>
      </c>
      <c r="D53" s="103" t="s">
        <v>217</v>
      </c>
      <c r="E53" s="104" t="s">
        <v>218</v>
      </c>
      <c r="F53" s="105">
        <v>0.47899999999999998</v>
      </c>
      <c r="G53" s="103" t="s">
        <v>20</v>
      </c>
      <c r="H53" s="104" t="s">
        <v>21</v>
      </c>
      <c r="I53" s="106">
        <f t="shared" si="3"/>
        <v>3.7880585211546062E-4</v>
      </c>
      <c r="J53" s="106">
        <f t="shared" si="4"/>
        <v>3.2529711375212225E-4</v>
      </c>
      <c r="K53" s="106">
        <f t="shared" si="5"/>
        <v>3.3287004864489229E-4</v>
      </c>
    </row>
    <row r="54" spans="1:11" ht="16.5" customHeight="1">
      <c r="A54" s="101" t="s">
        <v>214</v>
      </c>
      <c r="B54" s="101" t="s">
        <v>219</v>
      </c>
      <c r="C54" s="102" t="s">
        <v>220</v>
      </c>
      <c r="D54" s="103" t="s">
        <v>221</v>
      </c>
      <c r="E54" s="104" t="s">
        <v>222</v>
      </c>
      <c r="F54" s="105">
        <v>0.54400000000000004</v>
      </c>
      <c r="G54" s="103" t="s">
        <v>20</v>
      </c>
      <c r="H54" s="104" t="s">
        <v>21</v>
      </c>
      <c r="I54" s="106">
        <f t="shared" si="3"/>
        <v>4.3020956899960462E-4</v>
      </c>
      <c r="J54" s="106">
        <f t="shared" si="4"/>
        <v>3.6943972835314093E-4</v>
      </c>
      <c r="K54" s="106">
        <f t="shared" si="5"/>
        <v>3.7804030576789441E-4</v>
      </c>
    </row>
    <row r="55" spans="1:11" ht="16.5" customHeight="1">
      <c r="A55" s="101" t="s">
        <v>214</v>
      </c>
      <c r="B55" s="101" t="s">
        <v>223</v>
      </c>
      <c r="C55" s="102" t="s">
        <v>224</v>
      </c>
      <c r="D55" s="103" t="s">
        <v>225</v>
      </c>
      <c r="E55" s="104" t="s">
        <v>226</v>
      </c>
      <c r="F55" s="105">
        <v>0.27100000000000002</v>
      </c>
      <c r="G55" s="103" t="s">
        <v>20</v>
      </c>
      <c r="H55" s="104" t="s">
        <v>21</v>
      </c>
      <c r="I55" s="106">
        <f t="shared" si="3"/>
        <v>2.143139580862001E-4</v>
      </c>
      <c r="J55" s="106">
        <f t="shared" si="4"/>
        <v>1.840407470288625E-4</v>
      </c>
      <c r="K55" s="106">
        <f t="shared" si="5"/>
        <v>1.8832522585128563E-4</v>
      </c>
    </row>
    <row r="56" spans="1:11" ht="16.5" customHeight="1">
      <c r="A56" s="101" t="s">
        <v>214</v>
      </c>
      <c r="B56" s="101" t="s">
        <v>227</v>
      </c>
      <c r="C56" s="102" t="s">
        <v>228</v>
      </c>
      <c r="D56" s="103" t="s">
        <v>229</v>
      </c>
      <c r="E56" s="104" t="s">
        <v>230</v>
      </c>
      <c r="F56" s="105">
        <v>0.318</v>
      </c>
      <c r="G56" s="103" t="s">
        <v>20</v>
      </c>
      <c r="H56" s="104" t="s">
        <v>21</v>
      </c>
      <c r="I56" s="106">
        <f t="shared" si="3"/>
        <v>2.5148279952550415E-4</v>
      </c>
      <c r="J56" s="106">
        <f t="shared" si="4"/>
        <v>2.1595925297113752E-4</v>
      </c>
      <c r="K56" s="106">
        <f t="shared" si="5"/>
        <v>2.2098679638637942E-4</v>
      </c>
    </row>
    <row r="57" spans="1:11" ht="16.5" customHeight="1">
      <c r="A57" s="101" t="s">
        <v>214</v>
      </c>
      <c r="B57" s="101" t="s">
        <v>231</v>
      </c>
      <c r="C57" s="102" t="s">
        <v>232</v>
      </c>
      <c r="D57" s="103" t="s">
        <v>233</v>
      </c>
      <c r="E57" s="104" t="s">
        <v>234</v>
      </c>
      <c r="F57" s="105">
        <v>0.59699999999999998</v>
      </c>
      <c r="G57" s="103" t="s">
        <v>20</v>
      </c>
      <c r="H57" s="104" t="s">
        <v>21</v>
      </c>
      <c r="I57" s="106">
        <f t="shared" si="3"/>
        <v>4.7212336892052192E-4</v>
      </c>
      <c r="J57" s="106">
        <f t="shared" si="4"/>
        <v>4.0543293718166382E-4</v>
      </c>
      <c r="K57" s="106">
        <f t="shared" si="5"/>
        <v>4.1487143849895761E-4</v>
      </c>
    </row>
    <row r="58" spans="1:11" ht="16.5" customHeight="1">
      <c r="A58" s="101" t="s">
        <v>214</v>
      </c>
      <c r="B58" s="101" t="s">
        <v>235</v>
      </c>
      <c r="C58" s="102" t="s">
        <v>236</v>
      </c>
      <c r="D58" s="103" t="s">
        <v>237</v>
      </c>
      <c r="E58" s="104" t="s">
        <v>238</v>
      </c>
      <c r="F58" s="105">
        <v>0.53100000000000003</v>
      </c>
      <c r="G58" s="103" t="s">
        <v>20</v>
      </c>
      <c r="H58" s="104" t="s">
        <v>21</v>
      </c>
      <c r="I58" s="106">
        <f t="shared" si="3"/>
        <v>4.1992882562277584E-4</v>
      </c>
      <c r="J58" s="106">
        <f t="shared" si="4"/>
        <v>3.606112054329372E-4</v>
      </c>
      <c r="K58" s="106">
        <f t="shared" si="5"/>
        <v>3.69006254343294E-4</v>
      </c>
    </row>
    <row r="59" spans="1:11" ht="16.5" customHeight="1">
      <c r="A59" s="101" t="s">
        <v>214</v>
      </c>
      <c r="B59" s="101" t="s">
        <v>239</v>
      </c>
      <c r="C59" s="102" t="s">
        <v>240</v>
      </c>
      <c r="D59" s="103" t="s">
        <v>241</v>
      </c>
      <c r="E59" s="104" t="s">
        <v>242</v>
      </c>
      <c r="F59" s="105">
        <v>0.23599999999999999</v>
      </c>
      <c r="G59" s="103" t="s">
        <v>20</v>
      </c>
      <c r="H59" s="104" t="s">
        <v>21</v>
      </c>
      <c r="I59" s="106">
        <f t="shared" si="3"/>
        <v>1.8663503361012257E-4</v>
      </c>
      <c r="J59" s="106">
        <f t="shared" si="4"/>
        <v>1.602716468590832E-4</v>
      </c>
      <c r="K59" s="106">
        <f t="shared" si="5"/>
        <v>1.6400277970813064E-4</v>
      </c>
    </row>
    <row r="60" spans="1:11" ht="16.5" customHeight="1">
      <c r="A60" s="107" t="s">
        <v>243</v>
      </c>
      <c r="B60" s="107" t="s">
        <v>244</v>
      </c>
      <c r="C60" s="108" t="s">
        <v>245</v>
      </c>
      <c r="D60" s="109" t="s">
        <v>246</v>
      </c>
      <c r="E60" s="108" t="s">
        <v>247</v>
      </c>
      <c r="F60" s="110">
        <v>0.14399999999999999</v>
      </c>
      <c r="G60" s="109" t="s">
        <v>20</v>
      </c>
      <c r="H60" s="108" t="s">
        <v>21</v>
      </c>
      <c r="I60" s="111">
        <f t="shared" si="3"/>
        <v>1.1387900355871886E-4</v>
      </c>
      <c r="J60" s="111">
        <f t="shared" si="4"/>
        <v>9.779286926994906E-5</v>
      </c>
      <c r="K60" s="111">
        <f t="shared" si="5"/>
        <v>1.0006949270326615E-4</v>
      </c>
    </row>
    <row r="61" spans="1:11" ht="16.5" customHeight="1">
      <c r="A61" s="107" t="s">
        <v>243</v>
      </c>
      <c r="B61" s="107" t="s">
        <v>248</v>
      </c>
      <c r="C61" s="112" t="s">
        <v>249</v>
      </c>
      <c r="D61" s="109" t="s">
        <v>250</v>
      </c>
      <c r="E61" s="108" t="s">
        <v>251</v>
      </c>
      <c r="F61" s="110">
        <v>7.3999999999999996E-2</v>
      </c>
      <c r="G61" s="109" t="s">
        <v>20</v>
      </c>
      <c r="H61" s="108" t="s">
        <v>21</v>
      </c>
      <c r="I61" s="111">
        <f t="shared" si="3"/>
        <v>5.8521154606563857E-5</v>
      </c>
      <c r="J61" s="111">
        <f t="shared" si="4"/>
        <v>5.0254668930390487E-5</v>
      </c>
      <c r="K61" s="111">
        <f t="shared" si="5"/>
        <v>5.1424600416956219E-5</v>
      </c>
    </row>
    <row r="62" spans="1:11" ht="16.5" customHeight="1">
      <c r="A62" s="107" t="s">
        <v>243</v>
      </c>
      <c r="B62" s="107" t="s">
        <v>252</v>
      </c>
      <c r="C62" s="112" t="s">
        <v>253</v>
      </c>
      <c r="D62" s="109" t="s">
        <v>254</v>
      </c>
      <c r="E62" s="108" t="s">
        <v>255</v>
      </c>
      <c r="F62" s="110">
        <v>0.111</v>
      </c>
      <c r="G62" s="109" t="s">
        <v>20</v>
      </c>
      <c r="H62" s="108" t="s">
        <v>21</v>
      </c>
      <c r="I62" s="111">
        <f t="shared" si="3"/>
        <v>8.7781731909845792E-5</v>
      </c>
      <c r="J62" s="111">
        <f t="shared" si="4"/>
        <v>7.5382003395585738E-5</v>
      </c>
      <c r="K62" s="111">
        <f t="shared" si="5"/>
        <v>7.7136900625434326E-5</v>
      </c>
    </row>
    <row r="63" spans="1:11" ht="16.5" customHeight="1">
      <c r="A63" s="107" t="s">
        <v>243</v>
      </c>
      <c r="B63" s="107" t="s">
        <v>256</v>
      </c>
      <c r="C63" s="112" t="s">
        <v>257</v>
      </c>
      <c r="D63" s="109" t="s">
        <v>258</v>
      </c>
      <c r="E63" s="108" t="s">
        <v>259</v>
      </c>
      <c r="F63" s="110">
        <v>0.34</v>
      </c>
      <c r="G63" s="109" t="s">
        <v>20</v>
      </c>
      <c r="H63" s="108" t="s">
        <v>21</v>
      </c>
      <c r="I63" s="111">
        <f t="shared" si="3"/>
        <v>2.6888098062475288E-4</v>
      </c>
      <c r="J63" s="111">
        <f t="shared" si="4"/>
        <v>2.308998302207131E-4</v>
      </c>
      <c r="K63" s="111">
        <f t="shared" si="5"/>
        <v>2.36275191104934E-4</v>
      </c>
    </row>
    <row r="64" spans="1:11" ht="16.5" customHeight="1">
      <c r="A64" s="107" t="s">
        <v>243</v>
      </c>
      <c r="B64" s="107" t="s">
        <v>260</v>
      </c>
      <c r="C64" s="112" t="s">
        <v>261</v>
      </c>
      <c r="D64" s="109" t="s">
        <v>262</v>
      </c>
      <c r="E64" s="108" t="s">
        <v>263</v>
      </c>
      <c r="F64" s="110">
        <v>0.47899999999999998</v>
      </c>
      <c r="G64" s="109" t="s">
        <v>20</v>
      </c>
      <c r="H64" s="108" t="s">
        <v>21</v>
      </c>
      <c r="I64" s="111">
        <f t="shared" si="3"/>
        <v>3.7880585211546062E-4</v>
      </c>
      <c r="J64" s="111">
        <f t="shared" si="4"/>
        <v>3.2529711375212225E-4</v>
      </c>
      <c r="K64" s="111">
        <f t="shared" si="5"/>
        <v>3.3287004864489229E-4</v>
      </c>
    </row>
    <row r="65" spans="1:11" ht="16.5" customHeight="1">
      <c r="A65" s="113" t="s">
        <v>264</v>
      </c>
      <c r="B65" s="113" t="s">
        <v>265</v>
      </c>
      <c r="C65" s="114" t="s">
        <v>266</v>
      </c>
      <c r="D65" s="115" t="s">
        <v>267</v>
      </c>
      <c r="E65" s="116" t="s">
        <v>268</v>
      </c>
      <c r="F65" s="117">
        <v>0.35299999999999998</v>
      </c>
      <c r="G65" s="115" t="s">
        <v>20</v>
      </c>
      <c r="H65" s="116" t="s">
        <v>21</v>
      </c>
      <c r="I65" s="118">
        <f t="shared" si="3"/>
        <v>2.7916172400158166E-4</v>
      </c>
      <c r="J65" s="118">
        <f t="shared" si="4"/>
        <v>2.397283531409168E-4</v>
      </c>
      <c r="K65" s="118">
        <f t="shared" si="5"/>
        <v>2.4530924252953441E-4</v>
      </c>
    </row>
    <row r="66" spans="1:11" ht="16.5" customHeight="1">
      <c r="A66" s="113" t="s">
        <v>264</v>
      </c>
      <c r="B66" s="113" t="s">
        <v>269</v>
      </c>
      <c r="C66" s="114" t="s">
        <v>270</v>
      </c>
      <c r="D66" s="115" t="s">
        <v>271</v>
      </c>
      <c r="E66" s="116" t="s">
        <v>272</v>
      </c>
      <c r="F66" s="117">
        <v>0.214</v>
      </c>
      <c r="G66" s="115" t="s">
        <v>20</v>
      </c>
      <c r="H66" s="116" t="s">
        <v>21</v>
      </c>
      <c r="I66" s="118">
        <f t="shared" si="3"/>
        <v>1.6923685251087387E-4</v>
      </c>
      <c r="J66" s="118">
        <f t="shared" si="4"/>
        <v>1.4533106960950765E-4</v>
      </c>
      <c r="K66" s="118">
        <f t="shared" si="5"/>
        <v>1.4871438498957609E-4</v>
      </c>
    </row>
    <row r="67" spans="1:11" ht="16.5" customHeight="1">
      <c r="A67" s="113" t="s">
        <v>264</v>
      </c>
      <c r="B67" s="113" t="s">
        <v>273</v>
      </c>
      <c r="C67" s="114" t="s">
        <v>274</v>
      </c>
      <c r="D67" s="115" t="s">
        <v>275</v>
      </c>
      <c r="E67" s="116" t="s">
        <v>276</v>
      </c>
      <c r="F67" s="117">
        <v>0.214</v>
      </c>
      <c r="G67" s="115" t="s">
        <v>20</v>
      </c>
      <c r="H67" s="116" t="s">
        <v>21</v>
      </c>
      <c r="I67" s="118">
        <f t="shared" si="3"/>
        <v>1.6923685251087387E-4</v>
      </c>
      <c r="J67" s="118">
        <f t="shared" si="4"/>
        <v>1.4533106960950765E-4</v>
      </c>
      <c r="K67" s="118">
        <f t="shared" si="5"/>
        <v>1.4871438498957609E-4</v>
      </c>
    </row>
    <row r="68" spans="1:11" ht="16.5" customHeight="1">
      <c r="A68" s="113" t="s">
        <v>264</v>
      </c>
      <c r="B68" s="113" t="s">
        <v>277</v>
      </c>
      <c r="C68" s="114" t="s">
        <v>278</v>
      </c>
      <c r="D68" s="115" t="s">
        <v>279</v>
      </c>
      <c r="E68" s="116" t="s">
        <v>280</v>
      </c>
      <c r="F68" s="117">
        <v>0.159</v>
      </c>
      <c r="G68" s="115" t="s">
        <v>20</v>
      </c>
      <c r="H68" s="116" t="s">
        <v>21</v>
      </c>
      <c r="I68" s="118">
        <f t="shared" ref="I68:I99" si="6">F68/1264.5</f>
        <v>1.2574139976275208E-4</v>
      </c>
      <c r="J68" s="118">
        <f t="shared" ref="J68:J99" si="7">F68/1472.5</f>
        <v>1.0797962648556876E-4</v>
      </c>
      <c r="K68" s="118">
        <f t="shared" ref="K68:K99" si="8">F68/1439</f>
        <v>1.1049339819318971E-4</v>
      </c>
    </row>
    <row r="69" spans="1:11" ht="16.5" customHeight="1">
      <c r="A69" s="113" t="s">
        <v>264</v>
      </c>
      <c r="B69" s="113" t="s">
        <v>281</v>
      </c>
      <c r="C69" s="114" t="s">
        <v>282</v>
      </c>
      <c r="D69" s="115" t="s">
        <v>267</v>
      </c>
      <c r="E69" s="116" t="s">
        <v>268</v>
      </c>
      <c r="F69" s="117">
        <v>0.35299999999999998</v>
      </c>
      <c r="G69" s="115" t="s">
        <v>20</v>
      </c>
      <c r="H69" s="116" t="s">
        <v>21</v>
      </c>
      <c r="I69" s="118">
        <f t="shared" si="6"/>
        <v>2.7916172400158166E-4</v>
      </c>
      <c r="J69" s="118">
        <f t="shared" si="7"/>
        <v>2.397283531409168E-4</v>
      </c>
      <c r="K69" s="118">
        <f t="shared" si="8"/>
        <v>2.4530924252953441E-4</v>
      </c>
    </row>
    <row r="70" spans="1:11" ht="16.5" customHeight="1">
      <c r="A70" s="119" t="s">
        <v>283</v>
      </c>
      <c r="B70" s="120" t="s">
        <v>284</v>
      </c>
      <c r="C70" s="121" t="s">
        <v>285</v>
      </c>
      <c r="D70" s="119" t="s">
        <v>286</v>
      </c>
      <c r="E70" s="122" t="s">
        <v>287</v>
      </c>
      <c r="F70" s="123">
        <v>5.8000000000000003E-2</v>
      </c>
      <c r="G70" s="119" t="s">
        <v>20</v>
      </c>
      <c r="H70" s="122" t="s">
        <v>21</v>
      </c>
      <c r="I70" s="124">
        <f t="shared" si="6"/>
        <v>4.5867931988928435E-5</v>
      </c>
      <c r="J70" s="124">
        <f t="shared" si="7"/>
        <v>3.9388794567062824E-5</v>
      </c>
      <c r="K70" s="124">
        <f t="shared" si="8"/>
        <v>4.030576789437109E-5</v>
      </c>
    </row>
    <row r="71" spans="1:11" ht="16.5" customHeight="1">
      <c r="A71" s="119" t="s">
        <v>283</v>
      </c>
      <c r="B71" s="120" t="s">
        <v>288</v>
      </c>
      <c r="C71" s="121" t="s">
        <v>289</v>
      </c>
      <c r="D71" s="119" t="s">
        <v>290</v>
      </c>
      <c r="E71" s="122" t="s">
        <v>291</v>
      </c>
      <c r="F71" s="123">
        <v>8.1000000000000003E-2</v>
      </c>
      <c r="G71" s="119" t="s">
        <v>20</v>
      </c>
      <c r="H71" s="122" t="s">
        <v>21</v>
      </c>
      <c r="I71" s="124">
        <f t="shared" si="6"/>
        <v>6.4056939501779363E-5</v>
      </c>
      <c r="J71" s="124">
        <f t="shared" si="7"/>
        <v>5.5008488964346354E-5</v>
      </c>
      <c r="K71" s="124">
        <f t="shared" si="8"/>
        <v>5.6289089645587214E-5</v>
      </c>
    </row>
    <row r="72" spans="1:11" ht="16.5" customHeight="1">
      <c r="A72" s="119" t="s">
        <v>283</v>
      </c>
      <c r="B72" s="120" t="s">
        <v>292</v>
      </c>
      <c r="C72" s="121" t="s">
        <v>293</v>
      </c>
      <c r="D72" s="119" t="s">
        <v>294</v>
      </c>
      <c r="E72" s="122" t="s">
        <v>295</v>
      </c>
      <c r="F72" s="123">
        <v>0.111</v>
      </c>
      <c r="G72" s="119" t="s">
        <v>20</v>
      </c>
      <c r="H72" s="122" t="s">
        <v>21</v>
      </c>
      <c r="I72" s="124">
        <f t="shared" si="6"/>
        <v>8.7781731909845792E-5</v>
      </c>
      <c r="J72" s="124">
        <f t="shared" si="7"/>
        <v>7.5382003395585738E-5</v>
      </c>
      <c r="K72" s="124">
        <f t="shared" si="8"/>
        <v>7.7136900625434326E-5</v>
      </c>
    </row>
    <row r="73" spans="1:11" ht="16.5" customHeight="1">
      <c r="A73" s="119" t="s">
        <v>283</v>
      </c>
      <c r="B73" s="120" t="s">
        <v>296</v>
      </c>
      <c r="C73" s="121" t="s">
        <v>297</v>
      </c>
      <c r="D73" s="119" t="s">
        <v>298</v>
      </c>
      <c r="E73" s="122" t="s">
        <v>299</v>
      </c>
      <c r="F73" s="123">
        <v>0.185</v>
      </c>
      <c r="G73" s="119" t="s">
        <v>20</v>
      </c>
      <c r="H73" s="122" t="s">
        <v>21</v>
      </c>
      <c r="I73" s="124">
        <f t="shared" si="6"/>
        <v>1.4630288651640963E-4</v>
      </c>
      <c r="J73" s="124">
        <f t="shared" si="7"/>
        <v>1.2563667232597624E-4</v>
      </c>
      <c r="K73" s="124">
        <f t="shared" si="8"/>
        <v>1.2856150104239054E-4</v>
      </c>
    </row>
    <row r="74" spans="1:11" ht="16.5" customHeight="1">
      <c r="A74" s="119" t="s">
        <v>283</v>
      </c>
      <c r="B74" s="120" t="s">
        <v>300</v>
      </c>
      <c r="C74" s="121" t="s">
        <v>301</v>
      </c>
      <c r="D74" s="119" t="s">
        <v>286</v>
      </c>
      <c r="E74" s="122" t="s">
        <v>287</v>
      </c>
      <c r="F74" s="123">
        <v>5.8000000000000003E-2</v>
      </c>
      <c r="G74" s="119" t="s">
        <v>20</v>
      </c>
      <c r="H74" s="122" t="s">
        <v>21</v>
      </c>
      <c r="I74" s="124">
        <f t="shared" si="6"/>
        <v>4.5867931988928435E-5</v>
      </c>
      <c r="J74" s="124">
        <f t="shared" si="7"/>
        <v>3.9388794567062824E-5</v>
      </c>
      <c r="K74" s="124">
        <f t="shared" si="8"/>
        <v>4.030576789437109E-5</v>
      </c>
    </row>
    <row r="75" spans="1:11" ht="16.5" customHeight="1">
      <c r="A75" s="119" t="s">
        <v>283</v>
      </c>
      <c r="B75" s="119" t="s">
        <v>302</v>
      </c>
      <c r="C75" s="121" t="s">
        <v>303</v>
      </c>
      <c r="D75" s="119" t="s">
        <v>290</v>
      </c>
      <c r="E75" s="122" t="s">
        <v>291</v>
      </c>
      <c r="F75" s="123">
        <v>8.1000000000000003E-2</v>
      </c>
      <c r="G75" s="119" t="s">
        <v>20</v>
      </c>
      <c r="H75" s="122" t="s">
        <v>21</v>
      </c>
      <c r="I75" s="124">
        <f t="shared" si="6"/>
        <v>6.4056939501779363E-5</v>
      </c>
      <c r="J75" s="124">
        <f t="shared" si="7"/>
        <v>5.5008488964346354E-5</v>
      </c>
      <c r="K75" s="124">
        <f t="shared" si="8"/>
        <v>5.6289089645587214E-5</v>
      </c>
    </row>
    <row r="76" spans="1:11" ht="16.5" customHeight="1">
      <c r="A76" s="119" t="s">
        <v>283</v>
      </c>
      <c r="B76" s="120" t="s">
        <v>304</v>
      </c>
      <c r="C76" s="121" t="s">
        <v>305</v>
      </c>
      <c r="D76" s="119" t="s">
        <v>306</v>
      </c>
      <c r="E76" s="122" t="s">
        <v>307</v>
      </c>
      <c r="F76" s="123">
        <v>0.08</v>
      </c>
      <c r="G76" s="119" t="s">
        <v>20</v>
      </c>
      <c r="H76" s="122" t="s">
        <v>21</v>
      </c>
      <c r="I76" s="124">
        <f t="shared" si="6"/>
        <v>6.3266113088177142E-5</v>
      </c>
      <c r="J76" s="124">
        <f t="shared" si="7"/>
        <v>5.4329371816638372E-5</v>
      </c>
      <c r="K76" s="124">
        <f t="shared" si="8"/>
        <v>5.5594162612925644E-5</v>
      </c>
    </row>
    <row r="77" spans="1:11" ht="16.5" customHeight="1">
      <c r="A77" s="119" t="s">
        <v>283</v>
      </c>
      <c r="B77" s="119" t="s">
        <v>308</v>
      </c>
      <c r="C77" s="121" t="s">
        <v>309</v>
      </c>
      <c r="D77" s="119" t="s">
        <v>310</v>
      </c>
      <c r="E77" s="122" t="s">
        <v>311</v>
      </c>
      <c r="F77" s="123">
        <v>9.2999999999999999E-2</v>
      </c>
      <c r="G77" s="119" t="s">
        <v>20</v>
      </c>
      <c r="H77" s="122" t="s">
        <v>21</v>
      </c>
      <c r="I77" s="124">
        <f t="shared" si="6"/>
        <v>7.3546856465005935E-5</v>
      </c>
      <c r="J77" s="124">
        <f t="shared" si="7"/>
        <v>6.3157894736842103E-5</v>
      </c>
      <c r="K77" s="124">
        <f t="shared" si="8"/>
        <v>6.4628214037526057E-5</v>
      </c>
    </row>
    <row r="78" spans="1:11" ht="16.5" customHeight="1">
      <c r="A78" s="125" t="s">
        <v>312</v>
      </c>
      <c r="B78" s="125" t="s">
        <v>313</v>
      </c>
      <c r="C78" s="126" t="s">
        <v>314</v>
      </c>
      <c r="D78" s="125">
        <v>334412</v>
      </c>
      <c r="E78" s="127" t="s">
        <v>315</v>
      </c>
      <c r="F78" s="128">
        <v>9.8000000000000004E-2</v>
      </c>
      <c r="G78" s="129" t="s">
        <v>20</v>
      </c>
      <c r="H78" s="127" t="s">
        <v>21</v>
      </c>
      <c r="I78" s="130">
        <f t="shared" si="6"/>
        <v>7.7500988533016999E-5</v>
      </c>
      <c r="J78" s="130">
        <f t="shared" si="7"/>
        <v>6.6553480475381999E-5</v>
      </c>
      <c r="K78" s="130">
        <f t="shared" si="8"/>
        <v>6.8102849200833913E-5</v>
      </c>
    </row>
    <row r="79" spans="1:11" ht="16.5" customHeight="1">
      <c r="A79" s="125" t="s">
        <v>312</v>
      </c>
      <c r="B79" s="125" t="s">
        <v>316</v>
      </c>
      <c r="C79" s="126" t="s">
        <v>317</v>
      </c>
      <c r="D79" s="125">
        <v>334413</v>
      </c>
      <c r="E79" s="127" t="s">
        <v>318</v>
      </c>
      <c r="F79" s="128">
        <v>0.215</v>
      </c>
      <c r="G79" s="129" t="s">
        <v>20</v>
      </c>
      <c r="H79" s="127" t="s">
        <v>21</v>
      </c>
      <c r="I79" s="130">
        <f t="shared" si="6"/>
        <v>1.7002767892447608E-4</v>
      </c>
      <c r="J79" s="130">
        <f t="shared" si="7"/>
        <v>1.4601018675721562E-4</v>
      </c>
      <c r="K79" s="130">
        <f t="shared" si="8"/>
        <v>1.4940931202223767E-4</v>
      </c>
    </row>
    <row r="80" spans="1:11" ht="16.5" customHeight="1">
      <c r="A80" s="125" t="s">
        <v>312</v>
      </c>
      <c r="B80" s="125" t="s">
        <v>319</v>
      </c>
      <c r="C80" s="126" t="s">
        <v>320</v>
      </c>
      <c r="D80" s="125">
        <v>334416</v>
      </c>
      <c r="E80" s="127" t="s">
        <v>321</v>
      </c>
      <c r="F80" s="128">
        <v>9.8000000000000004E-2</v>
      </c>
      <c r="G80" s="129" t="s">
        <v>20</v>
      </c>
      <c r="H80" s="127" t="s">
        <v>21</v>
      </c>
      <c r="I80" s="130">
        <f t="shared" si="6"/>
        <v>7.7500988533016999E-5</v>
      </c>
      <c r="J80" s="130">
        <f t="shared" si="7"/>
        <v>6.6553480475381999E-5</v>
      </c>
      <c r="K80" s="130">
        <f t="shared" si="8"/>
        <v>6.8102849200833913E-5</v>
      </c>
    </row>
    <row r="81" spans="1:11" ht="16.5" customHeight="1">
      <c r="A81" s="125" t="s">
        <v>312</v>
      </c>
      <c r="B81" s="125" t="s">
        <v>322</v>
      </c>
      <c r="C81" s="126" t="s">
        <v>323</v>
      </c>
      <c r="D81" s="125">
        <v>334417</v>
      </c>
      <c r="E81" s="127" t="s">
        <v>324</v>
      </c>
      <c r="F81" s="128">
        <v>9.8000000000000004E-2</v>
      </c>
      <c r="G81" s="129" t="s">
        <v>20</v>
      </c>
      <c r="H81" s="127" t="s">
        <v>21</v>
      </c>
      <c r="I81" s="130">
        <f t="shared" si="6"/>
        <v>7.7500988533016999E-5</v>
      </c>
      <c r="J81" s="130">
        <f t="shared" si="7"/>
        <v>6.6553480475381999E-5</v>
      </c>
      <c r="K81" s="130">
        <f t="shared" si="8"/>
        <v>6.8102849200833913E-5</v>
      </c>
    </row>
    <row r="82" spans="1:11" ht="16.5" customHeight="1">
      <c r="A82" s="125" t="s">
        <v>312</v>
      </c>
      <c r="B82" s="129" t="s">
        <v>325</v>
      </c>
      <c r="C82" s="127" t="s">
        <v>326</v>
      </c>
      <c r="D82" s="125">
        <v>334418</v>
      </c>
      <c r="E82" s="127" t="s">
        <v>327</v>
      </c>
      <c r="F82" s="128">
        <v>0.10100000000000001</v>
      </c>
      <c r="G82" s="129" t="s">
        <v>20</v>
      </c>
      <c r="H82" s="127" t="s">
        <v>21</v>
      </c>
      <c r="I82" s="130">
        <f t="shared" si="6"/>
        <v>7.9873467773823649E-5</v>
      </c>
      <c r="J82" s="130">
        <f t="shared" si="7"/>
        <v>6.8590831918505945E-5</v>
      </c>
      <c r="K82" s="130">
        <f t="shared" si="8"/>
        <v>7.0187630298818628E-5</v>
      </c>
    </row>
    <row r="83" spans="1:11" ht="16.5" customHeight="1">
      <c r="A83" s="125" t="s">
        <v>312</v>
      </c>
      <c r="B83" s="125" t="s">
        <v>328</v>
      </c>
      <c r="C83" s="126" t="s">
        <v>329</v>
      </c>
      <c r="D83" s="125">
        <v>335311</v>
      </c>
      <c r="E83" s="127" t="s">
        <v>330</v>
      </c>
      <c r="F83" s="128">
        <v>0.13300000000000001</v>
      </c>
      <c r="G83" s="129" t="s">
        <v>20</v>
      </c>
      <c r="H83" s="127" t="s">
        <v>21</v>
      </c>
      <c r="I83" s="130">
        <f t="shared" si="6"/>
        <v>1.0517991300909451E-4</v>
      </c>
      <c r="J83" s="130">
        <f t="shared" si="7"/>
        <v>9.0322580645161299E-5</v>
      </c>
      <c r="K83" s="130">
        <f t="shared" si="8"/>
        <v>9.2425295343988886E-5</v>
      </c>
    </row>
    <row r="84" spans="1:11" ht="16.5" customHeight="1">
      <c r="A84" s="125" t="s">
        <v>312</v>
      </c>
      <c r="B84" s="125" t="s">
        <v>331</v>
      </c>
      <c r="C84" s="126" t="s">
        <v>332</v>
      </c>
      <c r="D84" s="125">
        <v>335312</v>
      </c>
      <c r="E84" s="127" t="s">
        <v>333</v>
      </c>
      <c r="F84" s="128">
        <v>0.152</v>
      </c>
      <c r="G84" s="129" t="s">
        <v>20</v>
      </c>
      <c r="H84" s="127" t="s">
        <v>21</v>
      </c>
      <c r="I84" s="130">
        <f t="shared" si="6"/>
        <v>1.2020561486753657E-4</v>
      </c>
      <c r="J84" s="130">
        <f t="shared" si="7"/>
        <v>1.032258064516129E-4</v>
      </c>
      <c r="K84" s="130">
        <f t="shared" si="8"/>
        <v>1.0562890896455872E-4</v>
      </c>
    </row>
    <row r="85" spans="1:11" ht="16.5" customHeight="1">
      <c r="A85" s="125" t="s">
        <v>312</v>
      </c>
      <c r="B85" s="125" t="s">
        <v>334</v>
      </c>
      <c r="C85" s="126" t="s">
        <v>335</v>
      </c>
      <c r="D85" s="125">
        <v>335314</v>
      </c>
      <c r="E85" s="127" t="s">
        <v>336</v>
      </c>
      <c r="F85" s="128">
        <v>0.13800000000000001</v>
      </c>
      <c r="G85" s="129" t="s">
        <v>20</v>
      </c>
      <c r="H85" s="127" t="s">
        <v>21</v>
      </c>
      <c r="I85" s="130">
        <f t="shared" si="6"/>
        <v>1.0913404507710558E-4</v>
      </c>
      <c r="J85" s="130">
        <f t="shared" si="7"/>
        <v>9.3718166383701196E-5</v>
      </c>
      <c r="K85" s="130">
        <f t="shared" si="8"/>
        <v>9.5899930507296741E-5</v>
      </c>
    </row>
    <row r="86" spans="1:11" ht="16.5" customHeight="1">
      <c r="A86" s="125" t="s">
        <v>312</v>
      </c>
      <c r="B86" s="125" t="s">
        <v>337</v>
      </c>
      <c r="C86" s="126" t="s">
        <v>338</v>
      </c>
      <c r="D86" s="125">
        <v>335911</v>
      </c>
      <c r="E86" s="127" t="s">
        <v>339</v>
      </c>
      <c r="F86" s="128">
        <v>0.33700000000000002</v>
      </c>
      <c r="G86" s="129" t="s">
        <v>20</v>
      </c>
      <c r="H86" s="127" t="s">
        <v>21</v>
      </c>
      <c r="I86" s="130">
        <f t="shared" si="6"/>
        <v>2.6650850138394623E-4</v>
      </c>
      <c r="J86" s="130">
        <f t="shared" si="7"/>
        <v>2.2886247877758914E-4</v>
      </c>
      <c r="K86" s="130">
        <f t="shared" si="8"/>
        <v>2.341904100069493E-4</v>
      </c>
    </row>
    <row r="87" spans="1:11" ht="16.5" customHeight="1">
      <c r="A87" s="125" t="s">
        <v>312</v>
      </c>
      <c r="B87" s="125" t="s">
        <v>340</v>
      </c>
      <c r="C87" s="126" t="s">
        <v>341</v>
      </c>
      <c r="D87" s="125">
        <v>335931</v>
      </c>
      <c r="E87" s="127" t="s">
        <v>342</v>
      </c>
      <c r="F87" s="128">
        <v>0.127</v>
      </c>
      <c r="G87" s="129" t="s">
        <v>20</v>
      </c>
      <c r="H87" s="127" t="s">
        <v>21</v>
      </c>
      <c r="I87" s="130">
        <f t="shared" si="6"/>
        <v>1.0043495452748122E-4</v>
      </c>
      <c r="J87" s="130">
        <f t="shared" si="7"/>
        <v>8.6247877758913408E-5</v>
      </c>
      <c r="K87" s="130">
        <f t="shared" si="8"/>
        <v>8.8255733148019454E-5</v>
      </c>
    </row>
    <row r="88" spans="1:11" ht="16.5" customHeight="1">
      <c r="A88" s="125" t="s">
        <v>312</v>
      </c>
      <c r="B88" s="125" t="s">
        <v>343</v>
      </c>
      <c r="C88" s="126" t="s">
        <v>344</v>
      </c>
      <c r="D88" s="129" t="s">
        <v>345</v>
      </c>
      <c r="E88" s="127" t="s">
        <v>346</v>
      </c>
      <c r="F88" s="128">
        <v>7.0999999999999994E-2</v>
      </c>
      <c r="G88" s="129" t="s">
        <v>20</v>
      </c>
      <c r="H88" s="127" t="s">
        <v>21</v>
      </c>
      <c r="I88" s="130">
        <f t="shared" si="6"/>
        <v>5.6148675365757214E-5</v>
      </c>
      <c r="J88" s="130">
        <f t="shared" si="7"/>
        <v>4.8217317487266548E-5</v>
      </c>
      <c r="K88" s="130">
        <f t="shared" si="8"/>
        <v>4.9339819318971503E-5</v>
      </c>
    </row>
    <row r="89" spans="1:11" ht="16.5" customHeight="1">
      <c r="A89" s="125" t="s">
        <v>312</v>
      </c>
      <c r="B89" s="125" t="s">
        <v>347</v>
      </c>
      <c r="C89" s="126" t="s">
        <v>348</v>
      </c>
      <c r="D89" s="129" t="s">
        <v>349</v>
      </c>
      <c r="E89" s="127" t="s">
        <v>350</v>
      </c>
      <c r="F89" s="128">
        <v>9.6000000000000002E-2</v>
      </c>
      <c r="G89" s="129" t="s">
        <v>20</v>
      </c>
      <c r="H89" s="127" t="s">
        <v>21</v>
      </c>
      <c r="I89" s="130">
        <f t="shared" si="6"/>
        <v>7.5919335705812571E-5</v>
      </c>
      <c r="J89" s="130">
        <f t="shared" si="7"/>
        <v>6.5195246179966049E-5</v>
      </c>
      <c r="K89" s="130">
        <f t="shared" si="8"/>
        <v>6.6712995135510773E-5</v>
      </c>
    </row>
    <row r="90" spans="1:11" ht="16.5" customHeight="1">
      <c r="A90" s="125" t="s">
        <v>312</v>
      </c>
      <c r="B90" s="125" t="s">
        <v>351</v>
      </c>
      <c r="C90" s="126" t="s">
        <v>352</v>
      </c>
      <c r="D90" s="129" t="s">
        <v>353</v>
      </c>
      <c r="E90" s="127" t="s">
        <v>354</v>
      </c>
      <c r="F90" s="128">
        <v>6.3E-2</v>
      </c>
      <c r="G90" s="129" t="s">
        <v>20</v>
      </c>
      <c r="H90" s="127" t="s">
        <v>21</v>
      </c>
      <c r="I90" s="130">
        <f t="shared" si="6"/>
        <v>4.98220640569395E-5</v>
      </c>
      <c r="J90" s="130">
        <f t="shared" si="7"/>
        <v>4.278438030560272E-5</v>
      </c>
      <c r="K90" s="130">
        <f t="shared" si="8"/>
        <v>4.3780403057678946E-5</v>
      </c>
    </row>
    <row r="91" spans="1:11" ht="16.5" customHeight="1">
      <c r="A91" s="125" t="s">
        <v>312</v>
      </c>
      <c r="B91" s="125" t="s">
        <v>355</v>
      </c>
      <c r="C91" s="126" t="s">
        <v>356</v>
      </c>
      <c r="D91" s="129" t="s">
        <v>357</v>
      </c>
      <c r="E91" s="127" t="s">
        <v>358</v>
      </c>
      <c r="F91" s="128">
        <v>0.10199999999999999</v>
      </c>
      <c r="G91" s="129" t="s">
        <v>20</v>
      </c>
      <c r="H91" s="127" t="s">
        <v>21</v>
      </c>
      <c r="I91" s="130">
        <f t="shared" si="6"/>
        <v>8.0664294187425857E-5</v>
      </c>
      <c r="J91" s="130">
        <f t="shared" si="7"/>
        <v>6.9269949066213914E-5</v>
      </c>
      <c r="K91" s="130">
        <f t="shared" si="8"/>
        <v>7.0882557331480191E-5</v>
      </c>
    </row>
    <row r="92" spans="1:11" ht="16.5" customHeight="1">
      <c r="A92" s="125" t="s">
        <v>312</v>
      </c>
      <c r="B92" s="125" t="s">
        <v>359</v>
      </c>
      <c r="C92" s="126" t="s">
        <v>360</v>
      </c>
      <c r="D92" s="129" t="s">
        <v>361</v>
      </c>
      <c r="E92" s="127" t="s">
        <v>362</v>
      </c>
      <c r="F92" s="128">
        <v>0.13500000000000001</v>
      </c>
      <c r="G92" s="129" t="s">
        <v>20</v>
      </c>
      <c r="H92" s="127" t="s">
        <v>21</v>
      </c>
      <c r="I92" s="130">
        <f t="shared" si="6"/>
        <v>1.0676156583629893E-4</v>
      </c>
      <c r="J92" s="130">
        <f t="shared" si="7"/>
        <v>9.168081494057725E-5</v>
      </c>
      <c r="K92" s="130">
        <f t="shared" si="8"/>
        <v>9.3815149409312026E-5</v>
      </c>
    </row>
    <row r="93" spans="1:11" ht="16.5" customHeight="1">
      <c r="A93" s="125" t="s">
        <v>312</v>
      </c>
      <c r="B93" s="129" t="s">
        <v>363</v>
      </c>
      <c r="C93" s="126" t="s">
        <v>364</v>
      </c>
      <c r="D93" s="129" t="s">
        <v>365</v>
      </c>
      <c r="E93" s="127" t="s">
        <v>366</v>
      </c>
      <c r="F93" s="128">
        <v>0.10299999999999999</v>
      </c>
      <c r="G93" s="129" t="s">
        <v>20</v>
      </c>
      <c r="H93" s="127" t="s">
        <v>21</v>
      </c>
      <c r="I93" s="130">
        <f t="shared" si="6"/>
        <v>8.1455120601028064E-5</v>
      </c>
      <c r="J93" s="130">
        <f t="shared" si="7"/>
        <v>6.9949066213921896E-5</v>
      </c>
      <c r="K93" s="130">
        <f t="shared" si="8"/>
        <v>7.1577484364141768E-5</v>
      </c>
    </row>
    <row r="94" spans="1:11" ht="16.5" customHeight="1">
      <c r="A94" s="125" t="s">
        <v>312</v>
      </c>
      <c r="B94" s="125" t="s">
        <v>367</v>
      </c>
      <c r="C94" s="126" t="s">
        <v>368</v>
      </c>
      <c r="D94" s="129" t="s">
        <v>369</v>
      </c>
      <c r="E94" s="127" t="s">
        <v>370</v>
      </c>
      <c r="F94" s="128">
        <v>0.157</v>
      </c>
      <c r="G94" s="129" t="s">
        <v>20</v>
      </c>
      <c r="H94" s="127" t="s">
        <v>21</v>
      </c>
      <c r="I94" s="130">
        <f t="shared" si="6"/>
        <v>1.2415974693554764E-4</v>
      </c>
      <c r="J94" s="130">
        <f t="shared" si="7"/>
        <v>1.066213921901528E-4</v>
      </c>
      <c r="K94" s="130">
        <f t="shared" si="8"/>
        <v>1.0910354412786657E-4</v>
      </c>
    </row>
    <row r="95" spans="1:11" ht="16.5" customHeight="1">
      <c r="A95" s="125" t="s">
        <v>312</v>
      </c>
      <c r="B95" s="125" t="s">
        <v>371</v>
      </c>
      <c r="C95" s="126" t="s">
        <v>372</v>
      </c>
      <c r="D95" s="129" t="s">
        <v>373</v>
      </c>
      <c r="E95" s="127" t="s">
        <v>374</v>
      </c>
      <c r="F95" s="128">
        <v>0.17199999999999999</v>
      </c>
      <c r="G95" s="129" t="s">
        <v>20</v>
      </c>
      <c r="H95" s="127" t="s">
        <v>21</v>
      </c>
      <c r="I95" s="130">
        <f t="shared" si="6"/>
        <v>1.3602214313958086E-4</v>
      </c>
      <c r="J95" s="130">
        <f t="shared" si="7"/>
        <v>1.1680814940577249E-4</v>
      </c>
      <c r="K95" s="130">
        <f t="shared" si="8"/>
        <v>1.1952744961779013E-4</v>
      </c>
    </row>
    <row r="96" spans="1:11" ht="16.5" customHeight="1">
      <c r="A96" s="125" t="s">
        <v>312</v>
      </c>
      <c r="B96" s="125" t="s">
        <v>375</v>
      </c>
      <c r="C96" s="126" t="s">
        <v>376</v>
      </c>
      <c r="D96" s="129" t="s">
        <v>377</v>
      </c>
      <c r="E96" s="127" t="s">
        <v>378</v>
      </c>
      <c r="F96" s="128">
        <v>0.17499999999999999</v>
      </c>
      <c r="G96" s="129" t="s">
        <v>20</v>
      </c>
      <c r="H96" s="127" t="s">
        <v>21</v>
      </c>
      <c r="I96" s="130">
        <f t="shared" si="6"/>
        <v>1.3839462238038751E-4</v>
      </c>
      <c r="J96" s="130">
        <f t="shared" si="7"/>
        <v>1.1884550084889643E-4</v>
      </c>
      <c r="K96" s="130">
        <f t="shared" si="8"/>
        <v>1.2161223071577484E-4</v>
      </c>
    </row>
    <row r="97" spans="1:11" ht="16.5" customHeight="1">
      <c r="A97" s="125" t="s">
        <v>312</v>
      </c>
      <c r="B97" s="125" t="s">
        <v>379</v>
      </c>
      <c r="C97" s="126" t="s">
        <v>380</v>
      </c>
      <c r="D97" s="129" t="s">
        <v>381</v>
      </c>
      <c r="E97" s="127" t="s">
        <v>382</v>
      </c>
      <c r="F97" s="128">
        <v>0.13500000000000001</v>
      </c>
      <c r="G97" s="129" t="s">
        <v>20</v>
      </c>
      <c r="H97" s="127" t="s">
        <v>21</v>
      </c>
      <c r="I97" s="130">
        <f t="shared" si="6"/>
        <v>1.0676156583629893E-4</v>
      </c>
      <c r="J97" s="130">
        <f t="shared" si="7"/>
        <v>9.168081494057725E-5</v>
      </c>
      <c r="K97" s="130">
        <f t="shared" si="8"/>
        <v>9.3815149409312026E-5</v>
      </c>
    </row>
    <row r="98" spans="1:11" ht="16.5" customHeight="1">
      <c r="A98" s="131" t="s">
        <v>383</v>
      </c>
      <c r="B98" s="131" t="s">
        <v>384</v>
      </c>
      <c r="C98" s="132" t="s">
        <v>385</v>
      </c>
      <c r="D98" s="133" t="s">
        <v>386</v>
      </c>
      <c r="E98" s="134" t="s">
        <v>387</v>
      </c>
      <c r="F98" s="135">
        <v>0.24</v>
      </c>
      <c r="G98" s="133" t="s">
        <v>20</v>
      </c>
      <c r="H98" s="134" t="s">
        <v>21</v>
      </c>
      <c r="I98" s="136">
        <f t="shared" si="6"/>
        <v>1.8979833926453143E-4</v>
      </c>
      <c r="J98" s="136">
        <f t="shared" si="7"/>
        <v>1.629881154499151E-4</v>
      </c>
      <c r="K98" s="136">
        <f t="shared" si="8"/>
        <v>1.6678248783877692E-4</v>
      </c>
    </row>
    <row r="99" spans="1:11" ht="16.5" customHeight="1">
      <c r="A99" s="131" t="s">
        <v>383</v>
      </c>
      <c r="B99" s="131" t="s">
        <v>388</v>
      </c>
      <c r="C99" s="132" t="s">
        <v>389</v>
      </c>
      <c r="D99" s="133" t="s">
        <v>390</v>
      </c>
      <c r="E99" s="134" t="s">
        <v>391</v>
      </c>
      <c r="F99" s="135">
        <v>0.24</v>
      </c>
      <c r="G99" s="133" t="s">
        <v>20</v>
      </c>
      <c r="H99" s="134" t="s">
        <v>21</v>
      </c>
      <c r="I99" s="136">
        <f t="shared" si="6"/>
        <v>1.8979833926453143E-4</v>
      </c>
      <c r="J99" s="136">
        <f t="shared" si="7"/>
        <v>1.629881154499151E-4</v>
      </c>
      <c r="K99" s="136">
        <f t="shared" si="8"/>
        <v>1.6678248783877692E-4</v>
      </c>
    </row>
    <row r="100" spans="1:11" ht="16.5" customHeight="1">
      <c r="A100" s="131" t="s">
        <v>383</v>
      </c>
      <c r="B100" s="131" t="s">
        <v>392</v>
      </c>
      <c r="C100" s="132" t="s">
        <v>393</v>
      </c>
      <c r="D100" s="133" t="s">
        <v>394</v>
      </c>
      <c r="E100" s="134" t="s">
        <v>395</v>
      </c>
      <c r="F100" s="135">
        <v>0.246</v>
      </c>
      <c r="G100" s="133" t="s">
        <v>20</v>
      </c>
      <c r="H100" s="134" t="s">
        <v>21</v>
      </c>
      <c r="I100" s="136">
        <f t="shared" ref="I100:I131" si="9">F100/1264.5</f>
        <v>1.9454329774614473E-4</v>
      </c>
      <c r="J100" s="136">
        <f t="shared" ref="J100:J131" si="10">F100/1472.5</f>
        <v>1.6706281833616299E-4</v>
      </c>
      <c r="K100" s="136">
        <f t="shared" ref="K100:K131" si="11">F100/1439</f>
        <v>1.7095205003474635E-4</v>
      </c>
    </row>
    <row r="101" spans="1:11" ht="16.5" customHeight="1">
      <c r="A101" s="131" t="s">
        <v>383</v>
      </c>
      <c r="B101" s="131" t="s">
        <v>396</v>
      </c>
      <c r="C101" s="132" t="s">
        <v>397</v>
      </c>
      <c r="D101" s="133" t="s">
        <v>394</v>
      </c>
      <c r="E101" s="134" t="s">
        <v>395</v>
      </c>
      <c r="F101" s="135">
        <v>0.246</v>
      </c>
      <c r="G101" s="133" t="s">
        <v>20</v>
      </c>
      <c r="H101" s="134" t="s">
        <v>21</v>
      </c>
      <c r="I101" s="136">
        <f t="shared" si="9"/>
        <v>1.9454329774614473E-4</v>
      </c>
      <c r="J101" s="136">
        <f t="shared" si="10"/>
        <v>1.6706281833616299E-4</v>
      </c>
      <c r="K101" s="136">
        <f t="shared" si="11"/>
        <v>1.7095205003474635E-4</v>
      </c>
    </row>
    <row r="102" spans="1:11" ht="16.5" customHeight="1">
      <c r="A102" s="131" t="s">
        <v>383</v>
      </c>
      <c r="B102" s="131" t="s">
        <v>398</v>
      </c>
      <c r="C102" s="132" t="s">
        <v>399</v>
      </c>
      <c r="D102" s="133" t="s">
        <v>400</v>
      </c>
      <c r="E102" s="134" t="s">
        <v>401</v>
      </c>
      <c r="F102" s="135">
        <v>0.188</v>
      </c>
      <c r="G102" s="133" t="s">
        <v>20</v>
      </c>
      <c r="H102" s="134" t="s">
        <v>21</v>
      </c>
      <c r="I102" s="136">
        <f t="shared" si="9"/>
        <v>1.4867536575721628E-4</v>
      </c>
      <c r="J102" s="136">
        <f t="shared" si="10"/>
        <v>1.2767402376910017E-4</v>
      </c>
      <c r="K102" s="136">
        <f t="shared" si="11"/>
        <v>1.3064628214037527E-4</v>
      </c>
    </row>
    <row r="103" spans="1:11" ht="16.5" customHeight="1">
      <c r="A103" s="131" t="s">
        <v>383</v>
      </c>
      <c r="B103" s="131" t="s">
        <v>402</v>
      </c>
      <c r="C103" s="132" t="s">
        <v>403</v>
      </c>
      <c r="D103" s="133" t="s">
        <v>404</v>
      </c>
      <c r="E103" s="134" t="s">
        <v>405</v>
      </c>
      <c r="F103" s="135">
        <v>0.17299999999999999</v>
      </c>
      <c r="G103" s="133" t="s">
        <v>20</v>
      </c>
      <c r="H103" s="134" t="s">
        <v>21</v>
      </c>
      <c r="I103" s="136">
        <f t="shared" si="9"/>
        <v>1.3681296955318306E-4</v>
      </c>
      <c r="J103" s="136">
        <f t="shared" si="10"/>
        <v>1.1748726655348047E-4</v>
      </c>
      <c r="K103" s="136">
        <f t="shared" si="11"/>
        <v>1.2022237665045169E-4</v>
      </c>
    </row>
    <row r="104" spans="1:11" ht="16.5" customHeight="1">
      <c r="A104" s="131" t="s">
        <v>383</v>
      </c>
      <c r="B104" s="131" t="s">
        <v>406</v>
      </c>
      <c r="C104" s="132" t="s">
        <v>407</v>
      </c>
      <c r="D104" s="133" t="s">
        <v>290</v>
      </c>
      <c r="E104" s="134" t="s">
        <v>291</v>
      </c>
      <c r="F104" s="135">
        <v>8.1000000000000003E-2</v>
      </c>
      <c r="G104" s="133" t="s">
        <v>20</v>
      </c>
      <c r="H104" s="134" t="s">
        <v>21</v>
      </c>
      <c r="I104" s="136">
        <f t="shared" si="9"/>
        <v>6.4056939501779363E-5</v>
      </c>
      <c r="J104" s="136">
        <f t="shared" si="10"/>
        <v>5.5008488964346354E-5</v>
      </c>
      <c r="K104" s="136">
        <f t="shared" si="11"/>
        <v>5.6289089645587214E-5</v>
      </c>
    </row>
    <row r="105" spans="1:11" ht="16.5" customHeight="1">
      <c r="A105" s="131" t="s">
        <v>383</v>
      </c>
      <c r="B105" s="131" t="s">
        <v>408</v>
      </c>
      <c r="C105" s="132" t="s">
        <v>409</v>
      </c>
      <c r="D105" s="133" t="s">
        <v>410</v>
      </c>
      <c r="E105" s="134" t="s">
        <v>411</v>
      </c>
      <c r="F105" s="135">
        <v>0.17299999999999999</v>
      </c>
      <c r="G105" s="133" t="s">
        <v>20</v>
      </c>
      <c r="H105" s="134" t="s">
        <v>21</v>
      </c>
      <c r="I105" s="136">
        <f t="shared" si="9"/>
        <v>1.3681296955318306E-4</v>
      </c>
      <c r="J105" s="136">
        <f t="shared" si="10"/>
        <v>1.1748726655348047E-4</v>
      </c>
      <c r="K105" s="136">
        <f t="shared" si="11"/>
        <v>1.2022237665045169E-4</v>
      </c>
    </row>
    <row r="106" spans="1:11" ht="16.5" customHeight="1">
      <c r="A106" s="137" t="s">
        <v>412</v>
      </c>
      <c r="B106" s="137" t="s">
        <v>413</v>
      </c>
      <c r="C106" s="138" t="s">
        <v>414</v>
      </c>
      <c r="D106" s="139" t="s">
        <v>415</v>
      </c>
      <c r="E106" s="140" t="s">
        <v>416</v>
      </c>
      <c r="F106" s="141">
        <v>0.50700000000000001</v>
      </c>
      <c r="G106" s="139" t="s">
        <v>20</v>
      </c>
      <c r="H106" s="140" t="s">
        <v>21</v>
      </c>
      <c r="I106" s="142">
        <f t="shared" si="9"/>
        <v>4.0094899169632265E-4</v>
      </c>
      <c r="J106" s="142">
        <f t="shared" si="10"/>
        <v>3.4431239388794569E-4</v>
      </c>
      <c r="K106" s="142">
        <f t="shared" si="11"/>
        <v>3.5232800555941627E-4</v>
      </c>
    </row>
    <row r="107" spans="1:11" ht="16.5" customHeight="1">
      <c r="A107" s="137" t="s">
        <v>412</v>
      </c>
      <c r="B107" s="137" t="s">
        <v>417</v>
      </c>
      <c r="C107" s="138" t="s">
        <v>418</v>
      </c>
      <c r="D107" s="139" t="s">
        <v>419</v>
      </c>
      <c r="E107" s="140" t="s">
        <v>420</v>
      </c>
      <c r="F107" s="141">
        <v>0.29199999999999998</v>
      </c>
      <c r="G107" s="139" t="s">
        <v>20</v>
      </c>
      <c r="H107" s="140" t="s">
        <v>21</v>
      </c>
      <c r="I107" s="142">
        <f t="shared" si="9"/>
        <v>2.3092131277184657E-4</v>
      </c>
      <c r="J107" s="142">
        <f t="shared" si="10"/>
        <v>1.9830220713073005E-4</v>
      </c>
      <c r="K107" s="142">
        <f t="shared" si="11"/>
        <v>2.0291869353717857E-4</v>
      </c>
    </row>
    <row r="108" spans="1:11" ht="16.5" customHeight="1">
      <c r="A108" s="137" t="s">
        <v>412</v>
      </c>
      <c r="B108" s="137" t="s">
        <v>421</v>
      </c>
      <c r="C108" s="138" t="s">
        <v>422</v>
      </c>
      <c r="D108" s="139" t="s">
        <v>423</v>
      </c>
      <c r="E108" s="140" t="s">
        <v>424</v>
      </c>
      <c r="F108" s="141">
        <v>0.182</v>
      </c>
      <c r="G108" s="139" t="s">
        <v>20</v>
      </c>
      <c r="H108" s="140" t="s">
        <v>21</v>
      </c>
      <c r="I108" s="142">
        <f t="shared" si="9"/>
        <v>1.4393040727560301E-4</v>
      </c>
      <c r="J108" s="142">
        <f t="shared" si="10"/>
        <v>1.2359932088285228E-4</v>
      </c>
      <c r="K108" s="142">
        <f t="shared" si="11"/>
        <v>1.2647671994440584E-4</v>
      </c>
    </row>
    <row r="109" spans="1:11" ht="16.5" customHeight="1">
      <c r="A109" s="137" t="s">
        <v>412</v>
      </c>
      <c r="B109" s="137" t="s">
        <v>425</v>
      </c>
      <c r="C109" s="138" t="s">
        <v>426</v>
      </c>
      <c r="D109" s="139" t="s">
        <v>427</v>
      </c>
      <c r="E109" s="140" t="s">
        <v>428</v>
      </c>
      <c r="F109" s="141">
        <v>0.12</v>
      </c>
      <c r="G109" s="139" t="s">
        <v>20</v>
      </c>
      <c r="H109" s="140" t="s">
        <v>21</v>
      </c>
      <c r="I109" s="142">
        <f t="shared" si="9"/>
        <v>9.4899169632265714E-5</v>
      </c>
      <c r="J109" s="142">
        <f t="shared" si="10"/>
        <v>8.1494057724957548E-5</v>
      </c>
      <c r="K109" s="142">
        <f t="shared" si="11"/>
        <v>8.339124391938846E-5</v>
      </c>
    </row>
    <row r="110" spans="1:11" ht="16.5" customHeight="1">
      <c r="A110" s="137" t="s">
        <v>412</v>
      </c>
      <c r="B110" s="137" t="s">
        <v>429</v>
      </c>
      <c r="C110" s="138" t="s">
        <v>430</v>
      </c>
      <c r="D110" s="139" t="s">
        <v>431</v>
      </c>
      <c r="E110" s="140" t="s">
        <v>432</v>
      </c>
      <c r="F110" s="141">
        <v>0.28199999999999997</v>
      </c>
      <c r="G110" s="139" t="s">
        <v>20</v>
      </c>
      <c r="H110" s="140" t="s">
        <v>21</v>
      </c>
      <c r="I110" s="142">
        <f t="shared" si="9"/>
        <v>2.2301304863582441E-4</v>
      </c>
      <c r="J110" s="142">
        <f t="shared" si="10"/>
        <v>1.9151103565365023E-4</v>
      </c>
      <c r="K110" s="142">
        <f t="shared" si="11"/>
        <v>1.9596942321056286E-4</v>
      </c>
    </row>
    <row r="111" spans="1:11" ht="16.5" customHeight="1">
      <c r="A111" s="137" t="s">
        <v>412</v>
      </c>
      <c r="B111" s="137" t="s">
        <v>433</v>
      </c>
      <c r="C111" s="138" t="s">
        <v>434</v>
      </c>
      <c r="D111" s="139" t="s">
        <v>435</v>
      </c>
      <c r="E111" s="140" t="s">
        <v>436</v>
      </c>
      <c r="F111" s="141">
        <v>0.28199999999999997</v>
      </c>
      <c r="G111" s="139" t="s">
        <v>20</v>
      </c>
      <c r="H111" s="140" t="s">
        <v>21</v>
      </c>
      <c r="I111" s="142">
        <f t="shared" si="9"/>
        <v>2.2301304863582441E-4</v>
      </c>
      <c r="J111" s="142">
        <f t="shared" si="10"/>
        <v>1.9151103565365023E-4</v>
      </c>
      <c r="K111" s="142">
        <f t="shared" si="11"/>
        <v>1.9596942321056286E-4</v>
      </c>
    </row>
    <row r="112" spans="1:11" ht="16.5" customHeight="1">
      <c r="A112" s="143" t="s">
        <v>437</v>
      </c>
      <c r="B112" s="143" t="s">
        <v>438</v>
      </c>
      <c r="C112" s="144" t="s">
        <v>439</v>
      </c>
      <c r="D112" s="145" t="s">
        <v>440</v>
      </c>
      <c r="E112" s="146" t="s">
        <v>441</v>
      </c>
      <c r="F112" s="147">
        <v>0.221</v>
      </c>
      <c r="G112" s="145" t="s">
        <v>20</v>
      </c>
      <c r="H112" s="146" t="s">
        <v>21</v>
      </c>
      <c r="I112" s="148">
        <f t="shared" si="9"/>
        <v>1.7477263740608938E-4</v>
      </c>
      <c r="J112" s="148">
        <f t="shared" si="10"/>
        <v>1.5008488964346351E-4</v>
      </c>
      <c r="K112" s="148">
        <f t="shared" si="11"/>
        <v>1.535788742182071E-4</v>
      </c>
    </row>
    <row r="113" spans="1:11" ht="16.5" customHeight="1">
      <c r="A113" s="143" t="s">
        <v>437</v>
      </c>
      <c r="B113" s="143" t="s">
        <v>442</v>
      </c>
      <c r="C113" s="144" t="s">
        <v>443</v>
      </c>
      <c r="D113" s="145" t="s">
        <v>444</v>
      </c>
      <c r="E113" s="146" t="s">
        <v>445</v>
      </c>
      <c r="F113" s="147">
        <v>0.214</v>
      </c>
      <c r="G113" s="145" t="s">
        <v>20</v>
      </c>
      <c r="H113" s="146" t="s">
        <v>21</v>
      </c>
      <c r="I113" s="148">
        <f t="shared" si="9"/>
        <v>1.6923685251087387E-4</v>
      </c>
      <c r="J113" s="148">
        <f t="shared" si="10"/>
        <v>1.4533106960950765E-4</v>
      </c>
      <c r="K113" s="148">
        <f t="shared" si="11"/>
        <v>1.4871438498957609E-4</v>
      </c>
    </row>
    <row r="114" spans="1:11" ht="16.5" customHeight="1">
      <c r="A114" s="143" t="s">
        <v>437</v>
      </c>
      <c r="B114" s="143" t="s">
        <v>446</v>
      </c>
      <c r="C114" s="144" t="s">
        <v>447</v>
      </c>
      <c r="D114" s="145" t="s">
        <v>448</v>
      </c>
      <c r="E114" s="146" t="s">
        <v>449</v>
      </c>
      <c r="F114" s="147">
        <v>0.19400000000000001</v>
      </c>
      <c r="G114" s="145" t="s">
        <v>20</v>
      </c>
      <c r="H114" s="146" t="s">
        <v>21</v>
      </c>
      <c r="I114" s="148">
        <f t="shared" si="9"/>
        <v>1.5342032423882958E-4</v>
      </c>
      <c r="J114" s="148">
        <f t="shared" si="10"/>
        <v>1.3174872665534806E-4</v>
      </c>
      <c r="K114" s="148">
        <f t="shared" si="11"/>
        <v>1.348158443363447E-4</v>
      </c>
    </row>
    <row r="115" spans="1:11" ht="16.5" customHeight="1">
      <c r="A115" s="143" t="s">
        <v>437</v>
      </c>
      <c r="B115" s="143" t="s">
        <v>450</v>
      </c>
      <c r="C115" s="144" t="s">
        <v>451</v>
      </c>
      <c r="D115" s="145" t="s">
        <v>452</v>
      </c>
      <c r="E115" s="146" t="s">
        <v>453</v>
      </c>
      <c r="F115" s="147">
        <v>0.224</v>
      </c>
      <c r="G115" s="145" t="s">
        <v>20</v>
      </c>
      <c r="H115" s="146" t="s">
        <v>21</v>
      </c>
      <c r="I115" s="148">
        <f t="shared" si="9"/>
        <v>1.77145116646896E-4</v>
      </c>
      <c r="J115" s="148">
        <f t="shared" si="10"/>
        <v>1.5212224108658744E-4</v>
      </c>
      <c r="K115" s="148">
        <f t="shared" si="11"/>
        <v>1.556636553161918E-4</v>
      </c>
    </row>
    <row r="116" spans="1:11" ht="16.5" customHeight="1">
      <c r="A116" s="143" t="s">
        <v>437</v>
      </c>
      <c r="B116" s="143" t="s">
        <v>454</v>
      </c>
      <c r="C116" s="144" t="s">
        <v>455</v>
      </c>
      <c r="D116" s="145" t="s">
        <v>456</v>
      </c>
      <c r="E116" s="146" t="s">
        <v>457</v>
      </c>
      <c r="F116" s="147">
        <v>0.255</v>
      </c>
      <c r="G116" s="145" t="s">
        <v>20</v>
      </c>
      <c r="H116" s="146" t="s">
        <v>21</v>
      </c>
      <c r="I116" s="148">
        <f t="shared" si="9"/>
        <v>2.0166073546856465E-4</v>
      </c>
      <c r="J116" s="148">
        <f t="shared" si="10"/>
        <v>1.7317487266553481E-4</v>
      </c>
      <c r="K116" s="148">
        <f t="shared" si="11"/>
        <v>1.7720639332870049E-4</v>
      </c>
    </row>
    <row r="117" spans="1:11" ht="16.5" customHeight="1">
      <c r="A117" s="143" t="s">
        <v>437</v>
      </c>
      <c r="B117" s="143" t="s">
        <v>458</v>
      </c>
      <c r="C117" s="144" t="s">
        <v>459</v>
      </c>
      <c r="D117" s="145" t="s">
        <v>460</v>
      </c>
      <c r="E117" s="146" t="s">
        <v>461</v>
      </c>
      <c r="F117" s="147">
        <v>0.27700000000000002</v>
      </c>
      <c r="G117" s="145" t="s">
        <v>20</v>
      </c>
      <c r="H117" s="146" t="s">
        <v>21</v>
      </c>
      <c r="I117" s="148">
        <f t="shared" si="9"/>
        <v>2.1905891656781338E-4</v>
      </c>
      <c r="J117" s="148">
        <f t="shared" si="10"/>
        <v>1.8811544991511036E-4</v>
      </c>
      <c r="K117" s="148">
        <f t="shared" si="11"/>
        <v>1.9249478804725506E-4</v>
      </c>
    </row>
    <row r="118" spans="1:11" ht="16.5" customHeight="1">
      <c r="A118" s="143" t="s">
        <v>437</v>
      </c>
      <c r="B118" s="143" t="s">
        <v>462</v>
      </c>
      <c r="C118" s="144" t="s">
        <v>463</v>
      </c>
      <c r="D118" s="145" t="s">
        <v>464</v>
      </c>
      <c r="E118" s="146" t="s">
        <v>465</v>
      </c>
      <c r="F118" s="147">
        <v>0.98799999999999999</v>
      </c>
      <c r="G118" s="145" t="s">
        <v>20</v>
      </c>
      <c r="H118" s="146" t="s">
        <v>21</v>
      </c>
      <c r="I118" s="148">
        <f t="shared" si="9"/>
        <v>7.8133649663898774E-4</v>
      </c>
      <c r="J118" s="148">
        <f t="shared" si="10"/>
        <v>6.7096774193548382E-4</v>
      </c>
      <c r="K118" s="148">
        <f t="shared" si="11"/>
        <v>6.8658790826963171E-4</v>
      </c>
    </row>
    <row r="119" spans="1:11" ht="16.5" customHeight="1">
      <c r="A119" s="143" t="s">
        <v>437</v>
      </c>
      <c r="B119" s="143" t="s">
        <v>466</v>
      </c>
      <c r="C119" s="144" t="s">
        <v>467</v>
      </c>
      <c r="D119" s="145" t="s">
        <v>468</v>
      </c>
      <c r="E119" s="146" t="s">
        <v>469</v>
      </c>
      <c r="F119" s="147">
        <v>0.158</v>
      </c>
      <c r="G119" s="145" t="s">
        <v>20</v>
      </c>
      <c r="H119" s="146" t="s">
        <v>21</v>
      </c>
      <c r="I119" s="148">
        <f t="shared" si="9"/>
        <v>1.2495057334914987E-4</v>
      </c>
      <c r="J119" s="148">
        <f t="shared" si="10"/>
        <v>1.0730050933786078E-4</v>
      </c>
      <c r="K119" s="148">
        <f t="shared" si="11"/>
        <v>1.0979847116052815E-4</v>
      </c>
    </row>
    <row r="120" spans="1:11" ht="16.5" customHeight="1">
      <c r="A120" s="149" t="s">
        <v>470</v>
      </c>
      <c r="B120" s="149" t="s">
        <v>471</v>
      </c>
      <c r="C120" s="150" t="s">
        <v>472</v>
      </c>
      <c r="D120" s="151" t="s">
        <v>473</v>
      </c>
      <c r="E120" s="152" t="s">
        <v>474</v>
      </c>
      <c r="F120" s="153">
        <v>0.27800000000000002</v>
      </c>
      <c r="G120" s="151" t="s">
        <v>20</v>
      </c>
      <c r="H120" s="152" t="s">
        <v>21</v>
      </c>
      <c r="I120" s="154">
        <f t="shared" si="9"/>
        <v>2.1984974298141561E-4</v>
      </c>
      <c r="J120" s="154">
        <f t="shared" si="10"/>
        <v>1.8879456706281836E-4</v>
      </c>
      <c r="K120" s="154">
        <f t="shared" si="11"/>
        <v>1.9318971507991664E-4</v>
      </c>
    </row>
    <row r="121" spans="1:11" ht="16.5" customHeight="1">
      <c r="A121" s="149" t="s">
        <v>470</v>
      </c>
      <c r="B121" s="149" t="s">
        <v>475</v>
      </c>
      <c r="C121" s="150" t="s">
        <v>476</v>
      </c>
      <c r="D121" s="151" t="s">
        <v>477</v>
      </c>
      <c r="E121" s="152" t="s">
        <v>478</v>
      </c>
      <c r="F121" s="153">
        <v>7.8E-2</v>
      </c>
      <c r="G121" s="151" t="s">
        <v>20</v>
      </c>
      <c r="H121" s="152" t="s">
        <v>21</v>
      </c>
      <c r="I121" s="154">
        <f t="shared" si="9"/>
        <v>6.1684460260972714E-5</v>
      </c>
      <c r="J121" s="154">
        <f t="shared" si="10"/>
        <v>5.2971137521222408E-5</v>
      </c>
      <c r="K121" s="154">
        <f t="shared" si="11"/>
        <v>5.4204308547602505E-5</v>
      </c>
    </row>
    <row r="122" spans="1:11" ht="16.5" customHeight="1">
      <c r="A122" s="149" t="s">
        <v>470</v>
      </c>
      <c r="B122" s="151" t="s">
        <v>479</v>
      </c>
      <c r="C122" s="152" t="s">
        <v>480</v>
      </c>
      <c r="D122" s="151" t="s">
        <v>481</v>
      </c>
      <c r="E122" s="152" t="s">
        <v>482</v>
      </c>
      <c r="F122" s="153">
        <v>8.4000000000000005E-2</v>
      </c>
      <c r="G122" s="151" t="s">
        <v>20</v>
      </c>
      <c r="H122" s="152" t="s">
        <v>21</v>
      </c>
      <c r="I122" s="154">
        <f t="shared" si="9"/>
        <v>6.6429418742586013E-5</v>
      </c>
      <c r="J122" s="154">
        <f t="shared" si="10"/>
        <v>5.7045840407470293E-5</v>
      </c>
      <c r="K122" s="154">
        <f t="shared" si="11"/>
        <v>5.837387074357193E-5</v>
      </c>
    </row>
    <row r="123" spans="1:11" ht="16.5" customHeight="1">
      <c r="A123" s="149" t="s">
        <v>470</v>
      </c>
      <c r="B123" s="149" t="s">
        <v>483</v>
      </c>
      <c r="C123" s="150" t="s">
        <v>484</v>
      </c>
      <c r="D123" s="151" t="s">
        <v>485</v>
      </c>
      <c r="E123" s="152" t="s">
        <v>486</v>
      </c>
      <c r="F123" s="153">
        <v>4.1000000000000002E-2</v>
      </c>
      <c r="G123" s="151" t="s">
        <v>20</v>
      </c>
      <c r="H123" s="152" t="s">
        <v>21</v>
      </c>
      <c r="I123" s="154">
        <f t="shared" si="9"/>
        <v>3.2423882957690785E-5</v>
      </c>
      <c r="J123" s="154">
        <f t="shared" si="10"/>
        <v>2.7843803056027165E-5</v>
      </c>
      <c r="K123" s="154">
        <f t="shared" si="11"/>
        <v>2.8492008339124392E-5</v>
      </c>
    </row>
    <row r="124" spans="1:11" ht="16.5" customHeight="1">
      <c r="A124" s="149" t="s">
        <v>470</v>
      </c>
      <c r="B124" s="149" t="s">
        <v>487</v>
      </c>
      <c r="C124" s="150" t="s">
        <v>488</v>
      </c>
      <c r="D124" s="151" t="s">
        <v>489</v>
      </c>
      <c r="E124" s="152" t="s">
        <v>490</v>
      </c>
      <c r="F124" s="153">
        <v>8.5000000000000006E-2</v>
      </c>
      <c r="G124" s="151" t="s">
        <v>20</v>
      </c>
      <c r="H124" s="152" t="s">
        <v>21</v>
      </c>
      <c r="I124" s="154">
        <f t="shared" si="9"/>
        <v>6.7220245156188221E-5</v>
      </c>
      <c r="J124" s="154">
        <f t="shared" si="10"/>
        <v>5.7724957555178275E-5</v>
      </c>
      <c r="K124" s="154">
        <f t="shared" si="11"/>
        <v>5.90687977762335E-5</v>
      </c>
    </row>
    <row r="125" spans="1:11" ht="16.5" customHeight="1">
      <c r="A125" s="149" t="s">
        <v>470</v>
      </c>
      <c r="B125" s="149" t="s">
        <v>491</v>
      </c>
      <c r="C125" s="150" t="s">
        <v>492</v>
      </c>
      <c r="D125" s="151" t="s">
        <v>241</v>
      </c>
      <c r="E125" s="152" t="s">
        <v>242</v>
      </c>
      <c r="F125" s="153">
        <v>0.23599999999999999</v>
      </c>
      <c r="G125" s="151" t="s">
        <v>20</v>
      </c>
      <c r="H125" s="152" t="s">
        <v>21</v>
      </c>
      <c r="I125" s="154">
        <f t="shared" si="9"/>
        <v>1.8663503361012257E-4</v>
      </c>
      <c r="J125" s="154">
        <f t="shared" si="10"/>
        <v>1.602716468590832E-4</v>
      </c>
      <c r="K125" s="154">
        <f t="shared" si="11"/>
        <v>1.6400277970813064E-4</v>
      </c>
    </row>
    <row r="126" spans="1:11" ht="16.5" customHeight="1">
      <c r="A126" s="149" t="s">
        <v>470</v>
      </c>
      <c r="B126" s="149" t="s">
        <v>493</v>
      </c>
      <c r="C126" s="150" t="s">
        <v>494</v>
      </c>
      <c r="D126" s="151" t="s">
        <v>495</v>
      </c>
      <c r="E126" s="152" t="s">
        <v>496</v>
      </c>
      <c r="F126" s="153">
        <v>7.3999999999999996E-2</v>
      </c>
      <c r="G126" s="151" t="s">
        <v>20</v>
      </c>
      <c r="H126" s="152" t="s">
        <v>21</v>
      </c>
      <c r="I126" s="154">
        <f t="shared" si="9"/>
        <v>5.8521154606563857E-5</v>
      </c>
      <c r="J126" s="154">
        <f t="shared" si="10"/>
        <v>5.0254668930390487E-5</v>
      </c>
      <c r="K126" s="154">
        <f t="shared" si="11"/>
        <v>5.1424600416956219E-5</v>
      </c>
    </row>
    <row r="127" spans="1:11" ht="16.5" customHeight="1">
      <c r="A127" s="149" t="s">
        <v>470</v>
      </c>
      <c r="B127" s="149" t="s">
        <v>497</v>
      </c>
      <c r="C127" s="150" t="s">
        <v>498</v>
      </c>
      <c r="D127" s="151" t="s">
        <v>499</v>
      </c>
      <c r="E127" s="152" t="s">
        <v>500</v>
      </c>
      <c r="F127" s="153">
        <v>0.16200000000000001</v>
      </c>
      <c r="G127" s="151" t="s">
        <v>20</v>
      </c>
      <c r="H127" s="152" t="s">
        <v>21</v>
      </c>
      <c r="I127" s="154">
        <f t="shared" si="9"/>
        <v>1.2811387900355873E-4</v>
      </c>
      <c r="J127" s="154">
        <f t="shared" si="10"/>
        <v>1.1001697792869271E-4</v>
      </c>
      <c r="K127" s="154">
        <f t="shared" si="11"/>
        <v>1.1257817929117443E-4</v>
      </c>
    </row>
    <row r="128" spans="1:11" ht="16.5" customHeight="1">
      <c r="A128" s="149" t="s">
        <v>470</v>
      </c>
      <c r="B128" s="149" t="s">
        <v>501</v>
      </c>
      <c r="C128" s="150" t="s">
        <v>502</v>
      </c>
      <c r="D128" s="151" t="s">
        <v>503</v>
      </c>
      <c r="E128" s="152" t="s">
        <v>504</v>
      </c>
      <c r="F128" s="153">
        <v>0.108</v>
      </c>
      <c r="G128" s="151" t="s">
        <v>20</v>
      </c>
      <c r="H128" s="152" t="s">
        <v>21</v>
      </c>
      <c r="I128" s="154">
        <f t="shared" si="9"/>
        <v>8.5409252669039142E-5</v>
      </c>
      <c r="J128" s="154">
        <f t="shared" si="10"/>
        <v>7.3344651952461805E-5</v>
      </c>
      <c r="K128" s="154">
        <f t="shared" si="11"/>
        <v>7.5052119527449623E-5</v>
      </c>
    </row>
    <row r="129" spans="1:11" ht="16.5" customHeight="1">
      <c r="A129" s="149" t="s">
        <v>470</v>
      </c>
      <c r="B129" s="149" t="s">
        <v>505</v>
      </c>
      <c r="C129" s="152" t="s">
        <v>506</v>
      </c>
      <c r="D129" s="151" t="s">
        <v>507</v>
      </c>
      <c r="E129" s="152" t="s">
        <v>508</v>
      </c>
      <c r="F129" s="153">
        <v>0.156</v>
      </c>
      <c r="G129" s="151" t="s">
        <v>20</v>
      </c>
      <c r="H129" s="152" t="s">
        <v>21</v>
      </c>
      <c r="I129" s="154">
        <f t="shared" si="9"/>
        <v>1.2336892052194543E-4</v>
      </c>
      <c r="J129" s="154">
        <f t="shared" si="10"/>
        <v>1.0594227504244482E-4</v>
      </c>
      <c r="K129" s="154">
        <f t="shared" si="11"/>
        <v>1.0840861709520501E-4</v>
      </c>
    </row>
    <row r="130" spans="1:11" ht="16.5" customHeight="1">
      <c r="A130" s="149" t="s">
        <v>470</v>
      </c>
      <c r="B130" s="149" t="s">
        <v>509</v>
      </c>
      <c r="C130" s="150" t="s">
        <v>510</v>
      </c>
      <c r="D130" s="151" t="s">
        <v>511</v>
      </c>
      <c r="E130" s="152" t="s">
        <v>512</v>
      </c>
      <c r="F130" s="153">
        <v>0.10299999999999999</v>
      </c>
      <c r="G130" s="151" t="s">
        <v>20</v>
      </c>
      <c r="H130" s="152" t="s">
        <v>21</v>
      </c>
      <c r="I130" s="154">
        <f t="shared" si="9"/>
        <v>8.1455120601028064E-5</v>
      </c>
      <c r="J130" s="154">
        <f t="shared" si="10"/>
        <v>6.9949066213921896E-5</v>
      </c>
      <c r="K130" s="154">
        <f t="shared" si="11"/>
        <v>7.1577484364141768E-5</v>
      </c>
    </row>
    <row r="131" spans="1:11" ht="16.5" customHeight="1">
      <c r="A131" s="149" t="s">
        <v>470</v>
      </c>
      <c r="B131" s="149" t="s">
        <v>513</v>
      </c>
      <c r="C131" s="150" t="s">
        <v>514</v>
      </c>
      <c r="D131" s="151" t="s">
        <v>515</v>
      </c>
      <c r="E131" s="152" t="s">
        <v>516</v>
      </c>
      <c r="F131" s="153">
        <v>9.4E-2</v>
      </c>
      <c r="G131" s="151" t="s">
        <v>20</v>
      </c>
      <c r="H131" s="152" t="s">
        <v>21</v>
      </c>
      <c r="I131" s="154">
        <f t="shared" si="9"/>
        <v>7.4337682878608142E-5</v>
      </c>
      <c r="J131" s="154">
        <f t="shared" si="10"/>
        <v>6.3837011884550085E-5</v>
      </c>
      <c r="K131" s="154">
        <f t="shared" si="11"/>
        <v>6.5323141070187634E-5</v>
      </c>
    </row>
    <row r="132" spans="1:11" ht="16.5" customHeight="1">
      <c r="A132" s="149" t="s">
        <v>470</v>
      </c>
      <c r="B132" s="149" t="s">
        <v>517</v>
      </c>
      <c r="C132" s="150" t="s">
        <v>518</v>
      </c>
      <c r="D132" s="151" t="s">
        <v>519</v>
      </c>
      <c r="E132" s="152" t="s">
        <v>520</v>
      </c>
      <c r="F132" s="153">
        <v>0.09</v>
      </c>
      <c r="G132" s="151" t="s">
        <v>20</v>
      </c>
      <c r="H132" s="152" t="s">
        <v>21</v>
      </c>
      <c r="I132" s="154">
        <f t="shared" ref="I132:I163" si="12">F132/1264.5</f>
        <v>7.1174377224199285E-5</v>
      </c>
      <c r="J132" s="154">
        <f t="shared" ref="J132:J163" si="13">F132/1472.5</f>
        <v>6.1120543293718157E-5</v>
      </c>
      <c r="K132" s="154">
        <f t="shared" ref="K132:K163" si="14">F132/1439</f>
        <v>6.2543432939541341E-5</v>
      </c>
    </row>
    <row r="133" spans="1:11" ht="16.5" customHeight="1">
      <c r="A133" s="149" t="s">
        <v>470</v>
      </c>
      <c r="B133" s="149" t="s">
        <v>521</v>
      </c>
      <c r="C133" s="150" t="s">
        <v>522</v>
      </c>
      <c r="D133" s="151" t="s">
        <v>523</v>
      </c>
      <c r="E133" s="152" t="s">
        <v>524</v>
      </c>
      <c r="F133" s="153">
        <v>0.08</v>
      </c>
      <c r="G133" s="151" t="s">
        <v>20</v>
      </c>
      <c r="H133" s="152" t="s">
        <v>21</v>
      </c>
      <c r="I133" s="154">
        <f t="shared" si="12"/>
        <v>6.3266113088177142E-5</v>
      </c>
      <c r="J133" s="154">
        <f t="shared" si="13"/>
        <v>5.4329371816638372E-5</v>
      </c>
      <c r="K133" s="154">
        <f t="shared" si="14"/>
        <v>5.5594162612925644E-5</v>
      </c>
    </row>
    <row r="134" spans="1:11" ht="16.5" customHeight="1">
      <c r="A134" s="149" t="s">
        <v>470</v>
      </c>
      <c r="B134" s="149" t="s">
        <v>525</v>
      </c>
      <c r="C134" s="150" t="s">
        <v>526</v>
      </c>
      <c r="D134" s="151" t="s">
        <v>527</v>
      </c>
      <c r="E134" s="152" t="s">
        <v>528</v>
      </c>
      <c r="F134" s="153">
        <v>0.08</v>
      </c>
      <c r="G134" s="151" t="s">
        <v>20</v>
      </c>
      <c r="H134" s="152" t="s">
        <v>21</v>
      </c>
      <c r="I134" s="154">
        <f t="shared" si="12"/>
        <v>6.3266113088177142E-5</v>
      </c>
      <c r="J134" s="154">
        <f t="shared" si="13"/>
        <v>5.4329371816638372E-5</v>
      </c>
      <c r="K134" s="154">
        <f t="shared" si="14"/>
        <v>5.5594162612925644E-5</v>
      </c>
    </row>
    <row r="135" spans="1:11" ht="16.5" customHeight="1">
      <c r="A135" s="149" t="s">
        <v>470</v>
      </c>
      <c r="B135" s="149" t="s">
        <v>529</v>
      </c>
      <c r="C135" s="150" t="s">
        <v>530</v>
      </c>
      <c r="D135" s="151" t="s">
        <v>531</v>
      </c>
      <c r="E135" s="152" t="s">
        <v>532</v>
      </c>
      <c r="F135" s="153">
        <v>0.125</v>
      </c>
      <c r="G135" s="151" t="s">
        <v>20</v>
      </c>
      <c r="H135" s="152" t="s">
        <v>21</v>
      </c>
      <c r="I135" s="154">
        <f t="shared" si="12"/>
        <v>9.8853301700276792E-5</v>
      </c>
      <c r="J135" s="154">
        <f t="shared" si="13"/>
        <v>8.4889643463497458E-5</v>
      </c>
      <c r="K135" s="154">
        <f t="shared" si="14"/>
        <v>8.6865879082696315E-5</v>
      </c>
    </row>
    <row r="136" spans="1:11" ht="16.5" customHeight="1">
      <c r="A136" s="149" t="s">
        <v>470</v>
      </c>
      <c r="B136" s="149" t="s">
        <v>533</v>
      </c>
      <c r="C136" s="150" t="s">
        <v>534</v>
      </c>
      <c r="D136" s="151" t="s">
        <v>535</v>
      </c>
      <c r="E136" s="152" t="s">
        <v>536</v>
      </c>
      <c r="F136" s="153">
        <v>5.0999999999999997E-2</v>
      </c>
      <c r="G136" s="151" t="s">
        <v>20</v>
      </c>
      <c r="H136" s="152" t="s">
        <v>21</v>
      </c>
      <c r="I136" s="154">
        <f t="shared" si="12"/>
        <v>4.0332147093712928E-5</v>
      </c>
      <c r="J136" s="154">
        <f t="shared" si="13"/>
        <v>3.4634974533106957E-5</v>
      </c>
      <c r="K136" s="154">
        <f t="shared" si="14"/>
        <v>3.5441278665740096E-5</v>
      </c>
    </row>
    <row r="137" spans="1:11" ht="16.5" customHeight="1">
      <c r="A137" s="149" t="s">
        <v>470</v>
      </c>
      <c r="B137" s="149" t="s">
        <v>537</v>
      </c>
      <c r="C137" s="150" t="s">
        <v>538</v>
      </c>
      <c r="D137" s="151" t="s">
        <v>539</v>
      </c>
      <c r="E137" s="152" t="s">
        <v>540</v>
      </c>
      <c r="F137" s="153">
        <v>0.111</v>
      </c>
      <c r="G137" s="151" t="s">
        <v>20</v>
      </c>
      <c r="H137" s="152" t="s">
        <v>21</v>
      </c>
      <c r="I137" s="154">
        <f t="shared" si="12"/>
        <v>8.7781731909845792E-5</v>
      </c>
      <c r="J137" s="154">
        <f t="shared" si="13"/>
        <v>7.5382003395585738E-5</v>
      </c>
      <c r="K137" s="154">
        <f t="shared" si="14"/>
        <v>7.7136900625434326E-5</v>
      </c>
    </row>
    <row r="138" spans="1:11" ht="16.5" customHeight="1">
      <c r="A138" s="149" t="s">
        <v>470</v>
      </c>
      <c r="B138" s="149" t="s">
        <v>541</v>
      </c>
      <c r="C138" s="150" t="s">
        <v>542</v>
      </c>
      <c r="D138" s="151" t="s">
        <v>543</v>
      </c>
      <c r="E138" s="152" t="s">
        <v>544</v>
      </c>
      <c r="F138" s="153">
        <v>0.127</v>
      </c>
      <c r="G138" s="151" t="s">
        <v>20</v>
      </c>
      <c r="H138" s="152" t="s">
        <v>21</v>
      </c>
      <c r="I138" s="154">
        <f t="shared" si="12"/>
        <v>1.0043495452748122E-4</v>
      </c>
      <c r="J138" s="154">
        <f t="shared" si="13"/>
        <v>8.6247877758913408E-5</v>
      </c>
      <c r="K138" s="154">
        <f t="shared" si="14"/>
        <v>8.8255733148019454E-5</v>
      </c>
    </row>
    <row r="139" spans="1:11" ht="16.5" customHeight="1">
      <c r="A139" s="149" t="s">
        <v>470</v>
      </c>
      <c r="B139" s="149" t="s">
        <v>545</v>
      </c>
      <c r="C139" s="150" t="s">
        <v>546</v>
      </c>
      <c r="D139" s="151" t="s">
        <v>547</v>
      </c>
      <c r="E139" s="152" t="s">
        <v>548</v>
      </c>
      <c r="F139" s="153">
        <v>9.2999999999999999E-2</v>
      </c>
      <c r="G139" s="151" t="s">
        <v>20</v>
      </c>
      <c r="H139" s="152" t="s">
        <v>21</v>
      </c>
      <c r="I139" s="154">
        <f t="shared" si="12"/>
        <v>7.3546856465005935E-5</v>
      </c>
      <c r="J139" s="154">
        <f t="shared" si="13"/>
        <v>6.3157894736842103E-5</v>
      </c>
      <c r="K139" s="154">
        <f t="shared" si="14"/>
        <v>6.4628214037526057E-5</v>
      </c>
    </row>
    <row r="140" spans="1:11" ht="16.5" customHeight="1">
      <c r="A140" s="149" t="s">
        <v>470</v>
      </c>
      <c r="B140" s="149" t="s">
        <v>549</v>
      </c>
      <c r="C140" s="150" t="s">
        <v>550</v>
      </c>
      <c r="D140" s="151" t="s">
        <v>551</v>
      </c>
      <c r="E140" s="152" t="s">
        <v>552</v>
      </c>
      <c r="F140" s="153">
        <v>0.13200000000000001</v>
      </c>
      <c r="G140" s="151" t="s">
        <v>20</v>
      </c>
      <c r="H140" s="152" t="s">
        <v>21</v>
      </c>
      <c r="I140" s="154">
        <f t="shared" si="12"/>
        <v>1.043890865954923E-4</v>
      </c>
      <c r="J140" s="154">
        <f t="shared" si="13"/>
        <v>8.9643463497453318E-5</v>
      </c>
      <c r="K140" s="154">
        <f t="shared" si="14"/>
        <v>9.173036831132731E-5</v>
      </c>
    </row>
    <row r="141" spans="1:11" ht="16.5" customHeight="1">
      <c r="A141" s="149" t="s">
        <v>470</v>
      </c>
      <c r="B141" s="149" t="s">
        <v>553</v>
      </c>
      <c r="C141" s="150" t="s">
        <v>554</v>
      </c>
      <c r="D141" s="151" t="s">
        <v>555</v>
      </c>
      <c r="E141" s="152" t="s">
        <v>556</v>
      </c>
      <c r="F141" s="153">
        <v>0.19400000000000001</v>
      </c>
      <c r="G141" s="151" t="s">
        <v>20</v>
      </c>
      <c r="H141" s="152" t="s">
        <v>21</v>
      </c>
      <c r="I141" s="154">
        <f t="shared" si="12"/>
        <v>1.5342032423882958E-4</v>
      </c>
      <c r="J141" s="154">
        <f t="shared" si="13"/>
        <v>1.3174872665534806E-4</v>
      </c>
      <c r="K141" s="154">
        <f t="shared" si="14"/>
        <v>1.348158443363447E-4</v>
      </c>
    </row>
    <row r="142" spans="1:11" ht="16.5" customHeight="1">
      <c r="A142" s="149" t="s">
        <v>470</v>
      </c>
      <c r="B142" s="149" t="s">
        <v>557</v>
      </c>
      <c r="C142" s="150" t="s">
        <v>558</v>
      </c>
      <c r="D142" s="151" t="s">
        <v>559</v>
      </c>
      <c r="E142" s="152" t="s">
        <v>560</v>
      </c>
      <c r="F142" s="153">
        <v>0.10299999999999999</v>
      </c>
      <c r="G142" s="151" t="s">
        <v>20</v>
      </c>
      <c r="H142" s="152" t="s">
        <v>21</v>
      </c>
      <c r="I142" s="154">
        <f t="shared" si="12"/>
        <v>8.1455120601028064E-5</v>
      </c>
      <c r="J142" s="154">
        <f t="shared" si="13"/>
        <v>6.9949066213921896E-5</v>
      </c>
      <c r="K142" s="154">
        <f t="shared" si="14"/>
        <v>7.1577484364141768E-5</v>
      </c>
    </row>
    <row r="143" spans="1:11" ht="16.5" customHeight="1">
      <c r="A143" s="149" t="s">
        <v>470</v>
      </c>
      <c r="B143" s="149" t="s">
        <v>561</v>
      </c>
      <c r="C143" s="150" t="s">
        <v>562</v>
      </c>
      <c r="D143" s="151" t="s">
        <v>563</v>
      </c>
      <c r="E143" s="152" t="s">
        <v>564</v>
      </c>
      <c r="F143" s="153">
        <v>7.5999999999999998E-2</v>
      </c>
      <c r="G143" s="151" t="s">
        <v>20</v>
      </c>
      <c r="H143" s="152" t="s">
        <v>21</v>
      </c>
      <c r="I143" s="154">
        <f t="shared" si="12"/>
        <v>6.0102807433768285E-5</v>
      </c>
      <c r="J143" s="154">
        <f t="shared" si="13"/>
        <v>5.1612903225806451E-5</v>
      </c>
      <c r="K143" s="154">
        <f t="shared" si="14"/>
        <v>5.2814454482279359E-5</v>
      </c>
    </row>
    <row r="144" spans="1:11" ht="16.5" customHeight="1">
      <c r="A144" s="149" t="s">
        <v>470</v>
      </c>
      <c r="B144" s="149" t="s">
        <v>565</v>
      </c>
      <c r="C144" s="150" t="s">
        <v>566</v>
      </c>
      <c r="D144" s="151" t="s">
        <v>567</v>
      </c>
      <c r="E144" s="152" t="s">
        <v>568</v>
      </c>
      <c r="F144" s="153">
        <v>0.13600000000000001</v>
      </c>
      <c r="G144" s="151" t="s">
        <v>20</v>
      </c>
      <c r="H144" s="152" t="s">
        <v>21</v>
      </c>
      <c r="I144" s="154">
        <f t="shared" si="12"/>
        <v>1.0755239224990116E-4</v>
      </c>
      <c r="J144" s="154">
        <f t="shared" si="13"/>
        <v>9.2359932088285232E-5</v>
      </c>
      <c r="K144" s="154">
        <f t="shared" si="14"/>
        <v>9.4510076441973602E-5</v>
      </c>
    </row>
    <row r="145" spans="1:11" ht="16.5" customHeight="1">
      <c r="A145" s="149" t="s">
        <v>470</v>
      </c>
      <c r="B145" s="149" t="s">
        <v>569</v>
      </c>
      <c r="C145" s="150" t="s">
        <v>570</v>
      </c>
      <c r="D145" s="151" t="s">
        <v>571</v>
      </c>
      <c r="E145" s="152" t="s">
        <v>572</v>
      </c>
      <c r="F145" s="153">
        <v>0.113</v>
      </c>
      <c r="G145" s="151" t="s">
        <v>20</v>
      </c>
      <c r="H145" s="152" t="s">
        <v>21</v>
      </c>
      <c r="I145" s="154">
        <f t="shared" si="12"/>
        <v>8.936338473705022E-5</v>
      </c>
      <c r="J145" s="154">
        <f t="shared" si="13"/>
        <v>7.6740237691001701E-5</v>
      </c>
      <c r="K145" s="154">
        <f t="shared" si="14"/>
        <v>7.8526754690757478E-5</v>
      </c>
    </row>
    <row r="146" spans="1:11" ht="16.5" customHeight="1">
      <c r="A146" s="149" t="s">
        <v>470</v>
      </c>
      <c r="B146" s="149" t="s">
        <v>573</v>
      </c>
      <c r="C146" s="150" t="s">
        <v>574</v>
      </c>
      <c r="D146" s="151" t="s">
        <v>575</v>
      </c>
      <c r="E146" s="152" t="s">
        <v>576</v>
      </c>
      <c r="F146" s="153">
        <v>8.3000000000000004E-2</v>
      </c>
      <c r="G146" s="151" t="s">
        <v>20</v>
      </c>
      <c r="H146" s="152" t="s">
        <v>21</v>
      </c>
      <c r="I146" s="154">
        <f t="shared" si="12"/>
        <v>6.5638592328983792E-5</v>
      </c>
      <c r="J146" s="154">
        <f t="shared" si="13"/>
        <v>5.6366723259762311E-5</v>
      </c>
      <c r="K146" s="154">
        <f t="shared" si="14"/>
        <v>5.767894371091036E-5</v>
      </c>
    </row>
    <row r="147" spans="1:11" ht="16.5" customHeight="1">
      <c r="A147" s="149" t="s">
        <v>470</v>
      </c>
      <c r="B147" s="149" t="s">
        <v>577</v>
      </c>
      <c r="C147" s="150" t="s">
        <v>578</v>
      </c>
      <c r="D147" s="151" t="s">
        <v>579</v>
      </c>
      <c r="E147" s="152" t="s">
        <v>580</v>
      </c>
      <c r="F147" s="153">
        <v>0.215</v>
      </c>
      <c r="G147" s="151" t="s">
        <v>20</v>
      </c>
      <c r="H147" s="152" t="s">
        <v>21</v>
      </c>
      <c r="I147" s="154">
        <f t="shared" si="12"/>
        <v>1.7002767892447608E-4</v>
      </c>
      <c r="J147" s="154">
        <f t="shared" si="13"/>
        <v>1.4601018675721562E-4</v>
      </c>
      <c r="K147" s="154">
        <f t="shared" si="14"/>
        <v>1.4940931202223767E-4</v>
      </c>
    </row>
    <row r="148" spans="1:11" ht="16.5" customHeight="1">
      <c r="A148" s="149" t="s">
        <v>470</v>
      </c>
      <c r="B148" s="149" t="s">
        <v>581</v>
      </c>
      <c r="C148" s="150" t="s">
        <v>582</v>
      </c>
      <c r="D148" s="151" t="s">
        <v>583</v>
      </c>
      <c r="E148" s="152" t="s">
        <v>584</v>
      </c>
      <c r="F148" s="153">
        <v>0.11799999999999999</v>
      </c>
      <c r="G148" s="151" t="s">
        <v>20</v>
      </c>
      <c r="H148" s="152" t="s">
        <v>21</v>
      </c>
      <c r="I148" s="154">
        <f t="shared" si="12"/>
        <v>9.3317516805061285E-5</v>
      </c>
      <c r="J148" s="154">
        <f t="shared" si="13"/>
        <v>8.0135823429541598E-5</v>
      </c>
      <c r="K148" s="154">
        <f t="shared" si="14"/>
        <v>8.200138985406532E-5</v>
      </c>
    </row>
    <row r="149" spans="1:11" ht="16.5" customHeight="1">
      <c r="A149" s="149" t="s">
        <v>470</v>
      </c>
      <c r="B149" s="149" t="s">
        <v>585</v>
      </c>
      <c r="C149" s="150" t="s">
        <v>586</v>
      </c>
      <c r="D149" s="151" t="s">
        <v>587</v>
      </c>
      <c r="E149" s="152" t="s">
        <v>588</v>
      </c>
      <c r="F149" s="153">
        <v>0.128</v>
      </c>
      <c r="G149" s="151" t="s">
        <v>20</v>
      </c>
      <c r="H149" s="152" t="s">
        <v>21</v>
      </c>
      <c r="I149" s="154">
        <f t="shared" si="12"/>
        <v>1.0122578094108343E-4</v>
      </c>
      <c r="J149" s="154">
        <f t="shared" si="13"/>
        <v>8.692699490662139E-5</v>
      </c>
      <c r="K149" s="154">
        <f t="shared" si="14"/>
        <v>8.8950660180681031E-5</v>
      </c>
    </row>
    <row r="150" spans="1:11" ht="16.5" customHeight="1">
      <c r="A150" s="155" t="s">
        <v>589</v>
      </c>
      <c r="B150" s="155" t="s">
        <v>590</v>
      </c>
      <c r="C150" s="156" t="s">
        <v>591</v>
      </c>
      <c r="D150" s="157" t="s">
        <v>592</v>
      </c>
      <c r="E150" s="158" t="s">
        <v>593</v>
      </c>
      <c r="F150" s="159">
        <v>0.24</v>
      </c>
      <c r="G150" s="157" t="s">
        <v>20</v>
      </c>
      <c r="H150" s="158" t="s">
        <v>21</v>
      </c>
      <c r="I150" s="160">
        <f t="shared" si="12"/>
        <v>1.8979833926453143E-4</v>
      </c>
      <c r="J150" s="160">
        <f t="shared" si="13"/>
        <v>1.629881154499151E-4</v>
      </c>
      <c r="K150" s="160">
        <f t="shared" si="14"/>
        <v>1.6678248783877692E-4</v>
      </c>
    </row>
    <row r="151" spans="1:11" ht="16.5" customHeight="1">
      <c r="A151" s="155" t="s">
        <v>589</v>
      </c>
      <c r="B151" s="155" t="s">
        <v>594</v>
      </c>
      <c r="C151" s="156" t="s">
        <v>595</v>
      </c>
      <c r="D151" s="157" t="s">
        <v>596</v>
      </c>
      <c r="E151" s="158" t="s">
        <v>597</v>
      </c>
      <c r="F151" s="159">
        <v>0.27200000000000002</v>
      </c>
      <c r="G151" s="157" t="s">
        <v>20</v>
      </c>
      <c r="H151" s="158" t="s">
        <v>21</v>
      </c>
      <c r="I151" s="160">
        <f t="shared" si="12"/>
        <v>2.1510478449980231E-4</v>
      </c>
      <c r="J151" s="160">
        <f t="shared" si="13"/>
        <v>1.8471986417657046E-4</v>
      </c>
      <c r="K151" s="160">
        <f t="shared" si="14"/>
        <v>1.890201528839472E-4</v>
      </c>
    </row>
    <row r="152" spans="1:11" ht="16.5" customHeight="1">
      <c r="A152" s="155" t="s">
        <v>589</v>
      </c>
      <c r="B152" s="155" t="s">
        <v>598</v>
      </c>
      <c r="C152" s="156" t="s">
        <v>599</v>
      </c>
      <c r="D152" s="157" t="s">
        <v>600</v>
      </c>
      <c r="E152" s="158" t="s">
        <v>601</v>
      </c>
      <c r="F152" s="159">
        <v>0.25600000000000001</v>
      </c>
      <c r="G152" s="157" t="s">
        <v>20</v>
      </c>
      <c r="H152" s="158" t="s">
        <v>21</v>
      </c>
      <c r="I152" s="160">
        <f t="shared" si="12"/>
        <v>2.0245156188216686E-4</v>
      </c>
      <c r="J152" s="160">
        <f t="shared" si="13"/>
        <v>1.7385398981324278E-4</v>
      </c>
      <c r="K152" s="160">
        <f t="shared" si="14"/>
        <v>1.7790132036136206E-4</v>
      </c>
    </row>
    <row r="153" spans="1:11" ht="16.5" customHeight="1">
      <c r="A153" s="155" t="s">
        <v>589</v>
      </c>
      <c r="B153" s="155" t="s">
        <v>602</v>
      </c>
      <c r="C153" s="156" t="s">
        <v>603</v>
      </c>
      <c r="D153" s="157" t="s">
        <v>604</v>
      </c>
      <c r="E153" s="158" t="s">
        <v>605</v>
      </c>
      <c r="F153" s="159">
        <v>7.2999999999999995E-2</v>
      </c>
      <c r="G153" s="157" t="s">
        <v>20</v>
      </c>
      <c r="H153" s="158" t="s">
        <v>21</v>
      </c>
      <c r="I153" s="160">
        <f t="shared" si="12"/>
        <v>5.7730328192961642E-5</v>
      </c>
      <c r="J153" s="160">
        <f t="shared" si="13"/>
        <v>4.9575551782682512E-5</v>
      </c>
      <c r="K153" s="160">
        <f t="shared" si="14"/>
        <v>5.0729673384294643E-5</v>
      </c>
    </row>
    <row r="154" spans="1:11" ht="16.5" customHeight="1">
      <c r="A154" s="155" t="s">
        <v>589</v>
      </c>
      <c r="B154" s="155" t="s">
        <v>606</v>
      </c>
      <c r="C154" s="156" t="s">
        <v>607</v>
      </c>
      <c r="D154" s="157" t="s">
        <v>608</v>
      </c>
      <c r="E154" s="158" t="s">
        <v>609</v>
      </c>
      <c r="F154" s="159">
        <v>0.25900000000000001</v>
      </c>
      <c r="G154" s="157" t="s">
        <v>20</v>
      </c>
      <c r="H154" s="158" t="s">
        <v>21</v>
      </c>
      <c r="I154" s="160">
        <f t="shared" si="12"/>
        <v>2.0482404112297351E-4</v>
      </c>
      <c r="J154" s="160">
        <f t="shared" si="13"/>
        <v>1.7589134125636674E-4</v>
      </c>
      <c r="K154" s="160">
        <f t="shared" si="14"/>
        <v>1.7998610145934676E-4</v>
      </c>
    </row>
    <row r="155" spans="1:11" ht="16.5" customHeight="1">
      <c r="A155" s="155" t="s">
        <v>589</v>
      </c>
      <c r="B155" s="155" t="s">
        <v>610</v>
      </c>
      <c r="C155" s="156" t="s">
        <v>611</v>
      </c>
      <c r="D155" s="157" t="s">
        <v>612</v>
      </c>
      <c r="E155" s="158" t="s">
        <v>613</v>
      </c>
      <c r="F155" s="159">
        <v>0.253</v>
      </c>
      <c r="G155" s="157" t="s">
        <v>20</v>
      </c>
      <c r="H155" s="158" t="s">
        <v>21</v>
      </c>
      <c r="I155" s="160">
        <f t="shared" si="12"/>
        <v>2.0007908264136023E-4</v>
      </c>
      <c r="J155" s="160">
        <f t="shared" si="13"/>
        <v>1.7181663837011885E-4</v>
      </c>
      <c r="K155" s="160">
        <f t="shared" si="14"/>
        <v>1.7581653926337736E-4</v>
      </c>
    </row>
    <row r="156" spans="1:11" ht="16.5" customHeight="1">
      <c r="A156" s="155" t="s">
        <v>589</v>
      </c>
      <c r="B156" s="155" t="s">
        <v>614</v>
      </c>
      <c r="C156" s="156" t="s">
        <v>615</v>
      </c>
      <c r="D156" s="157" t="s">
        <v>616</v>
      </c>
      <c r="E156" s="158" t="s">
        <v>617</v>
      </c>
      <c r="F156" s="159">
        <v>0.2</v>
      </c>
      <c r="G156" s="157" t="s">
        <v>20</v>
      </c>
      <c r="H156" s="158" t="s">
        <v>21</v>
      </c>
      <c r="I156" s="160">
        <f t="shared" si="12"/>
        <v>1.5816528272044288E-4</v>
      </c>
      <c r="J156" s="160">
        <f t="shared" si="13"/>
        <v>1.3582342954159593E-4</v>
      </c>
      <c r="K156" s="160">
        <f t="shared" si="14"/>
        <v>1.389854065323141E-4</v>
      </c>
    </row>
    <row r="157" spans="1:11" ht="16.5" customHeight="1">
      <c r="A157" s="155" t="s">
        <v>589</v>
      </c>
      <c r="B157" s="155" t="s">
        <v>618</v>
      </c>
      <c r="C157" s="156" t="s">
        <v>619</v>
      </c>
      <c r="D157" s="157" t="s">
        <v>620</v>
      </c>
      <c r="E157" s="158" t="s">
        <v>621</v>
      </c>
      <c r="F157" s="159">
        <v>0.13900000000000001</v>
      </c>
      <c r="G157" s="157" t="s">
        <v>20</v>
      </c>
      <c r="H157" s="158" t="s">
        <v>21</v>
      </c>
      <c r="I157" s="160">
        <f t="shared" si="12"/>
        <v>1.0992487149070781E-4</v>
      </c>
      <c r="J157" s="160">
        <f t="shared" si="13"/>
        <v>9.4397283531409178E-5</v>
      </c>
      <c r="K157" s="160">
        <f t="shared" si="14"/>
        <v>9.6594857539958318E-5</v>
      </c>
    </row>
    <row r="158" spans="1:11" ht="16.5" customHeight="1">
      <c r="A158" s="155" t="s">
        <v>589</v>
      </c>
      <c r="B158" s="155" t="s">
        <v>622</v>
      </c>
      <c r="C158" s="156" t="s">
        <v>623</v>
      </c>
      <c r="D158" s="157" t="s">
        <v>624</v>
      </c>
      <c r="E158" s="158" t="s">
        <v>625</v>
      </c>
      <c r="F158" s="159">
        <v>0.19600000000000001</v>
      </c>
      <c r="G158" s="157" t="s">
        <v>20</v>
      </c>
      <c r="H158" s="158" t="s">
        <v>21</v>
      </c>
      <c r="I158" s="160">
        <f t="shared" si="12"/>
        <v>1.55001977066034E-4</v>
      </c>
      <c r="J158" s="160">
        <f t="shared" si="13"/>
        <v>1.33106960950764E-4</v>
      </c>
      <c r="K158" s="160">
        <f t="shared" si="14"/>
        <v>1.3620569840166783E-4</v>
      </c>
    </row>
    <row r="159" spans="1:11" ht="16.5" customHeight="1">
      <c r="A159" s="155" t="s">
        <v>589</v>
      </c>
      <c r="B159" s="155" t="s">
        <v>626</v>
      </c>
      <c r="C159" s="156" t="s">
        <v>627</v>
      </c>
      <c r="D159" s="157" t="s">
        <v>628</v>
      </c>
      <c r="E159" s="158" t="s">
        <v>629</v>
      </c>
      <c r="F159" s="159">
        <v>0.44400000000000001</v>
      </c>
      <c r="G159" s="157" t="s">
        <v>20</v>
      </c>
      <c r="H159" s="158" t="s">
        <v>21</v>
      </c>
      <c r="I159" s="160">
        <f t="shared" si="12"/>
        <v>3.5112692763938317E-4</v>
      </c>
      <c r="J159" s="160">
        <f t="shared" si="13"/>
        <v>3.0152801358234295E-4</v>
      </c>
      <c r="K159" s="160">
        <f t="shared" si="14"/>
        <v>3.085476025017373E-4</v>
      </c>
    </row>
    <row r="160" spans="1:11" ht="16.5" customHeight="1">
      <c r="A160" s="155" t="s">
        <v>589</v>
      </c>
      <c r="B160" s="155" t="s">
        <v>630</v>
      </c>
      <c r="C160" s="156" t="s">
        <v>631</v>
      </c>
      <c r="D160" s="157" t="s">
        <v>632</v>
      </c>
      <c r="E160" s="158" t="s">
        <v>633</v>
      </c>
      <c r="F160" s="159">
        <v>0.222</v>
      </c>
      <c r="G160" s="157" t="s">
        <v>20</v>
      </c>
      <c r="H160" s="158" t="s">
        <v>21</v>
      </c>
      <c r="I160" s="160">
        <f t="shared" si="12"/>
        <v>1.7556346381969158E-4</v>
      </c>
      <c r="J160" s="160">
        <f t="shared" si="13"/>
        <v>1.5076400679117148E-4</v>
      </c>
      <c r="K160" s="160">
        <f t="shared" si="14"/>
        <v>1.5427380125086865E-4</v>
      </c>
    </row>
    <row r="161" spans="1:11" ht="16.5" customHeight="1">
      <c r="A161" s="161" t="s">
        <v>634</v>
      </c>
      <c r="B161" s="161" t="s">
        <v>635</v>
      </c>
      <c r="C161" s="162" t="s">
        <v>636</v>
      </c>
      <c r="D161" s="163" t="s">
        <v>637</v>
      </c>
      <c r="E161" s="164" t="s">
        <v>638</v>
      </c>
      <c r="F161" s="165">
        <v>0.185</v>
      </c>
      <c r="G161" s="163" t="s">
        <v>20</v>
      </c>
      <c r="H161" s="164" t="s">
        <v>21</v>
      </c>
      <c r="I161" s="166">
        <f t="shared" si="12"/>
        <v>1.4630288651640963E-4</v>
      </c>
      <c r="J161" s="166">
        <f t="shared" si="13"/>
        <v>1.2563667232597624E-4</v>
      </c>
      <c r="K161" s="166">
        <f t="shared" si="14"/>
        <v>1.2856150104239054E-4</v>
      </c>
    </row>
    <row r="162" spans="1:11" ht="16.5" customHeight="1">
      <c r="A162" s="161" t="s">
        <v>634</v>
      </c>
      <c r="B162" s="161" t="s">
        <v>639</v>
      </c>
      <c r="C162" s="162" t="s">
        <v>640</v>
      </c>
      <c r="D162" s="163" t="s">
        <v>641</v>
      </c>
      <c r="E162" s="164" t="s">
        <v>642</v>
      </c>
      <c r="F162" s="165">
        <v>0.25600000000000001</v>
      </c>
      <c r="G162" s="163" t="s">
        <v>20</v>
      </c>
      <c r="H162" s="164" t="s">
        <v>21</v>
      </c>
      <c r="I162" s="166">
        <f t="shared" si="12"/>
        <v>2.0245156188216686E-4</v>
      </c>
      <c r="J162" s="166">
        <f t="shared" si="13"/>
        <v>1.7385398981324278E-4</v>
      </c>
      <c r="K162" s="166">
        <f t="shared" si="14"/>
        <v>1.7790132036136206E-4</v>
      </c>
    </row>
    <row r="163" spans="1:11" ht="16.5" customHeight="1">
      <c r="A163" s="161" t="s">
        <v>634</v>
      </c>
      <c r="B163" s="161" t="s">
        <v>643</v>
      </c>
      <c r="C163" s="162" t="s">
        <v>644</v>
      </c>
      <c r="D163" s="163" t="s">
        <v>645</v>
      </c>
      <c r="E163" s="164" t="s">
        <v>646</v>
      </c>
      <c r="F163" s="165">
        <v>0.223</v>
      </c>
      <c r="G163" s="163" t="s">
        <v>20</v>
      </c>
      <c r="H163" s="164" t="s">
        <v>21</v>
      </c>
      <c r="I163" s="166">
        <f t="shared" si="12"/>
        <v>1.7635429023329379E-4</v>
      </c>
      <c r="J163" s="166">
        <f t="shared" si="13"/>
        <v>1.5144312393887947E-4</v>
      </c>
      <c r="K163" s="166">
        <f t="shared" si="14"/>
        <v>1.5496872828353023E-4</v>
      </c>
    </row>
    <row r="164" spans="1:11" ht="16.5" customHeight="1">
      <c r="A164" s="161" t="s">
        <v>634</v>
      </c>
      <c r="B164" s="161" t="s">
        <v>647</v>
      </c>
      <c r="C164" s="162" t="s">
        <v>648</v>
      </c>
      <c r="D164" s="163" t="s">
        <v>649</v>
      </c>
      <c r="E164" s="164" t="s">
        <v>650</v>
      </c>
      <c r="F164" s="165">
        <v>8.6999999999999994E-2</v>
      </c>
      <c r="G164" s="163" t="s">
        <v>20</v>
      </c>
      <c r="H164" s="164" t="s">
        <v>21</v>
      </c>
      <c r="I164" s="166">
        <f t="shared" ref="I164:I193" si="15">F164/1264.5</f>
        <v>6.8801897983392636E-5</v>
      </c>
      <c r="J164" s="166">
        <f t="shared" ref="J164:J193" si="16">F164/1472.5</f>
        <v>5.9083191850594225E-5</v>
      </c>
      <c r="K164" s="166">
        <f t="shared" ref="K164:K193" si="17">F164/1439</f>
        <v>6.0458651841556632E-5</v>
      </c>
    </row>
    <row r="165" spans="1:11" ht="16.5" customHeight="1">
      <c r="A165" s="161" t="s">
        <v>634</v>
      </c>
      <c r="B165" s="161" t="s">
        <v>651</v>
      </c>
      <c r="C165" s="162" t="s">
        <v>652</v>
      </c>
      <c r="D165" s="163" t="s">
        <v>653</v>
      </c>
      <c r="E165" s="164" t="s">
        <v>654</v>
      </c>
      <c r="F165" s="165">
        <v>0.21</v>
      </c>
      <c r="G165" s="163" t="s">
        <v>20</v>
      </c>
      <c r="H165" s="164" t="s">
        <v>21</v>
      </c>
      <c r="I165" s="166">
        <f t="shared" si="15"/>
        <v>1.6607354685646501E-4</v>
      </c>
      <c r="J165" s="166">
        <f t="shared" si="16"/>
        <v>1.4261460101867572E-4</v>
      </c>
      <c r="K165" s="166">
        <f t="shared" si="17"/>
        <v>1.4593467685892981E-4</v>
      </c>
    </row>
    <row r="166" spans="1:11" ht="16.5" customHeight="1">
      <c r="A166" s="161" t="s">
        <v>634</v>
      </c>
      <c r="B166" s="161" t="s">
        <v>655</v>
      </c>
      <c r="C166" s="162" t="s">
        <v>656</v>
      </c>
      <c r="D166" s="163" t="s">
        <v>657</v>
      </c>
      <c r="E166" s="164" t="s">
        <v>658</v>
      </c>
      <c r="F166" s="165">
        <v>0.22800000000000001</v>
      </c>
      <c r="G166" s="163" t="s">
        <v>20</v>
      </c>
      <c r="H166" s="164" t="s">
        <v>21</v>
      </c>
      <c r="I166" s="166">
        <f t="shared" si="15"/>
        <v>1.8030842230130488E-4</v>
      </c>
      <c r="J166" s="166">
        <f t="shared" si="16"/>
        <v>1.5483870967741937E-4</v>
      </c>
      <c r="K166" s="166">
        <f t="shared" si="17"/>
        <v>1.5844336344683808E-4</v>
      </c>
    </row>
    <row r="167" spans="1:11" ht="16.5" customHeight="1">
      <c r="A167" s="161" t="s">
        <v>634</v>
      </c>
      <c r="B167" s="161" t="s">
        <v>659</v>
      </c>
      <c r="C167" s="162" t="s">
        <v>660</v>
      </c>
      <c r="D167" s="163" t="s">
        <v>661</v>
      </c>
      <c r="E167" s="164" t="s">
        <v>662</v>
      </c>
      <c r="F167" s="165">
        <v>0.185</v>
      </c>
      <c r="G167" s="163" t="s">
        <v>20</v>
      </c>
      <c r="H167" s="164" t="s">
        <v>21</v>
      </c>
      <c r="I167" s="166">
        <f t="shared" si="15"/>
        <v>1.4630288651640963E-4</v>
      </c>
      <c r="J167" s="166">
        <f t="shared" si="16"/>
        <v>1.2563667232597624E-4</v>
      </c>
      <c r="K167" s="166">
        <f t="shared" si="17"/>
        <v>1.2856150104239054E-4</v>
      </c>
    </row>
    <row r="168" spans="1:11" ht="16.5" customHeight="1">
      <c r="A168" s="161" t="s">
        <v>634</v>
      </c>
      <c r="B168" s="161" t="s">
        <v>663</v>
      </c>
      <c r="C168" s="162" t="s">
        <v>664</v>
      </c>
      <c r="D168" s="163" t="s">
        <v>665</v>
      </c>
      <c r="E168" s="164" t="s">
        <v>666</v>
      </c>
      <c r="F168" s="165">
        <v>0.15</v>
      </c>
      <c r="G168" s="163" t="s">
        <v>20</v>
      </c>
      <c r="H168" s="164" t="s">
        <v>21</v>
      </c>
      <c r="I168" s="166">
        <f t="shared" si="15"/>
        <v>1.1862396204033214E-4</v>
      </c>
      <c r="J168" s="166">
        <f t="shared" si="16"/>
        <v>1.0186757215619694E-4</v>
      </c>
      <c r="K168" s="166">
        <f t="shared" si="17"/>
        <v>1.0423905489923558E-4</v>
      </c>
    </row>
    <row r="169" spans="1:11" ht="16.5" customHeight="1">
      <c r="A169" s="161" t="s">
        <v>634</v>
      </c>
      <c r="B169" s="161" t="s">
        <v>667</v>
      </c>
      <c r="C169" s="162" t="s">
        <v>668</v>
      </c>
      <c r="D169" s="163" t="s">
        <v>669</v>
      </c>
      <c r="E169" s="164" t="s">
        <v>670</v>
      </c>
      <c r="F169" s="165">
        <v>0.184</v>
      </c>
      <c r="G169" s="163" t="s">
        <v>20</v>
      </c>
      <c r="H169" s="164" t="s">
        <v>21</v>
      </c>
      <c r="I169" s="166">
        <f t="shared" si="15"/>
        <v>1.4551206010280743E-4</v>
      </c>
      <c r="J169" s="166">
        <f t="shared" si="16"/>
        <v>1.2495755517826824E-4</v>
      </c>
      <c r="K169" s="166">
        <f t="shared" si="17"/>
        <v>1.2786657400972899E-4</v>
      </c>
    </row>
    <row r="170" spans="1:11" ht="16.5" customHeight="1">
      <c r="A170" s="161" t="s">
        <v>634</v>
      </c>
      <c r="B170" s="161" t="s">
        <v>671</v>
      </c>
      <c r="C170" s="162" t="s">
        <v>672</v>
      </c>
      <c r="D170" s="163" t="s">
        <v>673</v>
      </c>
      <c r="E170" s="164" t="s">
        <v>674</v>
      </c>
      <c r="F170" s="165">
        <v>0.20100000000000001</v>
      </c>
      <c r="G170" s="163" t="s">
        <v>20</v>
      </c>
      <c r="H170" s="164" t="s">
        <v>21</v>
      </c>
      <c r="I170" s="166">
        <f t="shared" si="15"/>
        <v>1.5895610913404509E-4</v>
      </c>
      <c r="J170" s="166">
        <f t="shared" si="16"/>
        <v>1.3650254668930392E-4</v>
      </c>
      <c r="K170" s="166">
        <f t="shared" si="17"/>
        <v>1.3968033356497568E-4</v>
      </c>
    </row>
    <row r="171" spans="1:11" ht="16.5" customHeight="1">
      <c r="A171" s="161" t="s">
        <v>634</v>
      </c>
      <c r="B171" s="161" t="s">
        <v>675</v>
      </c>
      <c r="C171" s="162" t="s">
        <v>676</v>
      </c>
      <c r="D171" s="163" t="s">
        <v>677</v>
      </c>
      <c r="E171" s="164" t="s">
        <v>678</v>
      </c>
      <c r="F171" s="165">
        <v>0.17699999999999999</v>
      </c>
      <c r="G171" s="163" t="s">
        <v>20</v>
      </c>
      <c r="H171" s="164" t="s">
        <v>21</v>
      </c>
      <c r="I171" s="166">
        <f t="shared" si="15"/>
        <v>1.3997627520759192E-4</v>
      </c>
      <c r="J171" s="166">
        <f t="shared" si="16"/>
        <v>1.2020373514431238E-4</v>
      </c>
      <c r="K171" s="166">
        <f t="shared" si="17"/>
        <v>1.2300208478109798E-4</v>
      </c>
    </row>
    <row r="172" spans="1:11" ht="16.5" customHeight="1">
      <c r="A172" s="161" t="s">
        <v>634</v>
      </c>
      <c r="B172" s="161" t="s">
        <v>679</v>
      </c>
      <c r="C172" s="162" t="s">
        <v>680</v>
      </c>
      <c r="D172" s="163" t="s">
        <v>681</v>
      </c>
      <c r="E172" s="164" t="s">
        <v>682</v>
      </c>
      <c r="F172" s="165">
        <v>0.25600000000000001</v>
      </c>
      <c r="G172" s="163" t="s">
        <v>20</v>
      </c>
      <c r="H172" s="164" t="s">
        <v>21</v>
      </c>
      <c r="I172" s="166">
        <f t="shared" si="15"/>
        <v>2.0245156188216686E-4</v>
      </c>
      <c r="J172" s="166">
        <f t="shared" si="16"/>
        <v>1.7385398981324278E-4</v>
      </c>
      <c r="K172" s="166">
        <f t="shared" si="17"/>
        <v>1.7790132036136206E-4</v>
      </c>
    </row>
    <row r="173" spans="1:11" ht="16.5" customHeight="1">
      <c r="A173" s="161" t="s">
        <v>634</v>
      </c>
      <c r="B173" s="161" t="s">
        <v>683</v>
      </c>
      <c r="C173" s="162" t="s">
        <v>684</v>
      </c>
      <c r="D173" s="163" t="s">
        <v>685</v>
      </c>
      <c r="E173" s="164" t="s">
        <v>686</v>
      </c>
      <c r="F173" s="165">
        <v>0.249</v>
      </c>
      <c r="G173" s="163" t="s">
        <v>20</v>
      </c>
      <c r="H173" s="164" t="s">
        <v>21</v>
      </c>
      <c r="I173" s="166">
        <f t="shared" si="15"/>
        <v>1.9691577698695138E-4</v>
      </c>
      <c r="J173" s="166">
        <f t="shared" si="16"/>
        <v>1.6910016977928692E-4</v>
      </c>
      <c r="K173" s="166">
        <f t="shared" si="17"/>
        <v>1.7303683113273105E-4</v>
      </c>
    </row>
    <row r="174" spans="1:11" ht="16.5" customHeight="1">
      <c r="A174" s="161" t="s">
        <v>634</v>
      </c>
      <c r="B174" s="161" t="s">
        <v>687</v>
      </c>
      <c r="C174" s="162" t="s">
        <v>688</v>
      </c>
      <c r="D174" s="163" t="s">
        <v>689</v>
      </c>
      <c r="E174" s="164" t="s">
        <v>690</v>
      </c>
      <c r="F174" s="165">
        <v>0.13600000000000001</v>
      </c>
      <c r="G174" s="163" t="s">
        <v>20</v>
      </c>
      <c r="H174" s="164" t="s">
        <v>21</v>
      </c>
      <c r="I174" s="166">
        <f t="shared" si="15"/>
        <v>1.0755239224990116E-4</v>
      </c>
      <c r="J174" s="166">
        <f t="shared" si="16"/>
        <v>9.2359932088285232E-5</v>
      </c>
      <c r="K174" s="166">
        <f t="shared" si="17"/>
        <v>9.4510076441973602E-5</v>
      </c>
    </row>
    <row r="175" spans="1:11" ht="16.5" customHeight="1">
      <c r="A175" s="167" t="s">
        <v>691</v>
      </c>
      <c r="B175" s="167" t="s">
        <v>692</v>
      </c>
      <c r="C175" s="168" t="s">
        <v>693</v>
      </c>
      <c r="D175" s="169" t="s">
        <v>694</v>
      </c>
      <c r="E175" s="170" t="s">
        <v>695</v>
      </c>
      <c r="F175" s="171">
        <v>0.14000000000000001</v>
      </c>
      <c r="G175" s="169" t="s">
        <v>20</v>
      </c>
      <c r="H175" s="170" t="s">
        <v>21</v>
      </c>
      <c r="I175" s="172">
        <f t="shared" si="15"/>
        <v>1.1071569790431001E-4</v>
      </c>
      <c r="J175" s="172">
        <f t="shared" si="16"/>
        <v>9.5076400679117159E-5</v>
      </c>
      <c r="K175" s="172">
        <f t="shared" si="17"/>
        <v>9.7289784572619881E-5</v>
      </c>
    </row>
    <row r="176" spans="1:11" ht="16.5" customHeight="1">
      <c r="A176" s="167" t="s">
        <v>691</v>
      </c>
      <c r="B176" s="167" t="s">
        <v>696</v>
      </c>
      <c r="C176" s="168" t="s">
        <v>697</v>
      </c>
      <c r="D176" s="169" t="s">
        <v>698</v>
      </c>
      <c r="E176" s="170" t="s">
        <v>699</v>
      </c>
      <c r="F176" s="171">
        <v>9.9000000000000005E-2</v>
      </c>
      <c r="G176" s="169" t="s">
        <v>20</v>
      </c>
      <c r="H176" s="170" t="s">
        <v>21</v>
      </c>
      <c r="I176" s="172">
        <f t="shared" si="15"/>
        <v>7.829181494661922E-5</v>
      </c>
      <c r="J176" s="172">
        <f t="shared" si="16"/>
        <v>6.7232597623089981E-5</v>
      </c>
      <c r="K176" s="172">
        <f t="shared" si="17"/>
        <v>6.8797776233495489E-5</v>
      </c>
    </row>
    <row r="177" spans="1:11" ht="16.5" customHeight="1">
      <c r="A177" s="173" t="s">
        <v>700</v>
      </c>
      <c r="B177" s="173" t="s">
        <v>701</v>
      </c>
      <c r="C177" s="174" t="s">
        <v>702</v>
      </c>
      <c r="D177" s="175" t="s">
        <v>703</v>
      </c>
      <c r="E177" s="176" t="s">
        <v>704</v>
      </c>
      <c r="F177" s="177">
        <v>3.9239999999999999</v>
      </c>
      <c r="G177" s="175" t="s">
        <v>20</v>
      </c>
      <c r="H177" s="176" t="s">
        <v>21</v>
      </c>
      <c r="I177" s="178">
        <f t="shared" si="15"/>
        <v>3.1032028469750888E-3</v>
      </c>
      <c r="J177" s="178">
        <f t="shared" si="16"/>
        <v>2.6648556876061121E-3</v>
      </c>
      <c r="K177" s="178">
        <f t="shared" si="17"/>
        <v>2.7268936761640026E-3</v>
      </c>
    </row>
    <row r="178" spans="1:11" ht="16.5" customHeight="1">
      <c r="A178" s="173" t="s">
        <v>700</v>
      </c>
      <c r="B178" s="173" t="s">
        <v>705</v>
      </c>
      <c r="C178" s="174" t="s">
        <v>706</v>
      </c>
      <c r="D178" s="175" t="s">
        <v>18</v>
      </c>
      <c r="E178" s="176" t="s">
        <v>19</v>
      </c>
      <c r="F178" s="177">
        <v>0.78700000000000003</v>
      </c>
      <c r="G178" s="175" t="s">
        <v>20</v>
      </c>
      <c r="H178" s="176" t="s">
        <v>21</v>
      </c>
      <c r="I178" s="178">
        <f t="shared" si="15"/>
        <v>6.223803875049427E-4</v>
      </c>
      <c r="J178" s="178">
        <f t="shared" si="16"/>
        <v>5.3446519524618004E-4</v>
      </c>
      <c r="K178" s="178">
        <f t="shared" si="17"/>
        <v>5.4690757470465606E-4</v>
      </c>
    </row>
    <row r="179" spans="1:11" ht="16.5" customHeight="1">
      <c r="A179" s="173" t="s">
        <v>700</v>
      </c>
      <c r="B179" s="173" t="s">
        <v>707</v>
      </c>
      <c r="C179" s="174" t="s">
        <v>708</v>
      </c>
      <c r="D179" s="175" t="s">
        <v>225</v>
      </c>
      <c r="E179" s="176" t="s">
        <v>226</v>
      </c>
      <c r="F179" s="177">
        <v>0.27100000000000002</v>
      </c>
      <c r="G179" s="175" t="s">
        <v>20</v>
      </c>
      <c r="H179" s="176" t="s">
        <v>21</v>
      </c>
      <c r="I179" s="178">
        <f t="shared" si="15"/>
        <v>2.143139580862001E-4</v>
      </c>
      <c r="J179" s="178">
        <f t="shared" si="16"/>
        <v>1.840407470288625E-4</v>
      </c>
      <c r="K179" s="178">
        <f t="shared" si="17"/>
        <v>1.8832522585128563E-4</v>
      </c>
    </row>
    <row r="180" spans="1:11" ht="16.5" customHeight="1">
      <c r="A180" s="173" t="s">
        <v>700</v>
      </c>
      <c r="B180" s="173" t="s">
        <v>709</v>
      </c>
      <c r="C180" s="174" t="s">
        <v>710</v>
      </c>
      <c r="D180" s="175" t="s">
        <v>711</v>
      </c>
      <c r="E180" s="176" t="s">
        <v>712</v>
      </c>
      <c r="F180" s="177">
        <v>0.23499999999999999</v>
      </c>
      <c r="G180" s="175" t="s">
        <v>20</v>
      </c>
      <c r="H180" s="176" t="s">
        <v>21</v>
      </c>
      <c r="I180" s="178">
        <f t="shared" si="15"/>
        <v>1.8584420719652036E-4</v>
      </c>
      <c r="J180" s="178">
        <f t="shared" si="16"/>
        <v>1.595925297113752E-4</v>
      </c>
      <c r="K180" s="178">
        <f t="shared" si="17"/>
        <v>1.6330785267546906E-4</v>
      </c>
    </row>
    <row r="181" spans="1:11" ht="16.5" customHeight="1">
      <c r="A181" s="173" t="s">
        <v>700</v>
      </c>
      <c r="B181" s="173" t="s">
        <v>713</v>
      </c>
      <c r="C181" s="174" t="s">
        <v>714</v>
      </c>
      <c r="D181" s="175" t="s">
        <v>715</v>
      </c>
      <c r="E181" s="176" t="s">
        <v>716</v>
      </c>
      <c r="F181" s="177">
        <v>1.121</v>
      </c>
      <c r="G181" s="175" t="s">
        <v>20</v>
      </c>
      <c r="H181" s="176" t="s">
        <v>21</v>
      </c>
      <c r="I181" s="178">
        <f t="shared" si="15"/>
        <v>8.8651640964808223E-4</v>
      </c>
      <c r="J181" s="178">
        <f t="shared" si="16"/>
        <v>7.6129032258064511E-4</v>
      </c>
      <c r="K181" s="178">
        <f t="shared" si="17"/>
        <v>7.790132036136206E-4</v>
      </c>
    </row>
    <row r="182" spans="1:11" ht="16.5" customHeight="1">
      <c r="A182" s="173" t="s">
        <v>700</v>
      </c>
      <c r="B182" s="173" t="s">
        <v>717</v>
      </c>
      <c r="C182" s="174" t="s">
        <v>718</v>
      </c>
      <c r="D182" s="175" t="s">
        <v>719</v>
      </c>
      <c r="E182" s="176" t="s">
        <v>720</v>
      </c>
      <c r="F182" s="177">
        <v>1.623</v>
      </c>
      <c r="G182" s="175" t="s">
        <v>20</v>
      </c>
      <c r="H182" s="176" t="s">
        <v>21</v>
      </c>
      <c r="I182" s="178">
        <f t="shared" si="15"/>
        <v>1.2835112692763939E-3</v>
      </c>
      <c r="J182" s="178">
        <f t="shared" si="16"/>
        <v>1.1022071307300509E-3</v>
      </c>
      <c r="K182" s="178">
        <f t="shared" si="17"/>
        <v>1.127866574009729E-3</v>
      </c>
    </row>
    <row r="183" spans="1:11" ht="16.5" customHeight="1">
      <c r="A183" s="173" t="s">
        <v>700</v>
      </c>
      <c r="B183" s="173" t="s">
        <v>721</v>
      </c>
      <c r="C183" s="174" t="s">
        <v>722</v>
      </c>
      <c r="D183" s="175" t="s">
        <v>723</v>
      </c>
      <c r="E183" s="176" t="s">
        <v>724</v>
      </c>
      <c r="F183" s="177">
        <v>0.60599999999999998</v>
      </c>
      <c r="G183" s="175" t="s">
        <v>20</v>
      </c>
      <c r="H183" s="176" t="s">
        <v>21</v>
      </c>
      <c r="I183" s="178">
        <f t="shared" si="15"/>
        <v>4.7924080664294187E-4</v>
      </c>
      <c r="J183" s="178">
        <f t="shared" si="16"/>
        <v>4.1154499151103562E-4</v>
      </c>
      <c r="K183" s="178">
        <f t="shared" si="17"/>
        <v>4.2112578179291172E-4</v>
      </c>
    </row>
    <row r="184" spans="1:11" ht="16.5" customHeight="1">
      <c r="A184" s="173" t="s">
        <v>700</v>
      </c>
      <c r="B184" s="173" t="s">
        <v>725</v>
      </c>
      <c r="C184" s="174" t="s">
        <v>726</v>
      </c>
      <c r="D184" s="175" t="s">
        <v>727</v>
      </c>
      <c r="E184" s="176" t="s">
        <v>728</v>
      </c>
      <c r="F184" s="177">
        <v>0.32800000000000001</v>
      </c>
      <c r="G184" s="175" t="s">
        <v>20</v>
      </c>
      <c r="H184" s="176" t="s">
        <v>21</v>
      </c>
      <c r="I184" s="178">
        <f t="shared" si="15"/>
        <v>2.5939106366152628E-4</v>
      </c>
      <c r="J184" s="178">
        <f t="shared" si="16"/>
        <v>2.2275042444821732E-4</v>
      </c>
      <c r="K184" s="178">
        <f t="shared" si="17"/>
        <v>2.2793606671299513E-4</v>
      </c>
    </row>
    <row r="185" spans="1:11" ht="16.5" customHeight="1">
      <c r="A185" s="173" t="s">
        <v>700</v>
      </c>
      <c r="B185" s="173" t="s">
        <v>729</v>
      </c>
      <c r="C185" s="174" t="s">
        <v>730</v>
      </c>
      <c r="D185" s="175" t="s">
        <v>731</v>
      </c>
      <c r="E185" s="176" t="s">
        <v>732</v>
      </c>
      <c r="F185" s="177">
        <v>0.60799999999999998</v>
      </c>
      <c r="G185" s="175" t="s">
        <v>20</v>
      </c>
      <c r="H185" s="176" t="s">
        <v>21</v>
      </c>
      <c r="I185" s="178">
        <f t="shared" si="15"/>
        <v>4.8082245947014628E-4</v>
      </c>
      <c r="J185" s="178">
        <f t="shared" si="16"/>
        <v>4.1290322580645161E-4</v>
      </c>
      <c r="K185" s="178">
        <f t="shared" si="17"/>
        <v>4.2251563585823487E-4</v>
      </c>
    </row>
    <row r="186" spans="1:11" ht="16.5" customHeight="1">
      <c r="A186" s="173" t="s">
        <v>700</v>
      </c>
      <c r="B186" s="173" t="s">
        <v>733</v>
      </c>
      <c r="C186" s="174" t="s">
        <v>734</v>
      </c>
      <c r="D186" s="175" t="s">
        <v>735</v>
      </c>
      <c r="E186" s="176" t="s">
        <v>736</v>
      </c>
      <c r="F186" s="177">
        <v>0.154</v>
      </c>
      <c r="G186" s="175" t="s">
        <v>20</v>
      </c>
      <c r="H186" s="176" t="s">
        <v>21</v>
      </c>
      <c r="I186" s="178">
        <f t="shared" si="15"/>
        <v>1.21787267694741E-4</v>
      </c>
      <c r="J186" s="178">
        <f t="shared" si="16"/>
        <v>1.0458404074702887E-4</v>
      </c>
      <c r="K186" s="178">
        <f t="shared" si="17"/>
        <v>1.0701876302988186E-4</v>
      </c>
    </row>
    <row r="187" spans="1:11" ht="16.5" customHeight="1">
      <c r="A187" s="179" t="s">
        <v>737</v>
      </c>
      <c r="B187" s="179" t="s">
        <v>738</v>
      </c>
      <c r="C187" s="180" t="s">
        <v>739</v>
      </c>
      <c r="D187" s="181" t="s">
        <v>740</v>
      </c>
      <c r="E187" s="182" t="s">
        <v>741</v>
      </c>
      <c r="F187" s="183">
        <v>7.4999999999999997E-2</v>
      </c>
      <c r="G187" s="181" t="s">
        <v>20</v>
      </c>
      <c r="H187" s="182" t="s">
        <v>21</v>
      </c>
      <c r="I187" s="184">
        <f t="shared" si="15"/>
        <v>5.9311981020166071E-5</v>
      </c>
      <c r="J187" s="184">
        <f t="shared" si="16"/>
        <v>5.0933786078098469E-5</v>
      </c>
      <c r="K187" s="184">
        <f t="shared" si="17"/>
        <v>5.2119527449617789E-5</v>
      </c>
    </row>
    <row r="188" spans="1:11" ht="16.5" customHeight="1">
      <c r="A188" s="179" t="s">
        <v>737</v>
      </c>
      <c r="B188" s="179" t="s">
        <v>742</v>
      </c>
      <c r="C188" s="180" t="s">
        <v>743</v>
      </c>
      <c r="D188" s="181" t="s">
        <v>744</v>
      </c>
      <c r="E188" s="182" t="s">
        <v>745</v>
      </c>
      <c r="F188" s="183">
        <v>0.30299999999999999</v>
      </c>
      <c r="G188" s="181" t="s">
        <v>20</v>
      </c>
      <c r="H188" s="182" t="s">
        <v>21</v>
      </c>
      <c r="I188" s="184">
        <f t="shared" si="15"/>
        <v>2.3962040332147093E-4</v>
      </c>
      <c r="J188" s="184">
        <f t="shared" si="16"/>
        <v>2.0577249575551781E-4</v>
      </c>
      <c r="K188" s="184">
        <f t="shared" si="17"/>
        <v>2.1056289089645586E-4</v>
      </c>
    </row>
    <row r="189" spans="1:11" ht="16.5" customHeight="1">
      <c r="A189" s="179" t="s">
        <v>737</v>
      </c>
      <c r="B189" s="179" t="s">
        <v>746</v>
      </c>
      <c r="C189" s="180" t="s">
        <v>747</v>
      </c>
      <c r="D189" s="181" t="s">
        <v>748</v>
      </c>
      <c r="E189" s="182" t="s">
        <v>749</v>
      </c>
      <c r="F189" s="183">
        <v>9.6000000000000002E-2</v>
      </c>
      <c r="G189" s="181" t="s">
        <v>20</v>
      </c>
      <c r="H189" s="182" t="s">
        <v>21</v>
      </c>
      <c r="I189" s="184">
        <f t="shared" si="15"/>
        <v>7.5919335705812571E-5</v>
      </c>
      <c r="J189" s="184">
        <f t="shared" si="16"/>
        <v>6.5195246179966049E-5</v>
      </c>
      <c r="K189" s="184">
        <f t="shared" si="17"/>
        <v>6.6712995135510773E-5</v>
      </c>
    </row>
    <row r="190" spans="1:11" ht="16.5" customHeight="1">
      <c r="A190" s="179" t="s">
        <v>737</v>
      </c>
      <c r="B190" s="179" t="s">
        <v>750</v>
      </c>
      <c r="C190" s="180" t="s">
        <v>751</v>
      </c>
      <c r="D190" s="181" t="s">
        <v>752</v>
      </c>
      <c r="E190" s="182" t="s">
        <v>753</v>
      </c>
      <c r="F190" s="183">
        <v>6.7000000000000004E-2</v>
      </c>
      <c r="G190" s="181" t="s">
        <v>20</v>
      </c>
      <c r="H190" s="182" t="s">
        <v>21</v>
      </c>
      <c r="I190" s="184">
        <f t="shared" si="15"/>
        <v>5.2985369711348364E-5</v>
      </c>
      <c r="J190" s="184">
        <f t="shared" si="16"/>
        <v>4.5500848896434641E-5</v>
      </c>
      <c r="K190" s="184">
        <f t="shared" si="17"/>
        <v>4.6560111188325231E-5</v>
      </c>
    </row>
    <row r="191" spans="1:11" ht="16.5" customHeight="1">
      <c r="A191" s="185" t="s">
        <v>754</v>
      </c>
      <c r="B191" s="185" t="s">
        <v>755</v>
      </c>
      <c r="C191" s="186" t="s">
        <v>756</v>
      </c>
      <c r="D191" s="187" t="s">
        <v>757</v>
      </c>
      <c r="E191" s="188" t="s">
        <v>758</v>
      </c>
      <c r="F191" s="189">
        <v>0.111</v>
      </c>
      <c r="G191" s="187" t="s">
        <v>20</v>
      </c>
      <c r="H191" s="188" t="s">
        <v>21</v>
      </c>
      <c r="I191" s="190">
        <f t="shared" si="15"/>
        <v>8.7781731909845792E-5</v>
      </c>
      <c r="J191" s="190">
        <f t="shared" si="16"/>
        <v>7.5382003395585738E-5</v>
      </c>
      <c r="K191" s="190">
        <f t="shared" si="17"/>
        <v>7.7136900625434326E-5</v>
      </c>
    </row>
    <row r="192" spans="1:11" ht="16.5" customHeight="1">
      <c r="A192" s="185" t="s">
        <v>754</v>
      </c>
      <c r="B192" s="185" t="s">
        <v>759</v>
      </c>
      <c r="C192" s="186" t="s">
        <v>760</v>
      </c>
      <c r="D192" s="187" t="s">
        <v>761</v>
      </c>
      <c r="E192" s="188" t="s">
        <v>762</v>
      </c>
      <c r="F192" s="189">
        <v>0.23499999999999999</v>
      </c>
      <c r="G192" s="187" t="s">
        <v>20</v>
      </c>
      <c r="H192" s="188" t="s">
        <v>21</v>
      </c>
      <c r="I192" s="190">
        <f t="shared" si="15"/>
        <v>1.8584420719652036E-4</v>
      </c>
      <c r="J192" s="190">
        <f t="shared" si="16"/>
        <v>1.595925297113752E-4</v>
      </c>
      <c r="K192" s="190">
        <f t="shared" si="17"/>
        <v>1.6330785267546906E-4</v>
      </c>
    </row>
    <row r="193" spans="1:11" ht="16.5" customHeight="1">
      <c r="A193" s="185" t="s">
        <v>754</v>
      </c>
      <c r="B193" s="185" t="s">
        <v>763</v>
      </c>
      <c r="C193" s="186" t="s">
        <v>764</v>
      </c>
      <c r="D193" s="187" t="s">
        <v>765</v>
      </c>
      <c r="E193" s="188" t="s">
        <v>766</v>
      </c>
      <c r="F193" s="189">
        <v>6.7000000000000004E-2</v>
      </c>
      <c r="G193" s="187" t="s">
        <v>20</v>
      </c>
      <c r="H193" s="188" t="s">
        <v>21</v>
      </c>
      <c r="I193" s="190">
        <f t="shared" si="15"/>
        <v>5.2985369711348364E-5</v>
      </c>
      <c r="J193" s="190">
        <f t="shared" si="16"/>
        <v>4.5500848896434641E-5</v>
      </c>
      <c r="K193" s="190">
        <f t="shared" si="17"/>
        <v>4.6560111188325231E-5</v>
      </c>
    </row>
    <row r="194" spans="1:11" ht="16.5" customHeight="1"/>
    <row r="195" spans="1:11" ht="16.5" customHeight="1"/>
    <row r="196" spans="1:11" ht="16.5" customHeight="1"/>
    <row r="197" spans="1:11" ht="16.5" customHeight="1"/>
    <row r="198" spans="1:11" ht="16.5" customHeight="1"/>
    <row r="199" spans="1:11" ht="16.5" customHeight="1"/>
    <row r="200" spans="1:11" ht="16.5" customHeight="1"/>
    <row r="201" spans="1:11" ht="16.5" customHeight="1"/>
    <row r="202" spans="1:11" ht="16.5" customHeight="1"/>
    <row r="203" spans="1:11" ht="16.5" customHeight="1"/>
    <row r="204" spans="1:11" ht="16.5" customHeight="1"/>
    <row r="205" spans="1:11" ht="16.5" customHeight="1"/>
    <row r="206" spans="1:11" ht="16.5" customHeight="1"/>
    <row r="207" spans="1:11" ht="16.5" customHeight="1"/>
    <row r="208" spans="1:11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</sheetData>
  <mergeCells count="4">
    <mergeCell ref="D2:F2"/>
    <mergeCell ref="G2:H2"/>
    <mergeCell ref="A2:C2"/>
    <mergeCell ref="A1:H1"/>
  </mergeCells>
  <phoneticPr fontId="22" type="noConversion"/>
  <pageMargins left="0.75" right="0.75" top="1" bottom="1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90"/>
  <sheetViews>
    <sheetView zoomScaleNormal="100" workbookViewId="0">
      <pane ySplit="3" topLeftCell="A4" activePane="bottomLeft" state="frozen"/>
      <selection pane="bottomLeft" activeCell="B5" sqref="B5"/>
    </sheetView>
  </sheetViews>
  <sheetFormatPr defaultColWidth="14.42578125" defaultRowHeight="15"/>
  <cols>
    <col min="1" max="1" width="12" customWidth="1"/>
    <col min="2" max="2" width="10" customWidth="1"/>
    <col min="3" max="3" width="48" customWidth="1"/>
    <col min="4" max="4" width="26" customWidth="1"/>
    <col min="5" max="5" width="46" customWidth="1"/>
    <col min="6" max="6" width="14" customWidth="1"/>
    <col min="7" max="7" width="30" customWidth="1"/>
    <col min="8" max="10" width="16" customWidth="1"/>
    <col min="11" max="26" width="8.7109375" customWidth="1"/>
  </cols>
  <sheetData>
    <row r="1" spans="1:10" ht="21.75" customHeight="1">
      <c r="A1" s="238" t="s">
        <v>1183</v>
      </c>
      <c r="B1" s="232"/>
      <c r="C1" s="232"/>
      <c r="D1" s="232"/>
      <c r="E1" s="232"/>
      <c r="F1" s="232"/>
      <c r="G1" s="232"/>
      <c r="H1" s="83"/>
      <c r="I1" s="83"/>
      <c r="J1" s="83"/>
    </row>
    <row r="2" spans="1:10" ht="18" customHeight="1">
      <c r="A2" s="242" t="s">
        <v>1184</v>
      </c>
      <c r="B2" s="232"/>
      <c r="C2" s="232"/>
      <c r="D2" s="232"/>
      <c r="E2" s="232"/>
      <c r="F2" s="232"/>
      <c r="G2" s="232"/>
      <c r="H2" s="84"/>
      <c r="I2" s="84"/>
      <c r="J2" s="84"/>
    </row>
    <row r="3" spans="1:10" ht="55.5" customHeight="1">
      <c r="A3" s="2" t="s">
        <v>1185</v>
      </c>
      <c r="B3" s="43" t="s">
        <v>1186</v>
      </c>
      <c r="C3" s="43" t="s">
        <v>1187</v>
      </c>
      <c r="D3" s="2" t="s">
        <v>1188</v>
      </c>
      <c r="E3" s="2" t="s">
        <v>6</v>
      </c>
      <c r="F3" s="5" t="s">
        <v>1189</v>
      </c>
      <c r="G3" s="44" t="s">
        <v>11</v>
      </c>
      <c r="H3" s="86" t="s">
        <v>12</v>
      </c>
      <c r="I3" s="87" t="s">
        <v>13</v>
      </c>
      <c r="J3" s="88" t="s">
        <v>14</v>
      </c>
    </row>
    <row r="4" spans="1:10" ht="16.5" customHeight="1">
      <c r="A4" s="45" t="s">
        <v>827</v>
      </c>
      <c r="B4" s="47" t="s">
        <v>1190</v>
      </c>
      <c r="C4" s="46" t="s">
        <v>1191</v>
      </c>
      <c r="D4" s="48" t="s">
        <v>1192</v>
      </c>
      <c r="E4" s="48" t="s">
        <v>1193</v>
      </c>
      <c r="F4" s="191">
        <v>2.1629999999999998</v>
      </c>
      <c r="G4" s="48" t="s">
        <v>1194</v>
      </c>
      <c r="H4" s="192">
        <f t="shared" ref="H4:H20" si="0">$F4/1264.5</f>
        <v>1.7105575326215893E-3</v>
      </c>
      <c r="I4" s="193">
        <f t="shared" ref="I4:I20" si="1">F4/1472.5</f>
        <v>1.4689303904923598E-3</v>
      </c>
      <c r="J4" s="194">
        <f t="shared" ref="J4:J20" si="2">F4/1439</f>
        <v>1.5031271716469769E-3</v>
      </c>
    </row>
    <row r="5" spans="1:10" ht="16.5" customHeight="1">
      <c r="A5" s="45" t="s">
        <v>827</v>
      </c>
      <c r="B5" s="47" t="s">
        <v>1195</v>
      </c>
      <c r="C5" s="46" t="s">
        <v>1196</v>
      </c>
      <c r="D5" s="48" t="s">
        <v>1197</v>
      </c>
      <c r="E5" s="48" t="s">
        <v>1198</v>
      </c>
      <c r="F5" s="191">
        <v>2.1629999999999998</v>
      </c>
      <c r="G5" s="48" t="s">
        <v>1199</v>
      </c>
      <c r="H5" s="192">
        <f t="shared" si="0"/>
        <v>1.7105575326215893E-3</v>
      </c>
      <c r="I5" s="193">
        <f t="shared" si="1"/>
        <v>1.4689303904923598E-3</v>
      </c>
      <c r="J5" s="194">
        <f t="shared" si="2"/>
        <v>1.5031271716469769E-3</v>
      </c>
    </row>
    <row r="6" spans="1:10" ht="16.5" customHeight="1">
      <c r="A6" s="45" t="s">
        <v>827</v>
      </c>
      <c r="B6" s="47" t="s">
        <v>1200</v>
      </c>
      <c r="C6" s="46" t="s">
        <v>1201</v>
      </c>
      <c r="D6" s="48" t="s">
        <v>1202</v>
      </c>
      <c r="E6" s="48" t="s">
        <v>1203</v>
      </c>
      <c r="F6" s="191">
        <v>2.1629999999999998</v>
      </c>
      <c r="G6" s="48"/>
      <c r="H6" s="192">
        <f t="shared" si="0"/>
        <v>1.7105575326215893E-3</v>
      </c>
      <c r="I6" s="193">
        <f t="shared" si="1"/>
        <v>1.4689303904923598E-3</v>
      </c>
      <c r="J6" s="194">
        <f t="shared" si="2"/>
        <v>1.5031271716469769E-3</v>
      </c>
    </row>
    <row r="7" spans="1:10" ht="16.5" customHeight="1">
      <c r="A7" s="6" t="s">
        <v>820</v>
      </c>
      <c r="B7" s="8" t="s">
        <v>1204</v>
      </c>
      <c r="C7" s="14" t="s">
        <v>1205</v>
      </c>
      <c r="D7" s="7" t="s">
        <v>1206</v>
      </c>
      <c r="E7" s="7" t="s">
        <v>1207</v>
      </c>
      <c r="F7" s="195">
        <v>0.36499999999999999</v>
      </c>
      <c r="G7" s="7"/>
      <c r="H7" s="192">
        <f t="shared" si="0"/>
        <v>2.8865164096480821E-4</v>
      </c>
      <c r="I7" s="193">
        <f t="shared" si="1"/>
        <v>2.4787775891341255E-4</v>
      </c>
      <c r="J7" s="194">
        <f t="shared" si="2"/>
        <v>2.5364836692147322E-4</v>
      </c>
    </row>
    <row r="8" spans="1:10" ht="16.5" customHeight="1">
      <c r="A8" s="6" t="s">
        <v>820</v>
      </c>
      <c r="B8" s="8" t="s">
        <v>1208</v>
      </c>
      <c r="C8" s="14" t="s">
        <v>1209</v>
      </c>
      <c r="D8" s="7" t="s">
        <v>1210</v>
      </c>
      <c r="E8" s="7" t="s">
        <v>1211</v>
      </c>
      <c r="F8" s="195">
        <v>0.36499999999999999</v>
      </c>
      <c r="G8" s="7"/>
      <c r="H8" s="192">
        <f t="shared" si="0"/>
        <v>2.8865164096480821E-4</v>
      </c>
      <c r="I8" s="193">
        <f t="shared" si="1"/>
        <v>2.4787775891341255E-4</v>
      </c>
      <c r="J8" s="194">
        <f t="shared" si="2"/>
        <v>2.5364836692147322E-4</v>
      </c>
    </row>
    <row r="9" spans="1:10" ht="16.5" customHeight="1">
      <c r="A9" s="196" t="s">
        <v>823</v>
      </c>
      <c r="B9" s="197" t="s">
        <v>1212</v>
      </c>
      <c r="C9" s="198" t="s">
        <v>1213</v>
      </c>
      <c r="D9" s="199" t="s">
        <v>1214</v>
      </c>
      <c r="E9" s="199" t="s">
        <v>1215</v>
      </c>
      <c r="F9" s="200">
        <v>0.47199999999999998</v>
      </c>
      <c r="G9" s="199" t="s">
        <v>1216</v>
      </c>
      <c r="H9" s="192">
        <f t="shared" si="0"/>
        <v>3.7327006722024514E-4</v>
      </c>
      <c r="I9" s="193">
        <f t="shared" si="1"/>
        <v>3.2054329371816639E-4</v>
      </c>
      <c r="J9" s="194">
        <f t="shared" si="2"/>
        <v>3.2800555941626128E-4</v>
      </c>
    </row>
    <row r="10" spans="1:10" ht="16.5" customHeight="1">
      <c r="A10" s="196" t="s">
        <v>823</v>
      </c>
      <c r="B10" s="197" t="s">
        <v>1217</v>
      </c>
      <c r="C10" s="198" t="s">
        <v>1218</v>
      </c>
      <c r="D10" s="199" t="s">
        <v>1219</v>
      </c>
      <c r="E10" s="199" t="s">
        <v>1220</v>
      </c>
      <c r="F10" s="200">
        <v>0.47199999999999998</v>
      </c>
      <c r="G10" s="199"/>
      <c r="H10" s="192">
        <f t="shared" si="0"/>
        <v>3.7327006722024514E-4</v>
      </c>
      <c r="I10" s="193">
        <f t="shared" si="1"/>
        <v>3.2054329371816639E-4</v>
      </c>
      <c r="J10" s="194">
        <f t="shared" si="2"/>
        <v>3.2800555941626128E-4</v>
      </c>
    </row>
    <row r="11" spans="1:10" ht="16.5" customHeight="1">
      <c r="A11" s="20" t="s">
        <v>813</v>
      </c>
      <c r="B11" s="22" t="s">
        <v>1221</v>
      </c>
      <c r="C11" s="201" t="s">
        <v>1222</v>
      </c>
      <c r="D11" s="21" t="s">
        <v>1223</v>
      </c>
      <c r="E11" s="21" t="s">
        <v>1224</v>
      </c>
      <c r="F11" s="202">
        <v>1.056</v>
      </c>
      <c r="G11" s="21" t="s">
        <v>1225</v>
      </c>
      <c r="H11" s="192">
        <f t="shared" si="0"/>
        <v>8.3511269276393839E-4</v>
      </c>
      <c r="I11" s="193">
        <f t="shared" si="1"/>
        <v>7.1714770797962654E-4</v>
      </c>
      <c r="J11" s="194">
        <f t="shared" si="2"/>
        <v>7.3384294649061848E-4</v>
      </c>
    </row>
    <row r="12" spans="1:10" ht="16.5" customHeight="1">
      <c r="A12" s="20" t="s">
        <v>813</v>
      </c>
      <c r="B12" s="22" t="s">
        <v>1226</v>
      </c>
      <c r="C12" s="201" t="s">
        <v>1227</v>
      </c>
      <c r="D12" s="21" t="s">
        <v>1228</v>
      </c>
      <c r="E12" s="21" t="s">
        <v>1229</v>
      </c>
      <c r="F12" s="202">
        <v>1.056</v>
      </c>
      <c r="G12" s="21"/>
      <c r="H12" s="192">
        <f t="shared" si="0"/>
        <v>8.3511269276393839E-4</v>
      </c>
      <c r="I12" s="193">
        <f t="shared" si="1"/>
        <v>7.1714770797962654E-4</v>
      </c>
      <c r="J12" s="194">
        <f t="shared" si="2"/>
        <v>7.3384294649061848E-4</v>
      </c>
    </row>
    <row r="13" spans="1:10" ht="16.5" customHeight="1">
      <c r="A13" s="20" t="s">
        <v>813</v>
      </c>
      <c r="B13" s="22" t="s">
        <v>1230</v>
      </c>
      <c r="C13" s="201" t="s">
        <v>1231</v>
      </c>
      <c r="D13" s="21" t="s">
        <v>1232</v>
      </c>
      <c r="E13" s="21" t="s">
        <v>1233</v>
      </c>
      <c r="F13" s="202">
        <v>1.056</v>
      </c>
      <c r="G13" s="21"/>
      <c r="H13" s="192">
        <f t="shared" si="0"/>
        <v>8.3511269276393839E-4</v>
      </c>
      <c r="I13" s="193">
        <f t="shared" si="1"/>
        <v>7.1714770797962654E-4</v>
      </c>
      <c r="J13" s="194">
        <f t="shared" si="2"/>
        <v>7.3384294649061848E-4</v>
      </c>
    </row>
    <row r="14" spans="1:10" ht="16.5" customHeight="1">
      <c r="A14" s="50" t="s">
        <v>1234</v>
      </c>
      <c r="B14" s="52" t="s">
        <v>1235</v>
      </c>
      <c r="C14" s="51" t="s">
        <v>1236</v>
      </c>
      <c r="D14" s="53" t="s">
        <v>1237</v>
      </c>
      <c r="E14" s="53" t="s">
        <v>1238</v>
      </c>
      <c r="F14" s="203">
        <v>0.52400000000000002</v>
      </c>
      <c r="G14" s="53"/>
      <c r="H14" s="192">
        <f t="shared" si="0"/>
        <v>4.1439304072756031E-4</v>
      </c>
      <c r="I14" s="193">
        <f t="shared" si="1"/>
        <v>3.5585738539898134E-4</v>
      </c>
      <c r="J14" s="194">
        <f t="shared" si="2"/>
        <v>3.6414176511466299E-4</v>
      </c>
    </row>
    <row r="15" spans="1:10" ht="16.5" customHeight="1">
      <c r="A15" s="50" t="s">
        <v>1234</v>
      </c>
      <c r="B15" s="52" t="s">
        <v>1239</v>
      </c>
      <c r="C15" s="51" t="s">
        <v>1240</v>
      </c>
      <c r="D15" s="53" t="s">
        <v>1241</v>
      </c>
      <c r="E15" s="53" t="s">
        <v>1242</v>
      </c>
      <c r="F15" s="203">
        <v>0.36499999999999999</v>
      </c>
      <c r="G15" s="53"/>
      <c r="H15" s="192">
        <f t="shared" si="0"/>
        <v>2.8865164096480821E-4</v>
      </c>
      <c r="I15" s="193">
        <f t="shared" si="1"/>
        <v>2.4787775891341255E-4</v>
      </c>
      <c r="J15" s="194">
        <f t="shared" si="2"/>
        <v>2.5364836692147322E-4</v>
      </c>
    </row>
    <row r="16" spans="1:10" ht="16.5" customHeight="1">
      <c r="A16" s="50" t="s">
        <v>1234</v>
      </c>
      <c r="B16" s="52" t="s">
        <v>1243</v>
      </c>
      <c r="C16" s="51" t="s">
        <v>1244</v>
      </c>
      <c r="D16" s="53" t="s">
        <v>1245</v>
      </c>
      <c r="E16" s="53" t="s">
        <v>1246</v>
      </c>
      <c r="F16" s="203">
        <v>0.61799999999999999</v>
      </c>
      <c r="G16" s="53"/>
      <c r="H16" s="192">
        <f t="shared" si="0"/>
        <v>4.8873072360616841E-4</v>
      </c>
      <c r="I16" s="193">
        <f t="shared" si="1"/>
        <v>4.196943972835314E-4</v>
      </c>
      <c r="J16" s="194">
        <f t="shared" si="2"/>
        <v>4.2946490618485058E-4</v>
      </c>
    </row>
    <row r="17" spans="1:10" ht="16.5" customHeight="1">
      <c r="A17" s="66" t="s">
        <v>1247</v>
      </c>
      <c r="B17" s="67" t="s">
        <v>1248</v>
      </c>
      <c r="C17" s="204" t="s">
        <v>1249</v>
      </c>
      <c r="D17" s="69" t="s">
        <v>1250</v>
      </c>
      <c r="E17" s="69" t="s">
        <v>1251</v>
      </c>
      <c r="F17" s="205">
        <v>1.2869999999999999</v>
      </c>
      <c r="G17" s="69"/>
      <c r="H17" s="192">
        <f t="shared" si="0"/>
        <v>1.0177935943060498E-3</v>
      </c>
      <c r="I17" s="193">
        <f t="shared" si="1"/>
        <v>8.7402376910016976E-4</v>
      </c>
      <c r="J17" s="194">
        <f t="shared" si="2"/>
        <v>8.9437109103544126E-4</v>
      </c>
    </row>
    <row r="18" spans="1:10" ht="16.5" customHeight="1">
      <c r="A18" s="66" t="s">
        <v>1247</v>
      </c>
      <c r="B18" s="67" t="s">
        <v>1252</v>
      </c>
      <c r="C18" s="204" t="s">
        <v>1253</v>
      </c>
      <c r="D18" s="69" t="s">
        <v>1254</v>
      </c>
      <c r="E18" s="69" t="s">
        <v>1255</v>
      </c>
      <c r="F18" s="205">
        <v>1.2869999999999999</v>
      </c>
      <c r="G18" s="69"/>
      <c r="H18" s="192">
        <f t="shared" si="0"/>
        <v>1.0177935943060498E-3</v>
      </c>
      <c r="I18" s="193">
        <f t="shared" si="1"/>
        <v>8.7402376910016976E-4</v>
      </c>
      <c r="J18" s="194">
        <f t="shared" si="2"/>
        <v>8.9437109103544126E-4</v>
      </c>
    </row>
    <row r="19" spans="1:10" ht="16.5" customHeight="1">
      <c r="A19" s="66" t="s">
        <v>1247</v>
      </c>
      <c r="B19" s="67" t="s">
        <v>1256</v>
      </c>
      <c r="C19" s="204" t="s">
        <v>1257</v>
      </c>
      <c r="D19" s="69" t="s">
        <v>1258</v>
      </c>
      <c r="E19" s="69" t="s">
        <v>1259</v>
      </c>
      <c r="F19" s="205">
        <v>0.61799999999999999</v>
      </c>
      <c r="G19" s="69"/>
      <c r="H19" s="192">
        <f t="shared" si="0"/>
        <v>4.8873072360616841E-4</v>
      </c>
      <c r="I19" s="193">
        <f t="shared" si="1"/>
        <v>4.196943972835314E-4</v>
      </c>
      <c r="J19" s="194">
        <f t="shared" si="2"/>
        <v>4.2946490618485058E-4</v>
      </c>
    </row>
    <row r="20" spans="1:10" ht="16.5" customHeight="1">
      <c r="A20" s="66" t="s">
        <v>1247</v>
      </c>
      <c r="B20" s="67" t="s">
        <v>1260</v>
      </c>
      <c r="C20" s="204" t="s">
        <v>1261</v>
      </c>
      <c r="D20" s="69" t="s">
        <v>1262</v>
      </c>
      <c r="E20" s="69" t="s">
        <v>1263</v>
      </c>
      <c r="F20" s="205">
        <v>0.61799999999999999</v>
      </c>
      <c r="G20" s="69"/>
      <c r="H20" s="192">
        <f t="shared" si="0"/>
        <v>4.8873072360616841E-4</v>
      </c>
      <c r="I20" s="193">
        <f t="shared" si="1"/>
        <v>4.196943972835314E-4</v>
      </c>
      <c r="J20" s="194">
        <f t="shared" si="2"/>
        <v>4.2946490618485058E-4</v>
      </c>
    </row>
    <row r="21" spans="1:10" ht="16.5" customHeight="1"/>
    <row r="22" spans="1:10" ht="16.5" customHeight="1"/>
    <row r="23" spans="1:10" ht="16.5" customHeight="1"/>
    <row r="24" spans="1:10" ht="16.5" customHeight="1"/>
    <row r="25" spans="1:10" ht="16.5" customHeight="1"/>
    <row r="26" spans="1:10" ht="16.5" customHeight="1"/>
    <row r="27" spans="1:10" ht="16.5" customHeight="1"/>
    <row r="28" spans="1:10" ht="16.5" customHeight="1"/>
    <row r="29" spans="1:10" ht="16.5" customHeight="1"/>
    <row r="30" spans="1:10" ht="16.5" customHeight="1"/>
    <row r="31" spans="1:10" ht="16.5" customHeight="1"/>
    <row r="32" spans="1:10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</sheetData>
  <mergeCells count="2">
    <mergeCell ref="A2:G2"/>
    <mergeCell ref="A1:G1"/>
  </mergeCells>
  <phoneticPr fontId="22" type="noConversion"/>
  <pageMargins left="0.75" right="0.75" top="1" bottom="1" header="0.511811023622047" footer="0.511811023622047"/>
  <pageSetup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997"/>
  <sheetViews>
    <sheetView zoomScaleNormal="100" workbookViewId="0">
      <pane ySplit="3" topLeftCell="A4" activePane="bottomLeft" state="frozen"/>
      <selection pane="bottomLeft" activeCell="B5" sqref="B5"/>
    </sheetView>
  </sheetViews>
  <sheetFormatPr defaultColWidth="14.42578125" defaultRowHeight="15"/>
  <cols>
    <col min="1" max="1" width="12" customWidth="1"/>
    <col min="2" max="2" width="10" customWidth="1"/>
    <col min="3" max="3" width="48" customWidth="1"/>
    <col min="4" max="4" width="28" customWidth="1"/>
    <col min="5" max="5" width="48" customWidth="1"/>
    <col min="6" max="6" width="14" customWidth="1"/>
    <col min="7" max="7" width="45" customWidth="1"/>
    <col min="8" max="10" width="16" customWidth="1"/>
    <col min="11" max="26" width="8.7109375" customWidth="1"/>
  </cols>
  <sheetData>
    <row r="1" spans="1:10" ht="21.75" customHeight="1">
      <c r="A1" s="238" t="s">
        <v>1264</v>
      </c>
      <c r="B1" s="232"/>
      <c r="C1" s="232"/>
      <c r="D1" s="232"/>
      <c r="E1" s="232"/>
      <c r="F1" s="232"/>
      <c r="G1" s="232"/>
      <c r="H1" s="83"/>
      <c r="I1" s="83"/>
      <c r="J1" s="83"/>
    </row>
    <row r="2" spans="1:10" ht="18" customHeight="1">
      <c r="A2" s="242" t="s">
        <v>1265</v>
      </c>
      <c r="B2" s="232"/>
      <c r="C2" s="232"/>
      <c r="D2" s="232"/>
      <c r="E2" s="232"/>
      <c r="F2" s="232"/>
      <c r="G2" s="232"/>
      <c r="H2" s="84"/>
      <c r="I2" s="84"/>
      <c r="J2" s="84"/>
    </row>
    <row r="3" spans="1:10" ht="55.5" customHeight="1">
      <c r="A3" s="2" t="s">
        <v>1266</v>
      </c>
      <c r="B3" s="43" t="s">
        <v>1186</v>
      </c>
      <c r="C3" s="43" t="s">
        <v>1187</v>
      </c>
      <c r="D3" s="2" t="s">
        <v>1188</v>
      </c>
      <c r="E3" s="2" t="s">
        <v>6</v>
      </c>
      <c r="F3" s="5" t="s">
        <v>1189</v>
      </c>
      <c r="G3" s="44" t="s">
        <v>11</v>
      </c>
      <c r="H3" s="86" t="s">
        <v>12</v>
      </c>
      <c r="I3" s="87" t="s">
        <v>13</v>
      </c>
      <c r="J3" s="88" t="s">
        <v>14</v>
      </c>
    </row>
    <row r="4" spans="1:10" ht="16.5" customHeight="1">
      <c r="A4" s="45" t="s">
        <v>1267</v>
      </c>
      <c r="B4" s="47" t="s">
        <v>1190</v>
      </c>
      <c r="C4" s="46" t="s">
        <v>1191</v>
      </c>
      <c r="D4" s="48" t="s">
        <v>1268</v>
      </c>
      <c r="E4" s="48" t="s">
        <v>1269</v>
      </c>
      <c r="F4" s="191">
        <v>2.1629999999999998</v>
      </c>
      <c r="G4" s="48" t="s">
        <v>1270</v>
      </c>
      <c r="H4" s="192">
        <f t="shared" ref="H4:H14" si="0">F4/1264.5</f>
        <v>1.7105575326215893E-3</v>
      </c>
      <c r="I4" s="193">
        <f t="shared" ref="I4:I14" si="1">F4/1472.5</f>
        <v>1.4689303904923598E-3</v>
      </c>
      <c r="J4" s="194">
        <f t="shared" ref="J4:J14" si="2">F4/1439</f>
        <v>1.5031271716469769E-3</v>
      </c>
    </row>
    <row r="5" spans="1:10" ht="16.5" customHeight="1">
      <c r="A5" s="45" t="s">
        <v>1267</v>
      </c>
      <c r="B5" s="47" t="s">
        <v>1200</v>
      </c>
      <c r="C5" s="46" t="s">
        <v>1201</v>
      </c>
      <c r="D5" s="48" t="s">
        <v>1202</v>
      </c>
      <c r="E5" s="48" t="s">
        <v>1203</v>
      </c>
      <c r="F5" s="191">
        <v>2.1629999999999998</v>
      </c>
      <c r="G5" s="48"/>
      <c r="H5" s="192">
        <f t="shared" si="0"/>
        <v>1.7105575326215893E-3</v>
      </c>
      <c r="I5" s="193">
        <f t="shared" si="1"/>
        <v>1.4689303904923598E-3</v>
      </c>
      <c r="J5" s="194">
        <f t="shared" si="2"/>
        <v>1.5031271716469769E-3</v>
      </c>
    </row>
    <row r="6" spans="1:10" ht="16.5" customHeight="1">
      <c r="A6" s="50" t="s">
        <v>1271</v>
      </c>
      <c r="B6" s="52" t="s">
        <v>1248</v>
      </c>
      <c r="C6" s="51" t="s">
        <v>1249</v>
      </c>
      <c r="D6" s="53" t="s">
        <v>1272</v>
      </c>
      <c r="E6" s="53" t="s">
        <v>1273</v>
      </c>
      <c r="F6" s="203">
        <v>1.2869999999999999</v>
      </c>
      <c r="G6" s="53" t="s">
        <v>1274</v>
      </c>
      <c r="H6" s="192">
        <f t="shared" si="0"/>
        <v>1.0177935943060498E-3</v>
      </c>
      <c r="I6" s="193">
        <f t="shared" si="1"/>
        <v>8.7402376910016976E-4</v>
      </c>
      <c r="J6" s="194">
        <f t="shared" si="2"/>
        <v>8.9437109103544126E-4</v>
      </c>
    </row>
    <row r="7" spans="1:10" ht="16.5" customHeight="1">
      <c r="A7" s="50" t="s">
        <v>1271</v>
      </c>
      <c r="B7" s="52" t="s">
        <v>1252</v>
      </c>
      <c r="C7" s="51" t="s">
        <v>1253</v>
      </c>
      <c r="D7" s="53" t="s">
        <v>1275</v>
      </c>
      <c r="E7" s="53" t="s">
        <v>1276</v>
      </c>
      <c r="F7" s="203">
        <v>1.2869999999999999</v>
      </c>
      <c r="G7" s="53"/>
      <c r="H7" s="192">
        <f t="shared" si="0"/>
        <v>1.0177935943060498E-3</v>
      </c>
      <c r="I7" s="193">
        <f t="shared" si="1"/>
        <v>8.7402376910016976E-4</v>
      </c>
      <c r="J7" s="194">
        <f t="shared" si="2"/>
        <v>8.9437109103544126E-4</v>
      </c>
    </row>
    <row r="8" spans="1:10" ht="16.5" customHeight="1">
      <c r="A8" s="50" t="s">
        <v>1271</v>
      </c>
      <c r="B8" s="52" t="s">
        <v>1277</v>
      </c>
      <c r="C8" s="51" t="s">
        <v>1278</v>
      </c>
      <c r="D8" s="53" t="s">
        <v>1279</v>
      </c>
      <c r="E8" s="53" t="s">
        <v>1280</v>
      </c>
      <c r="F8" s="203">
        <v>0.61799999999999999</v>
      </c>
      <c r="G8" s="53"/>
      <c r="H8" s="192">
        <f t="shared" si="0"/>
        <v>4.8873072360616841E-4</v>
      </c>
      <c r="I8" s="193">
        <f t="shared" si="1"/>
        <v>4.196943972835314E-4</v>
      </c>
      <c r="J8" s="194">
        <f t="shared" si="2"/>
        <v>4.2946490618485058E-4</v>
      </c>
    </row>
    <row r="9" spans="1:10" ht="16.5" customHeight="1">
      <c r="A9" s="50" t="s">
        <v>1271</v>
      </c>
      <c r="B9" s="52" t="s">
        <v>1204</v>
      </c>
      <c r="C9" s="51" t="s">
        <v>1205</v>
      </c>
      <c r="D9" s="53" t="s">
        <v>1281</v>
      </c>
      <c r="E9" s="53" t="s">
        <v>1282</v>
      </c>
      <c r="F9" s="203">
        <v>0.36499999999999999</v>
      </c>
      <c r="G9" s="53"/>
      <c r="H9" s="192">
        <f t="shared" si="0"/>
        <v>2.8865164096480821E-4</v>
      </c>
      <c r="I9" s="193">
        <f t="shared" si="1"/>
        <v>2.4787775891341255E-4</v>
      </c>
      <c r="J9" s="194">
        <f t="shared" si="2"/>
        <v>2.5364836692147322E-4</v>
      </c>
    </row>
    <row r="10" spans="1:10" ht="16.5" customHeight="1">
      <c r="A10" s="20" t="s">
        <v>1283</v>
      </c>
      <c r="B10" s="22" t="s">
        <v>1284</v>
      </c>
      <c r="C10" s="201" t="s">
        <v>1285</v>
      </c>
      <c r="D10" s="21" t="s">
        <v>1286</v>
      </c>
      <c r="E10" s="21" t="s">
        <v>1287</v>
      </c>
      <c r="F10" s="202">
        <v>0.97899999999999998</v>
      </c>
      <c r="G10" s="21" t="s">
        <v>1288</v>
      </c>
      <c r="H10" s="192">
        <f t="shared" si="0"/>
        <v>7.7421905891656784E-4</v>
      </c>
      <c r="I10" s="193">
        <f t="shared" si="1"/>
        <v>6.6485568760611203E-4</v>
      </c>
      <c r="J10" s="194">
        <f t="shared" si="2"/>
        <v>6.8033356497567755E-4</v>
      </c>
    </row>
    <row r="11" spans="1:10" ht="16.5" customHeight="1">
      <c r="A11" s="20" t="s">
        <v>1283</v>
      </c>
      <c r="B11" s="22" t="s">
        <v>1289</v>
      </c>
      <c r="C11" s="201" t="s">
        <v>1290</v>
      </c>
      <c r="D11" s="21" t="s">
        <v>1291</v>
      </c>
      <c r="E11" s="21" t="s">
        <v>1292</v>
      </c>
      <c r="F11" s="202">
        <v>0.97899999999999998</v>
      </c>
      <c r="G11" s="21"/>
      <c r="H11" s="192">
        <f t="shared" si="0"/>
        <v>7.7421905891656784E-4</v>
      </c>
      <c r="I11" s="193">
        <f t="shared" si="1"/>
        <v>6.6485568760611203E-4</v>
      </c>
      <c r="J11" s="194">
        <f t="shared" si="2"/>
        <v>6.8033356497567755E-4</v>
      </c>
    </row>
    <row r="12" spans="1:10" ht="16.5" customHeight="1">
      <c r="A12" s="6" t="s">
        <v>1293</v>
      </c>
      <c r="B12" s="8" t="s">
        <v>1294</v>
      </c>
      <c r="C12" s="14" t="s">
        <v>1295</v>
      </c>
      <c r="D12" s="7" t="s">
        <v>1296</v>
      </c>
      <c r="E12" s="7" t="s">
        <v>1297</v>
      </c>
      <c r="F12" s="195">
        <v>0.63100000000000001</v>
      </c>
      <c r="G12" s="7" t="s">
        <v>1298</v>
      </c>
      <c r="H12" s="192">
        <f t="shared" si="0"/>
        <v>4.9901146698299724E-4</v>
      </c>
      <c r="I12" s="193">
        <f t="shared" si="1"/>
        <v>4.2852292020373512E-4</v>
      </c>
      <c r="J12" s="194">
        <f t="shared" si="2"/>
        <v>4.3849895760945099E-4</v>
      </c>
    </row>
    <row r="13" spans="1:10" ht="16.5" customHeight="1">
      <c r="A13" s="6" t="s">
        <v>1293</v>
      </c>
      <c r="B13" s="8" t="s">
        <v>1299</v>
      </c>
      <c r="C13" s="14" t="s">
        <v>1300</v>
      </c>
      <c r="D13" s="14" t="s">
        <v>1301</v>
      </c>
      <c r="E13" s="14" t="s">
        <v>1302</v>
      </c>
      <c r="F13" s="195">
        <v>0.63100000000000001</v>
      </c>
      <c r="G13" s="7"/>
      <c r="H13" s="192">
        <f t="shared" si="0"/>
        <v>4.9901146698299724E-4</v>
      </c>
      <c r="I13" s="193">
        <f t="shared" si="1"/>
        <v>4.2852292020373512E-4</v>
      </c>
      <c r="J13" s="194">
        <f t="shared" si="2"/>
        <v>4.3849895760945099E-4</v>
      </c>
    </row>
    <row r="14" spans="1:10" ht="16.5" customHeight="1">
      <c r="A14" s="6" t="s">
        <v>1293</v>
      </c>
      <c r="B14" s="8" t="s">
        <v>1303</v>
      </c>
      <c r="C14" s="14" t="s">
        <v>1304</v>
      </c>
      <c r="D14" s="7" t="s">
        <v>1305</v>
      </c>
      <c r="E14" s="7" t="s">
        <v>1306</v>
      </c>
      <c r="F14" s="195">
        <v>0.63100000000000001</v>
      </c>
      <c r="G14" s="7"/>
      <c r="H14" s="192">
        <f t="shared" si="0"/>
        <v>4.9901146698299724E-4</v>
      </c>
      <c r="I14" s="193">
        <f t="shared" si="1"/>
        <v>4.2852292020373512E-4</v>
      </c>
      <c r="J14" s="194">
        <f t="shared" si="2"/>
        <v>4.3849895760945099E-4</v>
      </c>
    </row>
    <row r="15" spans="1:10" ht="16.5" customHeight="1"/>
    <row r="16" spans="1:10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</sheetData>
  <mergeCells count="2">
    <mergeCell ref="A2:G2"/>
    <mergeCell ref="A1:G1"/>
  </mergeCells>
  <phoneticPr fontId="22" type="noConversion"/>
  <pageMargins left="0.75" right="0.75" top="1" bottom="1" header="0.511811023622047" footer="0.511811023622047"/>
  <pageSetup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00"/>
  <sheetViews>
    <sheetView zoomScaleNormal="100" workbookViewId="0">
      <pane ySplit="2" topLeftCell="A3" activePane="bottomLeft" state="frozen"/>
      <selection pane="bottomLeft" activeCell="B4" sqref="B4"/>
    </sheetView>
  </sheetViews>
  <sheetFormatPr defaultColWidth="14.42578125" defaultRowHeight="15"/>
  <cols>
    <col min="1" max="1" width="18" customWidth="1"/>
    <col min="2" max="3" width="14" customWidth="1"/>
    <col min="4" max="4" width="26" customWidth="1"/>
    <col min="5" max="6" width="18" customWidth="1"/>
    <col min="7" max="7" width="55" customWidth="1"/>
    <col min="8" max="26" width="8.7109375" customWidth="1"/>
  </cols>
  <sheetData>
    <row r="1" spans="1:7" ht="21.75" customHeight="1">
      <c r="A1" s="239" t="s">
        <v>1307</v>
      </c>
      <c r="B1" s="232"/>
      <c r="C1" s="232"/>
      <c r="D1" s="232"/>
      <c r="E1" s="232"/>
      <c r="F1" s="232"/>
      <c r="G1" s="232"/>
    </row>
    <row r="2" spans="1:7" ht="39.75" customHeight="1">
      <c r="A2" s="1" t="s">
        <v>1308</v>
      </c>
      <c r="B2" s="1" t="s">
        <v>1309</v>
      </c>
      <c r="C2" s="35" t="s">
        <v>1310</v>
      </c>
      <c r="D2" s="2" t="s">
        <v>1311</v>
      </c>
      <c r="E2" s="2" t="s">
        <v>1312</v>
      </c>
      <c r="F2" s="5" t="s">
        <v>1313</v>
      </c>
      <c r="G2" s="44" t="s">
        <v>11</v>
      </c>
    </row>
    <row r="3" spans="1:7" ht="16.5" customHeight="1">
      <c r="A3" s="206" t="s">
        <v>1314</v>
      </c>
      <c r="B3" s="207" t="s">
        <v>1315</v>
      </c>
      <c r="C3" s="208">
        <v>1289.4000000000001</v>
      </c>
      <c r="D3" s="209" t="s">
        <v>1316</v>
      </c>
      <c r="E3" s="192">
        <v>1.76</v>
      </c>
      <c r="F3" s="192">
        <v>1.36497595780983E-3</v>
      </c>
      <c r="G3" s="209" t="s">
        <v>1317</v>
      </c>
    </row>
    <row r="4" spans="1:7" ht="16.5" customHeight="1">
      <c r="A4" s="210" t="s">
        <v>1318</v>
      </c>
      <c r="B4" s="211" t="s">
        <v>1319</v>
      </c>
      <c r="C4" s="212">
        <v>1470</v>
      </c>
      <c r="D4" s="213" t="s">
        <v>1316</v>
      </c>
      <c r="E4" s="193">
        <v>1.76</v>
      </c>
      <c r="F4" s="193">
        <v>1.19727891156463E-3</v>
      </c>
      <c r="G4" s="213" t="s">
        <v>1320</v>
      </c>
    </row>
    <row r="5" spans="1:7" ht="16.5" customHeight="1">
      <c r="A5" s="214" t="s">
        <v>1321</v>
      </c>
      <c r="B5" s="215" t="s">
        <v>1322</v>
      </c>
      <c r="C5" s="216">
        <v>1467.4</v>
      </c>
      <c r="D5" s="217" t="s">
        <v>1316</v>
      </c>
      <c r="E5" s="194">
        <v>1.76</v>
      </c>
      <c r="F5" s="194">
        <v>1.1994002998500801E-3</v>
      </c>
      <c r="G5" s="217" t="s">
        <v>1323</v>
      </c>
    </row>
    <row r="6" spans="1:7" ht="49.5" customHeight="1">
      <c r="A6" s="231" t="s">
        <v>1324</v>
      </c>
      <c r="B6" s="232"/>
      <c r="C6" s="232"/>
      <c r="D6" s="232"/>
      <c r="E6" s="232"/>
      <c r="F6" s="232"/>
      <c r="G6" s="232"/>
    </row>
    <row r="7" spans="1:7" ht="16.5" customHeight="1"/>
    <row r="8" spans="1:7" ht="16.5" customHeight="1"/>
    <row r="9" spans="1:7" ht="16.5" customHeight="1"/>
    <row r="10" spans="1:7" ht="16.5" customHeight="1"/>
    <row r="11" spans="1:7" ht="16.5" customHeight="1"/>
    <row r="12" spans="1:7" ht="16.5" customHeight="1"/>
    <row r="13" spans="1:7" ht="16.5" customHeight="1"/>
    <row r="14" spans="1:7" ht="16.5" customHeight="1"/>
    <row r="15" spans="1:7" ht="16.5" customHeight="1"/>
    <row r="16" spans="1:7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A6:G6"/>
    <mergeCell ref="A1:G1"/>
  </mergeCells>
  <phoneticPr fontId="22" type="noConversion"/>
  <pageMargins left="0.75" right="0.75" top="1" bottom="1" header="0.511811023622047" footer="0.511811023622047"/>
  <pageSetup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6"/>
  <sheetViews>
    <sheetView zoomScaleNormal="100" workbookViewId="0"/>
  </sheetViews>
  <sheetFormatPr defaultColWidth="8.7109375" defaultRowHeight="15"/>
  <sheetData>
    <row r="1" spans="1:12" ht="16.5" customHeight="1">
      <c r="A1" s="29" t="s">
        <v>1325</v>
      </c>
    </row>
    <row r="2" spans="1:12" ht="15" customHeight="1">
      <c r="A2" s="29" t="s">
        <v>1326</v>
      </c>
      <c r="B2" s="29" t="s">
        <v>1327</v>
      </c>
      <c r="C2" s="29" t="s">
        <v>1328</v>
      </c>
      <c r="D2" s="29" t="s">
        <v>1329</v>
      </c>
      <c r="E2" s="29" t="s">
        <v>1330</v>
      </c>
      <c r="F2" s="29" t="s">
        <v>1331</v>
      </c>
      <c r="G2" s="29" t="s">
        <v>1332</v>
      </c>
      <c r="H2" s="29" t="s">
        <v>1333</v>
      </c>
      <c r="I2" s="29" t="s">
        <v>1334</v>
      </c>
      <c r="J2" s="29" t="s">
        <v>1335</v>
      </c>
      <c r="K2" s="29" t="s">
        <v>1336</v>
      </c>
      <c r="L2" s="29" t="s">
        <v>11</v>
      </c>
    </row>
    <row r="3" spans="1:12" ht="16.5" customHeight="1">
      <c r="A3" s="29" t="s">
        <v>1337</v>
      </c>
      <c r="B3" s="29" t="s">
        <v>1338</v>
      </c>
      <c r="C3">
        <v>0.4173</v>
      </c>
      <c r="D3" t="s">
        <v>1339</v>
      </c>
      <c r="E3" s="29" t="s">
        <v>1340</v>
      </c>
      <c r="F3" s="29" t="s">
        <v>1341</v>
      </c>
      <c r="G3" t="s">
        <v>1342</v>
      </c>
      <c r="I3" s="29" t="s">
        <v>1343</v>
      </c>
      <c r="J3" s="29" t="s">
        <v>1344</v>
      </c>
      <c r="K3" t="s">
        <v>1345</v>
      </c>
      <c r="L3" s="29" t="s">
        <v>1346</v>
      </c>
    </row>
    <row r="4" spans="1:12" ht="16.5" customHeight="1">
      <c r="A4" s="29" t="s">
        <v>1347</v>
      </c>
      <c r="B4" t="s">
        <v>1348</v>
      </c>
      <c r="C4">
        <v>0.65920000000000001</v>
      </c>
      <c r="D4" t="s">
        <v>1339</v>
      </c>
      <c r="E4">
        <v>2023</v>
      </c>
      <c r="F4" s="29" t="s">
        <v>1341</v>
      </c>
      <c r="G4" t="s">
        <v>1342</v>
      </c>
      <c r="H4" t="s">
        <v>1349</v>
      </c>
      <c r="I4" t="s">
        <v>1350</v>
      </c>
      <c r="J4" t="s">
        <v>1351</v>
      </c>
      <c r="K4" t="s">
        <v>1352</v>
      </c>
      <c r="L4" s="29" t="s">
        <v>1353</v>
      </c>
    </row>
    <row r="5" spans="1:12" ht="16.5" customHeight="1">
      <c r="A5" s="29" t="s">
        <v>1347</v>
      </c>
      <c r="B5" t="s">
        <v>1348</v>
      </c>
      <c r="C5">
        <v>0.68110000000000004</v>
      </c>
      <c r="D5" t="s">
        <v>1339</v>
      </c>
      <c r="E5">
        <v>2024</v>
      </c>
      <c r="F5" s="29" t="s">
        <v>1354</v>
      </c>
      <c r="G5" t="s">
        <v>1355</v>
      </c>
      <c r="I5" s="29" t="s">
        <v>1356</v>
      </c>
      <c r="J5" s="29" t="s">
        <v>1357</v>
      </c>
      <c r="K5" s="29" t="s">
        <v>1358</v>
      </c>
      <c r="L5" s="29" t="s">
        <v>1359</v>
      </c>
    </row>
    <row r="6" spans="1:12" ht="16.5" customHeight="1">
      <c r="A6" s="29" t="s">
        <v>1347</v>
      </c>
      <c r="B6" t="s">
        <v>1348</v>
      </c>
      <c r="C6">
        <v>0.62350000000000005</v>
      </c>
      <c r="D6" t="s">
        <v>1339</v>
      </c>
      <c r="E6">
        <v>2025</v>
      </c>
      <c r="F6" s="29" t="s">
        <v>1354</v>
      </c>
      <c r="G6" t="s">
        <v>1355</v>
      </c>
      <c r="I6" s="29" t="s">
        <v>1360</v>
      </c>
      <c r="J6" s="29" t="s">
        <v>1357</v>
      </c>
      <c r="K6" s="29" t="s">
        <v>1358</v>
      </c>
      <c r="L6" s="29" t="s">
        <v>1361</v>
      </c>
    </row>
  </sheetData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1"/>
  <sheetViews>
    <sheetView zoomScaleNormal="100" workbookViewId="0"/>
  </sheetViews>
  <sheetFormatPr defaultColWidth="8.7109375" defaultRowHeight="15"/>
  <cols>
    <col min="1" max="1" width="42" customWidth="1"/>
    <col min="2" max="2" width="14" customWidth="1"/>
    <col min="3" max="3" width="24" customWidth="1"/>
    <col min="4" max="8" width="10" customWidth="1"/>
    <col min="9" max="9" width="39" customWidth="1"/>
  </cols>
  <sheetData>
    <row r="1" spans="1:9" ht="16.5" customHeight="1">
      <c r="A1" s="218" t="s">
        <v>1362</v>
      </c>
    </row>
    <row r="2" spans="1:9" ht="15" customHeight="1">
      <c r="A2" s="219" t="s">
        <v>1363</v>
      </c>
    </row>
    <row r="4" spans="1:9" ht="41.25" customHeight="1">
      <c r="A4" s="220" t="s">
        <v>771</v>
      </c>
      <c r="B4" s="220" t="s">
        <v>1364</v>
      </c>
      <c r="C4" s="220" t="s">
        <v>1365</v>
      </c>
      <c r="D4" s="220" t="s">
        <v>1366</v>
      </c>
      <c r="E4" s="220" t="s">
        <v>775</v>
      </c>
      <c r="F4" s="221" t="s">
        <v>1367</v>
      </c>
      <c r="G4" s="221" t="s">
        <v>1368</v>
      </c>
      <c r="H4" s="221" t="s">
        <v>1369</v>
      </c>
      <c r="I4" s="220" t="s">
        <v>1370</v>
      </c>
    </row>
    <row r="5" spans="1:9" ht="16.5" customHeight="1">
      <c r="A5" s="222" t="s">
        <v>1371</v>
      </c>
      <c r="B5" s="29" t="s">
        <v>1372</v>
      </c>
      <c r="C5" s="29" t="s">
        <v>1373</v>
      </c>
      <c r="D5" t="s">
        <v>793</v>
      </c>
      <c r="E5">
        <v>30.1</v>
      </c>
      <c r="F5">
        <v>69300</v>
      </c>
      <c r="G5">
        <v>25</v>
      </c>
      <c r="H5">
        <v>8</v>
      </c>
      <c r="I5" s="29" t="s">
        <v>1374</v>
      </c>
    </row>
    <row r="6" spans="1:9" ht="16.5" customHeight="1">
      <c r="B6" s="29" t="s">
        <v>1372</v>
      </c>
      <c r="C6" s="29" t="s">
        <v>792</v>
      </c>
      <c r="D6" t="s">
        <v>793</v>
      </c>
      <c r="E6">
        <v>35.299999999999997</v>
      </c>
      <c r="F6">
        <v>74100</v>
      </c>
      <c r="G6">
        <v>3.9</v>
      </c>
      <c r="H6">
        <v>3.9</v>
      </c>
      <c r="I6" s="29" t="s">
        <v>1374</v>
      </c>
    </row>
    <row r="7" spans="1:9" ht="16.5" customHeight="1">
      <c r="B7" s="29" t="s">
        <v>1372</v>
      </c>
      <c r="C7" t="s">
        <v>1375</v>
      </c>
      <c r="D7" t="s">
        <v>785</v>
      </c>
      <c r="E7">
        <v>45.5</v>
      </c>
      <c r="F7">
        <v>63100</v>
      </c>
      <c r="G7">
        <v>62</v>
      </c>
      <c r="H7">
        <v>0.2</v>
      </c>
      <c r="I7" s="29" t="s">
        <v>1376</v>
      </c>
    </row>
    <row r="8" spans="1:9" ht="16.5" customHeight="1">
      <c r="B8" s="29" t="s">
        <v>1372</v>
      </c>
      <c r="C8" t="s">
        <v>1377</v>
      </c>
      <c r="D8" t="s">
        <v>783</v>
      </c>
      <c r="E8">
        <v>38.5</v>
      </c>
      <c r="F8">
        <v>56100</v>
      </c>
      <c r="G8">
        <v>92</v>
      </c>
      <c r="H8">
        <v>3</v>
      </c>
      <c r="I8" s="29" t="s">
        <v>1378</v>
      </c>
    </row>
    <row r="9" spans="1:9" ht="16.5" customHeight="1">
      <c r="B9" s="29" t="s">
        <v>1379</v>
      </c>
      <c r="C9" s="29" t="s">
        <v>792</v>
      </c>
      <c r="D9" t="s">
        <v>793</v>
      </c>
      <c r="E9">
        <v>35.299999999999997</v>
      </c>
      <c r="F9">
        <v>74100</v>
      </c>
      <c r="G9">
        <v>3.9</v>
      </c>
      <c r="H9">
        <v>3.9</v>
      </c>
      <c r="I9" s="29" t="s">
        <v>1374</v>
      </c>
    </row>
    <row r="10" spans="1:9" ht="16.5" customHeight="1">
      <c r="B10" s="29" t="s">
        <v>1379</v>
      </c>
      <c r="C10" s="29" t="s">
        <v>1373</v>
      </c>
      <c r="D10" t="s">
        <v>793</v>
      </c>
      <c r="E10">
        <v>30.1</v>
      </c>
      <c r="F10">
        <v>69300</v>
      </c>
      <c r="G10">
        <v>25</v>
      </c>
      <c r="H10">
        <v>8</v>
      </c>
      <c r="I10" s="29" t="s">
        <v>1374</v>
      </c>
    </row>
    <row r="11" spans="1:9" ht="16.5" customHeight="1">
      <c r="B11" s="29" t="s">
        <v>1380</v>
      </c>
      <c r="C11" s="29" t="s">
        <v>1373</v>
      </c>
      <c r="D11" t="s">
        <v>793</v>
      </c>
      <c r="E11">
        <v>30.1</v>
      </c>
      <c r="F11">
        <v>69300</v>
      </c>
      <c r="G11">
        <v>25</v>
      </c>
      <c r="H11">
        <v>8</v>
      </c>
      <c r="I11" s="29" t="s">
        <v>1374</v>
      </c>
    </row>
    <row r="12" spans="1:9" ht="16.5" customHeight="1">
      <c r="B12" s="29" t="s">
        <v>1380</v>
      </c>
      <c r="C12" s="29" t="s">
        <v>792</v>
      </c>
      <c r="D12" t="s">
        <v>793</v>
      </c>
      <c r="E12">
        <v>35.299999999999997</v>
      </c>
      <c r="F12">
        <v>74100</v>
      </c>
      <c r="G12">
        <v>3.9</v>
      </c>
      <c r="H12">
        <v>3.9</v>
      </c>
      <c r="I12" s="29" t="s">
        <v>1374</v>
      </c>
    </row>
    <row r="13" spans="1:9" ht="16.5" customHeight="1">
      <c r="A13" s="222" t="s">
        <v>1381</v>
      </c>
      <c r="B13" s="29" t="s">
        <v>1382</v>
      </c>
      <c r="C13" s="29" t="s">
        <v>1383</v>
      </c>
      <c r="D13" t="s">
        <v>785</v>
      </c>
      <c r="E13">
        <v>44.3</v>
      </c>
      <c r="F13">
        <v>70000</v>
      </c>
      <c r="G13">
        <v>0.5</v>
      </c>
      <c r="H13">
        <v>2</v>
      </c>
      <c r="I13" s="29" t="s">
        <v>1384</v>
      </c>
    </row>
    <row r="14" spans="1:9" ht="16.5" customHeight="1">
      <c r="B14" s="29" t="s">
        <v>1382</v>
      </c>
      <c r="C14" s="29" t="s">
        <v>1385</v>
      </c>
      <c r="D14" t="s">
        <v>793</v>
      </c>
      <c r="E14">
        <v>34</v>
      </c>
      <c r="F14">
        <v>71500</v>
      </c>
      <c r="G14">
        <v>0.5</v>
      </c>
      <c r="H14">
        <v>2</v>
      </c>
      <c r="I14" t="s">
        <v>1386</v>
      </c>
    </row>
    <row r="15" spans="1:9" ht="16.5" customHeight="1">
      <c r="A15" s="222" t="s">
        <v>1387</v>
      </c>
      <c r="B15" s="29" t="s">
        <v>1388</v>
      </c>
      <c r="C15" s="29" t="s">
        <v>1389</v>
      </c>
      <c r="D15" t="s">
        <v>793</v>
      </c>
      <c r="E15">
        <v>39.299999999999997</v>
      </c>
      <c r="F15">
        <v>77400</v>
      </c>
      <c r="G15">
        <v>7</v>
      </c>
      <c r="H15">
        <v>2</v>
      </c>
      <c r="I15" t="s">
        <v>1390</v>
      </c>
    </row>
    <row r="16" spans="1:9" ht="16.5" customHeight="1">
      <c r="B16" s="29" t="s">
        <v>1388</v>
      </c>
      <c r="C16" s="29" t="s">
        <v>792</v>
      </c>
      <c r="D16" t="s">
        <v>793</v>
      </c>
      <c r="E16">
        <v>35.299999999999997</v>
      </c>
      <c r="F16">
        <v>74100</v>
      </c>
      <c r="G16">
        <v>7</v>
      </c>
      <c r="H16">
        <v>2</v>
      </c>
      <c r="I16" t="s">
        <v>1391</v>
      </c>
    </row>
    <row r="17" spans="1:9" ht="16.5" customHeight="1">
      <c r="A17" s="222" t="s">
        <v>1392</v>
      </c>
      <c r="B17" s="29" t="s">
        <v>1393</v>
      </c>
      <c r="C17" s="29" t="s">
        <v>792</v>
      </c>
      <c r="D17" t="s">
        <v>793</v>
      </c>
      <c r="E17">
        <v>35.299999999999997</v>
      </c>
      <c r="F17">
        <v>74100</v>
      </c>
      <c r="G17">
        <v>4.1500000000000004</v>
      </c>
      <c r="H17">
        <v>28.9</v>
      </c>
      <c r="I17" t="s">
        <v>1391</v>
      </c>
    </row>
    <row r="18" spans="1:9" ht="16.5" customHeight="1">
      <c r="A18" s="29" t="s">
        <v>1394</v>
      </c>
    </row>
    <row r="19" spans="1:9" ht="16.5" customHeight="1">
      <c r="A19" s="29" t="s">
        <v>1395</v>
      </c>
    </row>
    <row r="20" spans="1:9" ht="16.5" customHeight="1">
      <c r="A20" s="29" t="s">
        <v>1396</v>
      </c>
    </row>
    <row r="21" spans="1:9" ht="16.5" customHeight="1">
      <c r="A21" t="s">
        <v>1397</v>
      </c>
    </row>
  </sheetData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6"/>
  <sheetViews>
    <sheetView zoomScaleNormal="100" workbookViewId="0"/>
  </sheetViews>
  <sheetFormatPr defaultColWidth="8.7109375" defaultRowHeight="15"/>
  <cols>
    <col min="1" max="1" width="13" customWidth="1"/>
    <col min="2" max="2" width="26" customWidth="1"/>
    <col min="3" max="3" width="16" customWidth="1"/>
    <col min="4" max="14" width="10" customWidth="1"/>
  </cols>
  <sheetData>
    <row r="1" spans="1:14" ht="16.5" customHeight="1">
      <c r="A1" s="218" t="s">
        <v>1398</v>
      </c>
    </row>
    <row r="2" spans="1:14" ht="15" customHeight="1">
      <c r="A2" s="219" t="s">
        <v>1399</v>
      </c>
    </row>
    <row r="4" spans="1:14" ht="45.75" customHeight="1">
      <c r="A4" s="220" t="s">
        <v>771</v>
      </c>
      <c r="B4" s="221" t="s">
        <v>1400</v>
      </c>
      <c r="C4" s="220" t="s">
        <v>1401</v>
      </c>
      <c r="D4" s="220" t="s">
        <v>1329</v>
      </c>
      <c r="E4" s="220" t="s">
        <v>1402</v>
      </c>
      <c r="F4" s="221" t="s">
        <v>1403</v>
      </c>
      <c r="G4" s="221" t="s">
        <v>1404</v>
      </c>
      <c r="H4" s="221" t="s">
        <v>1405</v>
      </c>
      <c r="I4" s="221" t="s">
        <v>1406</v>
      </c>
      <c r="J4" s="221" t="s">
        <v>1407</v>
      </c>
      <c r="K4" s="221" t="s">
        <v>1408</v>
      </c>
      <c r="L4" s="221" t="s">
        <v>1409</v>
      </c>
      <c r="M4" s="221" t="s">
        <v>1410</v>
      </c>
      <c r="N4" s="221" t="s">
        <v>1411</v>
      </c>
    </row>
    <row r="5" spans="1:14" ht="16.5" customHeight="1">
      <c r="A5" t="s">
        <v>1412</v>
      </c>
    </row>
    <row r="6" spans="1:14" ht="15" customHeight="1">
      <c r="B6" s="29" t="s">
        <v>1413</v>
      </c>
      <c r="C6" s="29" t="s">
        <v>1413</v>
      </c>
      <c r="D6" t="s">
        <v>1414</v>
      </c>
      <c r="E6">
        <v>42.3</v>
      </c>
      <c r="F6">
        <v>73300</v>
      </c>
      <c r="G6">
        <v>3</v>
      </c>
      <c r="H6">
        <v>3</v>
      </c>
      <c r="I6">
        <v>10</v>
      </c>
      <c r="J6">
        <v>10</v>
      </c>
      <c r="K6">
        <v>0.6</v>
      </c>
      <c r="L6">
        <v>0.6</v>
      </c>
      <c r="M6">
        <v>0.6</v>
      </c>
      <c r="N6">
        <v>0.6</v>
      </c>
    </row>
    <row r="7" spans="1:14" ht="15" customHeight="1">
      <c r="B7" s="29" t="s">
        <v>1415</v>
      </c>
      <c r="C7" t="s">
        <v>801</v>
      </c>
      <c r="D7" t="s">
        <v>1414</v>
      </c>
      <c r="E7">
        <v>27.5</v>
      </c>
      <c r="F7">
        <v>77000</v>
      </c>
      <c r="G7">
        <v>3</v>
      </c>
      <c r="H7">
        <v>3</v>
      </c>
      <c r="I7">
        <v>10</v>
      </c>
      <c r="J7">
        <v>10</v>
      </c>
      <c r="K7">
        <v>0.6</v>
      </c>
      <c r="L7">
        <v>0.6</v>
      </c>
      <c r="M7">
        <v>0.6</v>
      </c>
      <c r="N7">
        <v>0.6</v>
      </c>
    </row>
    <row r="8" spans="1:14" ht="15" customHeight="1">
      <c r="B8" s="29" t="s">
        <v>1416</v>
      </c>
      <c r="C8" t="s">
        <v>801</v>
      </c>
      <c r="D8" t="s">
        <v>1414</v>
      </c>
      <c r="E8">
        <v>44.2</v>
      </c>
      <c r="F8">
        <v>64200</v>
      </c>
      <c r="G8">
        <v>3</v>
      </c>
      <c r="H8">
        <v>3</v>
      </c>
      <c r="I8">
        <v>10</v>
      </c>
      <c r="J8">
        <v>10</v>
      </c>
      <c r="K8">
        <v>0.6</v>
      </c>
      <c r="L8">
        <v>0.6</v>
      </c>
      <c r="M8">
        <v>0.6</v>
      </c>
      <c r="N8">
        <v>0.6</v>
      </c>
    </row>
    <row r="9" spans="1:14" ht="16.5" customHeight="1">
      <c r="B9" s="29" t="s">
        <v>1417</v>
      </c>
      <c r="C9" s="29" t="s">
        <v>797</v>
      </c>
      <c r="D9" t="s">
        <v>1414</v>
      </c>
      <c r="E9">
        <v>44.3</v>
      </c>
      <c r="F9">
        <v>69300</v>
      </c>
      <c r="G9">
        <v>3</v>
      </c>
      <c r="H9">
        <v>3</v>
      </c>
      <c r="I9">
        <v>10</v>
      </c>
      <c r="J9">
        <v>10</v>
      </c>
      <c r="K9">
        <v>0.6</v>
      </c>
      <c r="L9">
        <v>0.6</v>
      </c>
      <c r="M9">
        <v>0.6</v>
      </c>
      <c r="N9">
        <v>0.6</v>
      </c>
    </row>
    <row r="10" spans="1:14" ht="16.5" customHeight="1">
      <c r="B10" s="29" t="s">
        <v>1418</v>
      </c>
      <c r="C10" t="s">
        <v>801</v>
      </c>
      <c r="D10" t="s">
        <v>1414</v>
      </c>
      <c r="E10">
        <v>44.3</v>
      </c>
      <c r="F10">
        <v>70000</v>
      </c>
      <c r="G10">
        <v>3</v>
      </c>
      <c r="H10">
        <v>3</v>
      </c>
      <c r="I10">
        <v>10</v>
      </c>
      <c r="J10">
        <v>10</v>
      </c>
      <c r="K10">
        <v>0.6</v>
      </c>
      <c r="L10">
        <v>0.6</v>
      </c>
      <c r="M10">
        <v>0.6</v>
      </c>
      <c r="N10">
        <v>0.6</v>
      </c>
    </row>
    <row r="11" spans="1:14" ht="16.5" customHeight="1">
      <c r="B11" s="29" t="s">
        <v>1419</v>
      </c>
      <c r="C11" t="s">
        <v>801</v>
      </c>
      <c r="D11" t="s">
        <v>1414</v>
      </c>
      <c r="E11">
        <v>44.3</v>
      </c>
      <c r="F11">
        <v>70000</v>
      </c>
      <c r="G11">
        <v>3</v>
      </c>
      <c r="H11">
        <v>3</v>
      </c>
      <c r="I11">
        <v>10</v>
      </c>
      <c r="J11">
        <v>10</v>
      </c>
      <c r="K11">
        <v>0.6</v>
      </c>
      <c r="L11">
        <v>0.6</v>
      </c>
      <c r="M11">
        <v>0.6</v>
      </c>
      <c r="N11">
        <v>0.6</v>
      </c>
    </row>
    <row r="12" spans="1:14" ht="15" customHeight="1">
      <c r="B12" s="29" t="s">
        <v>1420</v>
      </c>
      <c r="C12" t="s">
        <v>1421</v>
      </c>
      <c r="D12" t="s">
        <v>1414</v>
      </c>
      <c r="E12">
        <v>44.1</v>
      </c>
      <c r="F12">
        <v>71500</v>
      </c>
      <c r="G12">
        <v>3</v>
      </c>
      <c r="H12">
        <v>3</v>
      </c>
      <c r="I12">
        <v>10</v>
      </c>
      <c r="J12">
        <v>10</v>
      </c>
      <c r="K12">
        <v>0.6</v>
      </c>
      <c r="L12">
        <v>0.6</v>
      </c>
      <c r="M12">
        <v>0.6</v>
      </c>
      <c r="N12">
        <v>0.6</v>
      </c>
    </row>
    <row r="13" spans="1:14" ht="15" customHeight="1">
      <c r="B13" s="29" t="s">
        <v>1422</v>
      </c>
      <c r="C13" s="29" t="s">
        <v>1423</v>
      </c>
      <c r="D13" t="s">
        <v>1414</v>
      </c>
      <c r="E13">
        <v>43.8</v>
      </c>
      <c r="F13">
        <v>71900</v>
      </c>
      <c r="G13">
        <v>3</v>
      </c>
      <c r="H13">
        <v>3</v>
      </c>
      <c r="I13">
        <v>10</v>
      </c>
      <c r="J13">
        <v>10</v>
      </c>
      <c r="K13">
        <v>0.6</v>
      </c>
      <c r="L13">
        <v>0.6</v>
      </c>
      <c r="M13">
        <v>0.6</v>
      </c>
      <c r="N13">
        <v>0.6</v>
      </c>
    </row>
    <row r="14" spans="1:14" ht="15" customHeight="1">
      <c r="B14" s="29" t="s">
        <v>1424</v>
      </c>
      <c r="C14" t="s">
        <v>801</v>
      </c>
      <c r="D14" t="s">
        <v>1414</v>
      </c>
      <c r="E14">
        <v>38.1</v>
      </c>
      <c r="F14">
        <v>73300</v>
      </c>
      <c r="G14">
        <v>3</v>
      </c>
      <c r="H14">
        <v>3</v>
      </c>
      <c r="I14">
        <v>10</v>
      </c>
      <c r="J14">
        <v>10</v>
      </c>
      <c r="K14">
        <v>0.6</v>
      </c>
      <c r="L14">
        <v>0.6</v>
      </c>
      <c r="M14">
        <v>0.6</v>
      </c>
      <c r="N14">
        <v>0.6</v>
      </c>
    </row>
    <row r="15" spans="1:14" ht="16.5" customHeight="1">
      <c r="B15" s="29" t="s">
        <v>1425</v>
      </c>
      <c r="C15" s="29" t="s">
        <v>792</v>
      </c>
      <c r="D15" t="s">
        <v>1414</v>
      </c>
      <c r="E15">
        <v>43</v>
      </c>
      <c r="F15">
        <v>74100</v>
      </c>
      <c r="G15">
        <v>3</v>
      </c>
      <c r="H15">
        <v>3</v>
      </c>
      <c r="I15">
        <v>10</v>
      </c>
      <c r="J15">
        <v>10</v>
      </c>
      <c r="K15">
        <v>0.6</v>
      </c>
      <c r="L15">
        <v>0.6</v>
      </c>
      <c r="M15">
        <v>0.6</v>
      </c>
      <c r="N15">
        <v>0.6</v>
      </c>
    </row>
    <row r="16" spans="1:14" ht="16.5" customHeight="1">
      <c r="B16" s="29" t="s">
        <v>1426</v>
      </c>
      <c r="C16" t="s">
        <v>1427</v>
      </c>
      <c r="D16" t="s">
        <v>1414</v>
      </c>
      <c r="E16">
        <v>40.4</v>
      </c>
      <c r="F16">
        <v>77400</v>
      </c>
      <c r="G16">
        <v>3</v>
      </c>
      <c r="H16">
        <v>3</v>
      </c>
      <c r="I16">
        <v>10</v>
      </c>
      <c r="J16">
        <v>10</v>
      </c>
      <c r="K16">
        <v>0.6</v>
      </c>
      <c r="L16">
        <v>0.6</v>
      </c>
      <c r="M16">
        <v>0.6</v>
      </c>
      <c r="N16">
        <v>0.6</v>
      </c>
    </row>
    <row r="17" spans="1:14" ht="15" customHeight="1">
      <c r="B17" s="29" t="s">
        <v>1428</v>
      </c>
      <c r="C17" t="s">
        <v>1375</v>
      </c>
      <c r="D17" t="s">
        <v>1414</v>
      </c>
      <c r="E17">
        <v>47.3</v>
      </c>
      <c r="F17">
        <v>63100</v>
      </c>
      <c r="G17">
        <v>1</v>
      </c>
      <c r="H17">
        <v>1</v>
      </c>
      <c r="I17">
        <v>5</v>
      </c>
      <c r="J17">
        <v>5</v>
      </c>
      <c r="K17">
        <v>0.1</v>
      </c>
      <c r="L17">
        <v>0.1</v>
      </c>
      <c r="M17">
        <v>0.1</v>
      </c>
      <c r="N17">
        <v>0.1</v>
      </c>
    </row>
    <row r="18" spans="1:14" ht="15" customHeight="1">
      <c r="B18" s="29" t="s">
        <v>1429</v>
      </c>
      <c r="C18" t="s">
        <v>801</v>
      </c>
      <c r="D18" t="s">
        <v>1414</v>
      </c>
      <c r="E18">
        <v>46.4</v>
      </c>
      <c r="F18">
        <v>61600</v>
      </c>
      <c r="G18">
        <v>1</v>
      </c>
      <c r="H18">
        <v>1</v>
      </c>
      <c r="I18">
        <v>5</v>
      </c>
      <c r="J18">
        <v>5</v>
      </c>
      <c r="K18">
        <v>0.1</v>
      </c>
      <c r="L18">
        <v>0.1</v>
      </c>
      <c r="M18">
        <v>0.1</v>
      </c>
      <c r="N18">
        <v>0.1</v>
      </c>
    </row>
    <row r="19" spans="1:14" ht="15" customHeight="1">
      <c r="B19" s="29" t="s">
        <v>1430</v>
      </c>
      <c r="C19" s="29" t="s">
        <v>1431</v>
      </c>
      <c r="D19" t="s">
        <v>1414</v>
      </c>
      <c r="E19">
        <v>44.5</v>
      </c>
      <c r="F19">
        <v>73300</v>
      </c>
      <c r="G19">
        <v>3</v>
      </c>
      <c r="H19">
        <v>3</v>
      </c>
      <c r="I19">
        <v>10</v>
      </c>
      <c r="J19">
        <v>10</v>
      </c>
      <c r="K19">
        <v>0.6</v>
      </c>
      <c r="L19">
        <v>0.6</v>
      </c>
      <c r="M19">
        <v>0.6</v>
      </c>
      <c r="N19">
        <v>0.6</v>
      </c>
    </row>
    <row r="20" spans="1:14" ht="16.5" customHeight="1">
      <c r="B20" s="29" t="s">
        <v>1432</v>
      </c>
      <c r="C20" s="29" t="s">
        <v>1433</v>
      </c>
      <c r="D20" t="s">
        <v>1414</v>
      </c>
      <c r="E20">
        <v>40.200000000000003</v>
      </c>
      <c r="F20">
        <v>80700</v>
      </c>
      <c r="G20">
        <v>3</v>
      </c>
      <c r="H20">
        <v>3</v>
      </c>
      <c r="I20">
        <v>10</v>
      </c>
      <c r="J20">
        <v>10</v>
      </c>
      <c r="K20">
        <v>0.6</v>
      </c>
      <c r="L20">
        <v>0.6</v>
      </c>
      <c r="M20">
        <v>0.6</v>
      </c>
      <c r="N20">
        <v>0.6</v>
      </c>
    </row>
    <row r="21" spans="1:14" ht="15" customHeight="1">
      <c r="B21" s="29" t="s">
        <v>1434</v>
      </c>
      <c r="C21" s="29" t="s">
        <v>1434</v>
      </c>
      <c r="D21" t="s">
        <v>1414</v>
      </c>
      <c r="E21">
        <v>40.200000000000003</v>
      </c>
      <c r="F21">
        <v>73300</v>
      </c>
      <c r="G21">
        <v>3</v>
      </c>
      <c r="H21">
        <v>3</v>
      </c>
      <c r="I21">
        <v>10</v>
      </c>
      <c r="J21">
        <v>10</v>
      </c>
      <c r="K21">
        <v>0.6</v>
      </c>
      <c r="L21">
        <v>0.6</v>
      </c>
      <c r="M21">
        <v>0.6</v>
      </c>
      <c r="N21">
        <v>0.6</v>
      </c>
    </row>
    <row r="22" spans="1:14" ht="16.5" customHeight="1">
      <c r="B22" s="29" t="s">
        <v>1435</v>
      </c>
      <c r="C22" s="29" t="s">
        <v>1436</v>
      </c>
      <c r="D22" t="s">
        <v>1414</v>
      </c>
      <c r="E22">
        <v>32.5</v>
      </c>
      <c r="F22">
        <v>97500</v>
      </c>
      <c r="G22">
        <v>3</v>
      </c>
      <c r="H22">
        <v>3</v>
      </c>
      <c r="I22">
        <v>10</v>
      </c>
      <c r="J22">
        <v>10</v>
      </c>
      <c r="K22">
        <v>0.6</v>
      </c>
      <c r="L22">
        <v>0.6</v>
      </c>
      <c r="M22">
        <v>0.6</v>
      </c>
      <c r="N22">
        <v>0.6</v>
      </c>
    </row>
    <row r="23" spans="1:14" ht="15" customHeight="1">
      <c r="B23" s="29" t="s">
        <v>1437</v>
      </c>
      <c r="C23" s="29" t="s">
        <v>1437</v>
      </c>
      <c r="D23" t="s">
        <v>1414</v>
      </c>
      <c r="E23">
        <v>43</v>
      </c>
      <c r="F23">
        <v>73300</v>
      </c>
      <c r="G23">
        <v>3</v>
      </c>
      <c r="H23">
        <v>3</v>
      </c>
      <c r="I23">
        <v>10</v>
      </c>
      <c r="J23">
        <v>10</v>
      </c>
      <c r="K23">
        <v>0.6</v>
      </c>
      <c r="L23">
        <v>0.6</v>
      </c>
      <c r="M23">
        <v>0.6</v>
      </c>
      <c r="N23">
        <v>0.6</v>
      </c>
    </row>
    <row r="24" spans="1:14" ht="15" customHeight="1">
      <c r="B24" s="29" t="s">
        <v>1438</v>
      </c>
      <c r="C24" s="29" t="s">
        <v>1438</v>
      </c>
      <c r="D24" t="s">
        <v>1414</v>
      </c>
      <c r="E24">
        <v>49.5</v>
      </c>
      <c r="F24">
        <v>57600</v>
      </c>
      <c r="G24">
        <v>1</v>
      </c>
      <c r="H24">
        <v>1</v>
      </c>
      <c r="I24">
        <v>5</v>
      </c>
      <c r="J24">
        <v>5</v>
      </c>
      <c r="K24">
        <v>0.1</v>
      </c>
      <c r="L24">
        <v>0.1</v>
      </c>
      <c r="M24">
        <v>0.1</v>
      </c>
      <c r="N24">
        <v>0.1</v>
      </c>
    </row>
    <row r="25" spans="1:14" ht="16.5" customHeight="1">
      <c r="B25" s="29" t="s">
        <v>1439</v>
      </c>
      <c r="C25" s="29" t="s">
        <v>1440</v>
      </c>
      <c r="D25" t="s">
        <v>1414</v>
      </c>
      <c r="E25">
        <v>40.200000000000003</v>
      </c>
      <c r="F25">
        <v>73300</v>
      </c>
      <c r="G25">
        <v>3</v>
      </c>
      <c r="H25">
        <v>3</v>
      </c>
      <c r="I25">
        <v>10</v>
      </c>
      <c r="J25">
        <v>10</v>
      </c>
      <c r="K25">
        <v>0.6</v>
      </c>
      <c r="L25">
        <v>0.6</v>
      </c>
      <c r="M25">
        <v>0.6</v>
      </c>
      <c r="N25">
        <v>0.6</v>
      </c>
    </row>
    <row r="26" spans="1:14" ht="15" customHeight="1">
      <c r="B26" s="29" t="s">
        <v>1441</v>
      </c>
      <c r="C26" s="29" t="s">
        <v>1442</v>
      </c>
      <c r="D26" t="s">
        <v>1414</v>
      </c>
      <c r="E26">
        <v>40.200000000000003</v>
      </c>
      <c r="F26">
        <v>73300</v>
      </c>
      <c r="G26">
        <v>3</v>
      </c>
      <c r="H26">
        <v>3</v>
      </c>
      <c r="I26">
        <v>10</v>
      </c>
      <c r="J26">
        <v>10</v>
      </c>
      <c r="K26">
        <v>0.6</v>
      </c>
      <c r="L26">
        <v>0.6</v>
      </c>
      <c r="M26">
        <v>0.6</v>
      </c>
      <c r="N26">
        <v>0.6</v>
      </c>
    </row>
    <row r="27" spans="1:14" ht="16.5" customHeight="1">
      <c r="B27" s="29" t="s">
        <v>1443</v>
      </c>
      <c r="C27" s="29" t="s">
        <v>1444</v>
      </c>
      <c r="D27" t="s">
        <v>1414</v>
      </c>
      <c r="E27">
        <v>40.200000000000003</v>
      </c>
      <c r="F27">
        <v>73300</v>
      </c>
      <c r="G27">
        <v>3</v>
      </c>
      <c r="H27">
        <v>3</v>
      </c>
      <c r="I27">
        <v>10</v>
      </c>
      <c r="J27">
        <v>10</v>
      </c>
      <c r="K27">
        <v>0.6</v>
      </c>
      <c r="L27">
        <v>0.6</v>
      </c>
      <c r="M27">
        <v>0.6</v>
      </c>
      <c r="N27">
        <v>0.6</v>
      </c>
    </row>
    <row r="28" spans="1:14" ht="16.5" customHeight="1">
      <c r="B28" t="s">
        <v>1445</v>
      </c>
      <c r="C28" t="s">
        <v>1446</v>
      </c>
      <c r="D28" t="s">
        <v>1414</v>
      </c>
      <c r="E28">
        <v>42.2</v>
      </c>
      <c r="F28">
        <v>75100</v>
      </c>
      <c r="G28">
        <v>3</v>
      </c>
      <c r="H28">
        <v>3</v>
      </c>
      <c r="I28">
        <v>10</v>
      </c>
      <c r="J28">
        <v>10</v>
      </c>
      <c r="K28">
        <v>0.6</v>
      </c>
      <c r="L28">
        <v>0.6</v>
      </c>
      <c r="M28">
        <v>0.6</v>
      </c>
      <c r="N28">
        <v>0.6</v>
      </c>
    </row>
    <row r="29" spans="1:14" ht="16.5" customHeight="1">
      <c r="B29" t="s">
        <v>1447</v>
      </c>
      <c r="C29" t="s">
        <v>1448</v>
      </c>
      <c r="D29" t="s">
        <v>1414</v>
      </c>
      <c r="E29">
        <v>41.2</v>
      </c>
      <c r="F29">
        <v>76400</v>
      </c>
      <c r="G29">
        <v>3</v>
      </c>
      <c r="H29">
        <v>3</v>
      </c>
      <c r="I29">
        <v>10</v>
      </c>
      <c r="J29">
        <v>10</v>
      </c>
      <c r="K29">
        <v>0.6</v>
      </c>
      <c r="L29">
        <v>0.6</v>
      </c>
      <c r="M29">
        <v>0.6</v>
      </c>
      <c r="N29">
        <v>0.6</v>
      </c>
    </row>
    <row r="30" spans="1:14" ht="16.5" customHeight="1">
      <c r="A30" t="s">
        <v>1449</v>
      </c>
    </row>
    <row r="31" spans="1:14" ht="16.5" customHeight="1">
      <c r="B31" s="29" t="s">
        <v>1450</v>
      </c>
      <c r="C31" s="29" t="s">
        <v>1451</v>
      </c>
      <c r="D31" t="s">
        <v>1414</v>
      </c>
      <c r="E31">
        <v>26.7</v>
      </c>
      <c r="F31">
        <v>98300</v>
      </c>
      <c r="G31">
        <v>1</v>
      </c>
      <c r="H31">
        <v>10</v>
      </c>
      <c r="I31">
        <v>10</v>
      </c>
      <c r="J31">
        <v>300</v>
      </c>
      <c r="K31">
        <v>1.5</v>
      </c>
      <c r="L31">
        <v>1.5</v>
      </c>
      <c r="M31">
        <v>1.5</v>
      </c>
      <c r="N31">
        <v>1.5</v>
      </c>
    </row>
    <row r="32" spans="1:14" ht="16.5" customHeight="1">
      <c r="B32" s="29" t="s">
        <v>1452</v>
      </c>
      <c r="C32" s="29" t="s">
        <v>1453</v>
      </c>
      <c r="D32" t="s">
        <v>1414</v>
      </c>
      <c r="E32">
        <v>28.2</v>
      </c>
      <c r="F32">
        <v>94600</v>
      </c>
      <c r="G32">
        <v>1</v>
      </c>
      <c r="H32">
        <v>10</v>
      </c>
      <c r="I32">
        <v>10</v>
      </c>
      <c r="J32">
        <v>300</v>
      </c>
      <c r="K32">
        <v>1.5</v>
      </c>
      <c r="L32">
        <v>1.5</v>
      </c>
      <c r="M32">
        <v>1.5</v>
      </c>
      <c r="N32">
        <v>1.5</v>
      </c>
    </row>
    <row r="33" spans="1:14" ht="15" customHeight="1">
      <c r="B33" s="29" t="s">
        <v>1454</v>
      </c>
      <c r="C33" s="29" t="s">
        <v>1455</v>
      </c>
      <c r="D33" t="s">
        <v>1414</v>
      </c>
      <c r="E33">
        <v>25.8</v>
      </c>
      <c r="F33">
        <v>94600</v>
      </c>
      <c r="G33">
        <v>1</v>
      </c>
      <c r="H33">
        <v>10</v>
      </c>
      <c r="I33">
        <v>10</v>
      </c>
      <c r="J33">
        <v>300</v>
      </c>
      <c r="K33">
        <v>1.5</v>
      </c>
      <c r="L33">
        <v>1.5</v>
      </c>
      <c r="M33">
        <v>1.5</v>
      </c>
      <c r="N33">
        <v>1.5</v>
      </c>
    </row>
    <row r="34" spans="1:14" ht="16.5" customHeight="1">
      <c r="B34" s="29" t="s">
        <v>1456</v>
      </c>
      <c r="C34" s="29" t="s">
        <v>1457</v>
      </c>
      <c r="D34" t="s">
        <v>1414</v>
      </c>
      <c r="E34">
        <v>18.899999999999999</v>
      </c>
      <c r="F34">
        <v>96100</v>
      </c>
      <c r="G34">
        <v>1</v>
      </c>
      <c r="H34">
        <v>10</v>
      </c>
      <c r="I34">
        <v>10</v>
      </c>
      <c r="J34">
        <v>300</v>
      </c>
      <c r="K34">
        <v>1.5</v>
      </c>
      <c r="L34">
        <v>1.5</v>
      </c>
      <c r="M34">
        <v>1.5</v>
      </c>
      <c r="N34">
        <v>1.5</v>
      </c>
    </row>
    <row r="35" spans="1:14" ht="15" customHeight="1">
      <c r="B35" s="29" t="s">
        <v>1458</v>
      </c>
      <c r="C35" s="29" t="s">
        <v>1458</v>
      </c>
      <c r="D35" t="s">
        <v>1414</v>
      </c>
      <c r="E35">
        <v>11.9</v>
      </c>
      <c r="F35">
        <v>101000</v>
      </c>
      <c r="G35">
        <v>1</v>
      </c>
      <c r="H35">
        <v>10</v>
      </c>
      <c r="I35">
        <v>10</v>
      </c>
      <c r="J35">
        <v>300</v>
      </c>
      <c r="K35">
        <v>1.5</v>
      </c>
      <c r="L35">
        <v>1.5</v>
      </c>
      <c r="M35">
        <v>1.5</v>
      </c>
      <c r="N35">
        <v>1.5</v>
      </c>
    </row>
    <row r="36" spans="1:14" ht="15" customHeight="1">
      <c r="B36" s="29" t="s">
        <v>1459</v>
      </c>
      <c r="C36" t="s">
        <v>801</v>
      </c>
      <c r="D36" t="s">
        <v>1414</v>
      </c>
      <c r="E36">
        <v>8.9</v>
      </c>
      <c r="F36">
        <v>107000</v>
      </c>
      <c r="G36">
        <v>1</v>
      </c>
      <c r="H36">
        <v>10</v>
      </c>
      <c r="I36">
        <v>10</v>
      </c>
      <c r="J36">
        <v>300</v>
      </c>
      <c r="K36">
        <v>1.5</v>
      </c>
      <c r="L36">
        <v>1.5</v>
      </c>
      <c r="M36">
        <v>1.5</v>
      </c>
      <c r="N36">
        <v>1.5</v>
      </c>
    </row>
    <row r="37" spans="1:14" ht="15" customHeight="1">
      <c r="B37" s="29" t="s">
        <v>1460</v>
      </c>
      <c r="C37" t="s">
        <v>801</v>
      </c>
      <c r="D37" t="s">
        <v>1414</v>
      </c>
      <c r="E37">
        <v>20.7</v>
      </c>
      <c r="F37">
        <v>97500</v>
      </c>
      <c r="G37">
        <v>1</v>
      </c>
      <c r="H37">
        <v>10</v>
      </c>
      <c r="I37">
        <v>10</v>
      </c>
      <c r="J37">
        <v>300</v>
      </c>
      <c r="K37">
        <v>1.5</v>
      </c>
      <c r="L37">
        <v>1.5</v>
      </c>
      <c r="M37">
        <v>1.5</v>
      </c>
      <c r="N37">
        <v>1.5</v>
      </c>
    </row>
    <row r="38" spans="1:14" ht="15" customHeight="1">
      <c r="B38" s="29" t="s">
        <v>1461</v>
      </c>
      <c r="C38" t="s">
        <v>801</v>
      </c>
      <c r="D38" t="s">
        <v>1414</v>
      </c>
      <c r="E38">
        <v>20.7</v>
      </c>
      <c r="F38">
        <v>97500</v>
      </c>
      <c r="G38">
        <v>1</v>
      </c>
      <c r="H38">
        <v>10</v>
      </c>
      <c r="I38">
        <v>10</v>
      </c>
      <c r="J38">
        <v>300</v>
      </c>
      <c r="K38">
        <v>1.5</v>
      </c>
      <c r="L38">
        <v>1.5</v>
      </c>
      <c r="M38">
        <v>1.5</v>
      </c>
      <c r="N38">
        <v>1.5</v>
      </c>
    </row>
    <row r="39" spans="1:14" ht="16.5" customHeight="1">
      <c r="B39" s="29" t="s">
        <v>1462</v>
      </c>
      <c r="C39" s="29" t="s">
        <v>1463</v>
      </c>
      <c r="D39" t="s">
        <v>1414</v>
      </c>
      <c r="E39">
        <v>28.2</v>
      </c>
      <c r="F39">
        <v>107000</v>
      </c>
      <c r="G39">
        <v>1</v>
      </c>
      <c r="H39">
        <v>10</v>
      </c>
      <c r="I39">
        <v>10</v>
      </c>
      <c r="J39">
        <v>300</v>
      </c>
      <c r="K39">
        <v>1.5</v>
      </c>
      <c r="L39">
        <v>1.5</v>
      </c>
      <c r="M39">
        <v>1.5</v>
      </c>
      <c r="N39">
        <v>1.5</v>
      </c>
    </row>
    <row r="40" spans="1:14" ht="16.5" customHeight="1">
      <c r="B40" s="29" t="s">
        <v>1464</v>
      </c>
      <c r="C40" s="29" t="s">
        <v>1465</v>
      </c>
      <c r="D40" t="s">
        <v>1414</v>
      </c>
      <c r="E40">
        <v>28.2</v>
      </c>
      <c r="F40">
        <v>107000</v>
      </c>
      <c r="G40">
        <v>1</v>
      </c>
      <c r="H40">
        <v>1</v>
      </c>
      <c r="I40">
        <v>5</v>
      </c>
      <c r="J40">
        <v>5</v>
      </c>
      <c r="K40">
        <v>0.1</v>
      </c>
      <c r="L40">
        <v>0.1</v>
      </c>
      <c r="M40">
        <v>0.1</v>
      </c>
      <c r="N40">
        <v>0.1</v>
      </c>
    </row>
    <row r="41" spans="1:14" ht="15" customHeight="1">
      <c r="B41" s="29" t="s">
        <v>1466</v>
      </c>
      <c r="C41" t="s">
        <v>801</v>
      </c>
      <c r="D41" t="s">
        <v>1414</v>
      </c>
      <c r="E41">
        <v>28</v>
      </c>
      <c r="F41">
        <v>80700</v>
      </c>
      <c r="G41">
        <v>1</v>
      </c>
      <c r="H41">
        <v>10</v>
      </c>
      <c r="I41">
        <v>10</v>
      </c>
      <c r="J41">
        <v>300</v>
      </c>
      <c r="K41">
        <v>1.5</v>
      </c>
      <c r="L41">
        <v>1.5</v>
      </c>
      <c r="M41">
        <v>1.5</v>
      </c>
      <c r="N41">
        <v>1.5</v>
      </c>
    </row>
    <row r="42" spans="1:14" ht="16.5" customHeight="1">
      <c r="A42" t="s">
        <v>1467</v>
      </c>
    </row>
    <row r="43" spans="1:14" ht="16.5" customHeight="1">
      <c r="B43" s="29" t="s">
        <v>1468</v>
      </c>
      <c r="C43" t="s">
        <v>801</v>
      </c>
      <c r="D43" t="s">
        <v>1414</v>
      </c>
      <c r="E43">
        <v>38.700000000000003</v>
      </c>
      <c r="F43">
        <v>44400</v>
      </c>
      <c r="G43">
        <v>1</v>
      </c>
      <c r="H43">
        <v>1</v>
      </c>
      <c r="I43">
        <v>5</v>
      </c>
      <c r="J43">
        <v>5</v>
      </c>
      <c r="K43">
        <v>0.1</v>
      </c>
      <c r="L43">
        <v>0.1</v>
      </c>
      <c r="M43">
        <v>0.1</v>
      </c>
      <c r="N43">
        <v>0.1</v>
      </c>
    </row>
    <row r="44" spans="1:14" ht="15" customHeight="1">
      <c r="B44" s="29" t="s">
        <v>1469</v>
      </c>
      <c r="C44" s="29" t="s">
        <v>1470</v>
      </c>
      <c r="D44" t="s">
        <v>1414</v>
      </c>
      <c r="E44">
        <v>38.700000000000003</v>
      </c>
      <c r="F44">
        <v>44400</v>
      </c>
      <c r="G44">
        <v>1</v>
      </c>
      <c r="H44">
        <v>1</v>
      </c>
      <c r="I44">
        <v>5</v>
      </c>
      <c r="J44">
        <v>5</v>
      </c>
      <c r="K44">
        <v>0.1</v>
      </c>
      <c r="L44">
        <v>0.1</v>
      </c>
      <c r="M44">
        <v>0.1</v>
      </c>
      <c r="N44">
        <v>0.1</v>
      </c>
    </row>
    <row r="45" spans="1:14" ht="15" customHeight="1">
      <c r="B45" s="29" t="s">
        <v>1471</v>
      </c>
      <c r="C45" s="29" t="s">
        <v>1472</v>
      </c>
      <c r="D45" t="s">
        <v>1414</v>
      </c>
      <c r="E45">
        <v>2.4700000000000002</v>
      </c>
      <c r="F45">
        <v>260000</v>
      </c>
      <c r="G45">
        <v>1</v>
      </c>
      <c r="H45">
        <v>1</v>
      </c>
      <c r="I45">
        <v>5</v>
      </c>
      <c r="J45">
        <v>5</v>
      </c>
      <c r="K45">
        <v>0.1</v>
      </c>
      <c r="L45">
        <v>0.1</v>
      </c>
      <c r="M45">
        <v>0.1</v>
      </c>
      <c r="N45">
        <v>0.1</v>
      </c>
    </row>
    <row r="46" spans="1:14" ht="15" customHeight="1">
      <c r="B46" s="29" t="s">
        <v>1473</v>
      </c>
      <c r="C46" s="29" t="s">
        <v>1474</v>
      </c>
      <c r="D46" t="s">
        <v>1414</v>
      </c>
      <c r="E46">
        <v>7.06</v>
      </c>
      <c r="F46">
        <v>182000</v>
      </c>
      <c r="G46">
        <v>1</v>
      </c>
      <c r="H46">
        <v>1</v>
      </c>
      <c r="I46">
        <v>5</v>
      </c>
      <c r="J46">
        <v>5</v>
      </c>
      <c r="K46">
        <v>0.1</v>
      </c>
      <c r="L46">
        <v>0.1</v>
      </c>
      <c r="M46">
        <v>0.1</v>
      </c>
      <c r="N46">
        <v>0.1</v>
      </c>
    </row>
    <row r="47" spans="1:14" ht="16.5" customHeight="1">
      <c r="B47" s="29" t="s">
        <v>1475</v>
      </c>
      <c r="C47" s="29" t="s">
        <v>784</v>
      </c>
      <c r="D47" t="s">
        <v>1414</v>
      </c>
      <c r="E47">
        <v>48</v>
      </c>
      <c r="F47">
        <v>56100</v>
      </c>
      <c r="G47">
        <v>1</v>
      </c>
      <c r="H47">
        <v>1</v>
      </c>
      <c r="I47">
        <v>5</v>
      </c>
      <c r="J47">
        <v>5</v>
      </c>
      <c r="K47">
        <v>0.1</v>
      </c>
      <c r="L47">
        <v>0.1</v>
      </c>
      <c r="M47">
        <v>0.1</v>
      </c>
      <c r="N47">
        <v>0.1</v>
      </c>
    </row>
    <row r="48" spans="1:14" ht="16.5" customHeight="1">
      <c r="A48" t="s">
        <v>1476</v>
      </c>
    </row>
    <row r="49" spans="1:14" ht="16.5" customHeight="1">
      <c r="B49" s="29" t="s">
        <v>1477</v>
      </c>
      <c r="C49" t="s">
        <v>801</v>
      </c>
      <c r="D49" t="s">
        <v>1414</v>
      </c>
      <c r="E49">
        <v>10</v>
      </c>
      <c r="F49">
        <v>91700</v>
      </c>
      <c r="G49">
        <v>30</v>
      </c>
      <c r="H49">
        <v>30</v>
      </c>
      <c r="I49">
        <v>300</v>
      </c>
      <c r="J49">
        <v>300</v>
      </c>
      <c r="K49">
        <v>4</v>
      </c>
      <c r="L49">
        <v>4</v>
      </c>
      <c r="M49">
        <v>4</v>
      </c>
      <c r="N49">
        <v>4</v>
      </c>
    </row>
    <row r="50" spans="1:14" ht="15" customHeight="1">
      <c r="B50" s="29" t="s">
        <v>1478</v>
      </c>
      <c r="C50" t="s">
        <v>801</v>
      </c>
      <c r="D50" t="s">
        <v>1414</v>
      </c>
      <c r="F50">
        <v>143000</v>
      </c>
      <c r="G50">
        <v>30</v>
      </c>
      <c r="H50">
        <v>30</v>
      </c>
      <c r="I50">
        <v>300</v>
      </c>
      <c r="J50">
        <v>300</v>
      </c>
      <c r="K50">
        <v>4</v>
      </c>
      <c r="L50">
        <v>4</v>
      </c>
      <c r="M50">
        <v>4</v>
      </c>
      <c r="N50">
        <v>4</v>
      </c>
    </row>
    <row r="51" spans="1:14" ht="15" customHeight="1">
      <c r="B51" s="29" t="s">
        <v>980</v>
      </c>
      <c r="C51" t="s">
        <v>801</v>
      </c>
      <c r="D51" t="s">
        <v>1414</v>
      </c>
      <c r="E51">
        <v>40.200000000000003</v>
      </c>
      <c r="F51">
        <v>73300</v>
      </c>
      <c r="G51">
        <v>30</v>
      </c>
      <c r="H51">
        <v>30</v>
      </c>
      <c r="I51">
        <v>300</v>
      </c>
      <c r="J51">
        <v>300</v>
      </c>
      <c r="K51">
        <v>4</v>
      </c>
      <c r="L51">
        <v>4</v>
      </c>
      <c r="M51">
        <v>4</v>
      </c>
      <c r="N51">
        <v>4</v>
      </c>
    </row>
    <row r="52" spans="1:14" ht="15" customHeight="1">
      <c r="B52" s="29" t="s">
        <v>1479</v>
      </c>
      <c r="C52" s="29" t="s">
        <v>1480</v>
      </c>
      <c r="D52" t="s">
        <v>1414</v>
      </c>
      <c r="E52">
        <v>9.76</v>
      </c>
      <c r="F52">
        <v>106000</v>
      </c>
      <c r="G52">
        <v>1</v>
      </c>
      <c r="H52">
        <v>2</v>
      </c>
      <c r="I52">
        <v>10</v>
      </c>
      <c r="J52">
        <v>300</v>
      </c>
      <c r="K52">
        <v>1.5</v>
      </c>
      <c r="L52">
        <v>1.5</v>
      </c>
      <c r="M52">
        <v>1.5</v>
      </c>
      <c r="N52">
        <v>1.4</v>
      </c>
    </row>
    <row r="53" spans="1:14" ht="16.5" customHeight="1">
      <c r="A53" t="s">
        <v>1481</v>
      </c>
    </row>
    <row r="54" spans="1:14" ht="16.5" customHeight="1">
      <c r="B54" s="29" t="s">
        <v>1482</v>
      </c>
      <c r="C54" t="s">
        <v>801</v>
      </c>
      <c r="D54" t="s">
        <v>1414</v>
      </c>
      <c r="E54">
        <v>15.6</v>
      </c>
      <c r="F54">
        <v>112000</v>
      </c>
      <c r="G54">
        <v>30</v>
      </c>
      <c r="H54">
        <v>30</v>
      </c>
      <c r="I54">
        <v>300</v>
      </c>
      <c r="J54">
        <v>300</v>
      </c>
      <c r="K54">
        <v>4</v>
      </c>
      <c r="L54">
        <v>4</v>
      </c>
      <c r="M54">
        <v>4</v>
      </c>
      <c r="N54">
        <v>4</v>
      </c>
    </row>
    <row r="55" spans="1:14" ht="16.5" customHeight="1">
      <c r="B55" s="29" t="s">
        <v>1483</v>
      </c>
      <c r="C55" t="s">
        <v>801</v>
      </c>
      <c r="D55" t="s">
        <v>1414</v>
      </c>
      <c r="E55">
        <v>11.8</v>
      </c>
      <c r="F55">
        <v>95300</v>
      </c>
      <c r="G55">
        <v>3</v>
      </c>
      <c r="H55">
        <v>3</v>
      </c>
      <c r="I55">
        <v>3</v>
      </c>
      <c r="J55">
        <v>3</v>
      </c>
      <c r="K55">
        <v>2</v>
      </c>
      <c r="L55">
        <v>2</v>
      </c>
      <c r="M55">
        <v>2</v>
      </c>
      <c r="N55">
        <v>2</v>
      </c>
    </row>
    <row r="56" spans="1:14" ht="15" customHeight="1">
      <c r="B56" s="29" t="s">
        <v>1484</v>
      </c>
      <c r="C56" t="s">
        <v>801</v>
      </c>
      <c r="D56" t="s">
        <v>1414</v>
      </c>
      <c r="E56">
        <v>11.6</v>
      </c>
      <c r="F56">
        <v>100000</v>
      </c>
      <c r="G56">
        <v>30</v>
      </c>
      <c r="H56">
        <v>30</v>
      </c>
      <c r="I56">
        <v>300</v>
      </c>
      <c r="J56">
        <v>300</v>
      </c>
      <c r="K56">
        <v>4</v>
      </c>
      <c r="L56">
        <v>4</v>
      </c>
      <c r="M56">
        <v>4</v>
      </c>
      <c r="N56">
        <v>4</v>
      </c>
    </row>
    <row r="57" spans="1:14" ht="15" customHeight="1">
      <c r="B57" s="29" t="s">
        <v>1485</v>
      </c>
      <c r="C57" t="s">
        <v>801</v>
      </c>
      <c r="D57" t="s">
        <v>1414</v>
      </c>
      <c r="E57">
        <v>29.5</v>
      </c>
      <c r="F57">
        <v>112000</v>
      </c>
      <c r="G57">
        <v>200</v>
      </c>
      <c r="H57">
        <v>200</v>
      </c>
      <c r="I57">
        <v>200</v>
      </c>
      <c r="J57">
        <v>200</v>
      </c>
      <c r="K57">
        <v>4</v>
      </c>
      <c r="L57">
        <v>1</v>
      </c>
      <c r="M57">
        <v>4</v>
      </c>
      <c r="N57">
        <v>1</v>
      </c>
    </row>
    <row r="58" spans="1:14" ht="15" customHeight="1">
      <c r="B58" s="29" t="s">
        <v>1486</v>
      </c>
      <c r="C58" t="s">
        <v>801</v>
      </c>
      <c r="D58" t="s">
        <v>1414</v>
      </c>
      <c r="E58">
        <v>27</v>
      </c>
      <c r="F58">
        <v>70800</v>
      </c>
      <c r="G58">
        <v>3</v>
      </c>
      <c r="H58">
        <v>3</v>
      </c>
      <c r="I58">
        <v>10</v>
      </c>
      <c r="J58">
        <v>10</v>
      </c>
      <c r="K58">
        <v>0.6</v>
      </c>
      <c r="L58">
        <v>0.6</v>
      </c>
      <c r="M58">
        <v>0.6</v>
      </c>
      <c r="N58">
        <v>0.6</v>
      </c>
    </row>
    <row r="59" spans="1:14" ht="15" customHeight="1">
      <c r="B59" s="29" t="s">
        <v>1487</v>
      </c>
      <c r="C59" t="s">
        <v>801</v>
      </c>
      <c r="D59" t="s">
        <v>1414</v>
      </c>
      <c r="E59">
        <v>27</v>
      </c>
      <c r="F59">
        <v>70800</v>
      </c>
      <c r="G59">
        <v>3</v>
      </c>
      <c r="H59">
        <v>3</v>
      </c>
      <c r="I59">
        <v>10</v>
      </c>
      <c r="J59">
        <v>10</v>
      </c>
      <c r="K59">
        <v>0.6</v>
      </c>
      <c r="L59">
        <v>0.6</v>
      </c>
      <c r="M59">
        <v>0.6</v>
      </c>
      <c r="N59">
        <v>0.6</v>
      </c>
    </row>
    <row r="60" spans="1:14" ht="15" customHeight="1">
      <c r="B60" s="29" t="s">
        <v>1488</v>
      </c>
      <c r="C60" t="s">
        <v>801</v>
      </c>
      <c r="D60" t="s">
        <v>1414</v>
      </c>
      <c r="E60">
        <v>27.4</v>
      </c>
      <c r="F60">
        <v>79600</v>
      </c>
      <c r="G60">
        <v>3</v>
      </c>
      <c r="H60">
        <v>3</v>
      </c>
      <c r="I60">
        <v>10</v>
      </c>
      <c r="J60">
        <v>10</v>
      </c>
      <c r="K60">
        <v>0.6</v>
      </c>
      <c r="L60">
        <v>0.6</v>
      </c>
      <c r="M60">
        <v>0.6</v>
      </c>
      <c r="N60">
        <v>0.6</v>
      </c>
    </row>
    <row r="61" spans="1:14" ht="15" customHeight="1">
      <c r="B61" s="29" t="s">
        <v>1489</v>
      </c>
      <c r="C61" t="s">
        <v>801</v>
      </c>
      <c r="D61" t="s">
        <v>1414</v>
      </c>
      <c r="E61">
        <v>50.4</v>
      </c>
      <c r="F61">
        <v>54600</v>
      </c>
      <c r="G61">
        <v>1</v>
      </c>
      <c r="H61">
        <v>1</v>
      </c>
      <c r="I61">
        <v>5</v>
      </c>
      <c r="J61">
        <v>5</v>
      </c>
      <c r="K61">
        <v>0.1</v>
      </c>
      <c r="L61">
        <v>0.1</v>
      </c>
      <c r="M61">
        <v>0.1</v>
      </c>
      <c r="N61">
        <v>0.1</v>
      </c>
    </row>
    <row r="62" spans="1:14" ht="15" customHeight="1">
      <c r="B62" s="29" t="s">
        <v>1490</v>
      </c>
      <c r="C62" t="s">
        <v>801</v>
      </c>
      <c r="D62" t="s">
        <v>1414</v>
      </c>
      <c r="E62">
        <v>50.4</v>
      </c>
      <c r="F62">
        <v>54600</v>
      </c>
      <c r="G62">
        <v>1</v>
      </c>
      <c r="H62">
        <v>1</v>
      </c>
      <c r="I62">
        <v>5</v>
      </c>
      <c r="J62">
        <v>5</v>
      </c>
      <c r="K62">
        <v>0.1</v>
      </c>
      <c r="L62">
        <v>0.1</v>
      </c>
      <c r="M62">
        <v>0.1</v>
      </c>
      <c r="N62">
        <v>0.1</v>
      </c>
    </row>
    <row r="63" spans="1:14" ht="15" customHeight="1">
      <c r="B63" s="29" t="s">
        <v>1491</v>
      </c>
      <c r="C63" t="s">
        <v>801</v>
      </c>
      <c r="D63" t="s">
        <v>1414</v>
      </c>
      <c r="E63">
        <v>50.4</v>
      </c>
      <c r="F63">
        <v>54600</v>
      </c>
      <c r="G63">
        <v>1</v>
      </c>
      <c r="H63">
        <v>1</v>
      </c>
      <c r="I63">
        <v>5</v>
      </c>
      <c r="J63">
        <v>5</v>
      </c>
      <c r="K63">
        <v>0.1</v>
      </c>
      <c r="L63">
        <v>0.1</v>
      </c>
      <c r="M63">
        <v>0.1</v>
      </c>
      <c r="N63">
        <v>0.1</v>
      </c>
    </row>
    <row r="64" spans="1:14" ht="16.5" customHeight="1">
      <c r="B64" s="29" t="s">
        <v>1492</v>
      </c>
      <c r="C64" t="s">
        <v>801</v>
      </c>
      <c r="D64" t="s">
        <v>1414</v>
      </c>
      <c r="E64">
        <v>11.6</v>
      </c>
      <c r="F64">
        <v>100000</v>
      </c>
      <c r="G64">
        <v>30</v>
      </c>
      <c r="H64">
        <v>30</v>
      </c>
      <c r="I64">
        <v>300</v>
      </c>
      <c r="J64">
        <v>300</v>
      </c>
      <c r="K64">
        <v>4</v>
      </c>
      <c r="L64">
        <v>4</v>
      </c>
      <c r="M64">
        <v>4</v>
      </c>
      <c r="N64">
        <v>4</v>
      </c>
    </row>
    <row r="65" spans="1:1" ht="16.5" customHeight="1">
      <c r="A65" t="s">
        <v>1493</v>
      </c>
    </row>
    <row r="66" spans="1:1" ht="16.5" customHeight="1">
      <c r="A66" t="s">
        <v>1494</v>
      </c>
    </row>
  </sheetData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80"/>
  <sheetViews>
    <sheetView zoomScaleNormal="100" workbookViewId="0"/>
  </sheetViews>
  <sheetFormatPr defaultColWidth="8.7109375" defaultRowHeight="15"/>
  <cols>
    <col min="1" max="1" width="42" customWidth="1"/>
    <col min="2" max="2" width="15" customWidth="1"/>
    <col min="3" max="10" width="10" customWidth="1"/>
  </cols>
  <sheetData>
    <row r="1" spans="1:10" ht="16.5" customHeight="1">
      <c r="A1" s="223" t="s">
        <v>1495</v>
      </c>
    </row>
    <row r="2" spans="1:10" ht="15" customHeight="1">
      <c r="A2" s="219" t="s">
        <v>1496</v>
      </c>
    </row>
    <row r="4" spans="1:10" ht="45.75" customHeight="1">
      <c r="A4" s="220" t="s">
        <v>771</v>
      </c>
      <c r="B4" s="220" t="s">
        <v>1497</v>
      </c>
      <c r="C4" s="220" t="s">
        <v>1329</v>
      </c>
      <c r="D4" s="220" t="s">
        <v>1498</v>
      </c>
      <c r="E4" s="220" t="s">
        <v>1499</v>
      </c>
      <c r="F4" s="220" t="s">
        <v>1500</v>
      </c>
      <c r="G4" s="220" t="s">
        <v>775</v>
      </c>
      <c r="H4" s="220" t="s">
        <v>1501</v>
      </c>
      <c r="I4" s="220" t="s">
        <v>1502</v>
      </c>
      <c r="J4" s="220" t="s">
        <v>1503</v>
      </c>
    </row>
    <row r="5" spans="1:10" ht="15" customHeight="1">
      <c r="A5" s="29" t="s">
        <v>1504</v>
      </c>
      <c r="B5" s="29" t="s">
        <v>1413</v>
      </c>
      <c r="C5" t="s">
        <v>785</v>
      </c>
      <c r="D5">
        <v>45.7</v>
      </c>
      <c r="E5">
        <v>10920</v>
      </c>
      <c r="F5">
        <v>1.0920000000000001</v>
      </c>
      <c r="G5">
        <v>42.8</v>
      </c>
      <c r="H5">
        <v>10220</v>
      </c>
      <c r="I5">
        <v>1.022</v>
      </c>
    </row>
    <row r="6" spans="1:10" ht="15" customHeight="1">
      <c r="B6" s="29" t="s">
        <v>797</v>
      </c>
      <c r="C6" t="s">
        <v>793</v>
      </c>
      <c r="D6">
        <v>32.4</v>
      </c>
      <c r="E6">
        <v>7750</v>
      </c>
      <c r="F6">
        <v>0.77500000000000002</v>
      </c>
      <c r="G6">
        <v>30.1</v>
      </c>
      <c r="H6">
        <v>7200</v>
      </c>
      <c r="I6">
        <v>0.72</v>
      </c>
    </row>
    <row r="7" spans="1:10" ht="15" customHeight="1">
      <c r="B7" s="29" t="s">
        <v>1423</v>
      </c>
      <c r="C7" t="s">
        <v>793</v>
      </c>
      <c r="D7">
        <v>36.6</v>
      </c>
      <c r="E7">
        <v>8740</v>
      </c>
      <c r="F7">
        <v>0.874</v>
      </c>
      <c r="G7">
        <v>34.1</v>
      </c>
      <c r="H7">
        <v>8150</v>
      </c>
      <c r="I7">
        <v>0.81499999999999995</v>
      </c>
    </row>
    <row r="8" spans="1:10" ht="15" customHeight="1">
      <c r="B8" s="29" t="s">
        <v>792</v>
      </c>
      <c r="C8" t="s">
        <v>793</v>
      </c>
      <c r="D8">
        <v>37.799999999999997</v>
      </c>
      <c r="E8">
        <v>9020</v>
      </c>
      <c r="F8">
        <v>0.90200000000000002</v>
      </c>
      <c r="G8">
        <v>35.299999999999997</v>
      </c>
      <c r="H8">
        <v>8420</v>
      </c>
      <c r="I8">
        <v>0.84199999999999997</v>
      </c>
    </row>
    <row r="9" spans="1:10" ht="15" customHeight="1">
      <c r="B9" s="29" t="s">
        <v>1505</v>
      </c>
      <c r="C9" t="s">
        <v>793</v>
      </c>
      <c r="D9">
        <v>34.700000000000003</v>
      </c>
      <c r="E9">
        <v>8280</v>
      </c>
      <c r="F9">
        <v>0.82799999999999996</v>
      </c>
      <c r="G9">
        <v>32.299999999999997</v>
      </c>
      <c r="H9">
        <v>7730</v>
      </c>
      <c r="I9">
        <v>0.77300000000000002</v>
      </c>
    </row>
    <row r="10" spans="1:10" ht="16.5" customHeight="1">
      <c r="B10" t="s">
        <v>1446</v>
      </c>
      <c r="C10" t="s">
        <v>793</v>
      </c>
      <c r="D10">
        <v>39</v>
      </c>
      <c r="E10">
        <v>9310</v>
      </c>
      <c r="F10">
        <v>0.93100000000000005</v>
      </c>
      <c r="G10">
        <v>36.5</v>
      </c>
      <c r="H10">
        <v>8710</v>
      </c>
      <c r="I10">
        <v>0.871</v>
      </c>
    </row>
    <row r="11" spans="1:10" ht="16.5" customHeight="1">
      <c r="B11" t="s">
        <v>1448</v>
      </c>
      <c r="C11" t="s">
        <v>793</v>
      </c>
      <c r="D11">
        <v>40.6</v>
      </c>
      <c r="E11">
        <v>9690</v>
      </c>
      <c r="F11">
        <v>0.96899999999999997</v>
      </c>
      <c r="G11">
        <v>38.1</v>
      </c>
      <c r="H11">
        <v>9100</v>
      </c>
      <c r="I11">
        <v>0.91</v>
      </c>
    </row>
    <row r="12" spans="1:10" ht="16.5" customHeight="1">
      <c r="B12" t="s">
        <v>1427</v>
      </c>
      <c r="C12" t="s">
        <v>793</v>
      </c>
      <c r="D12">
        <v>41.8</v>
      </c>
      <c r="E12">
        <v>9980</v>
      </c>
      <c r="F12">
        <v>0.998</v>
      </c>
      <c r="G12">
        <v>39.299999999999997</v>
      </c>
      <c r="H12">
        <v>9390</v>
      </c>
      <c r="I12">
        <v>0.93899999999999995</v>
      </c>
    </row>
    <row r="13" spans="1:10" ht="16.5" customHeight="1">
      <c r="B13" s="29" t="s">
        <v>1506</v>
      </c>
      <c r="C13" t="s">
        <v>785</v>
      </c>
      <c r="D13">
        <v>50.2</v>
      </c>
      <c r="E13">
        <v>12000</v>
      </c>
      <c r="F13">
        <v>1.2</v>
      </c>
      <c r="G13">
        <v>46.2</v>
      </c>
      <c r="H13">
        <v>11040</v>
      </c>
      <c r="I13">
        <v>1.1040000000000001</v>
      </c>
    </row>
    <row r="14" spans="1:10" ht="16.5" customHeight="1">
      <c r="B14" s="29" t="s">
        <v>1507</v>
      </c>
      <c r="C14" t="s">
        <v>785</v>
      </c>
      <c r="D14">
        <v>49.3</v>
      </c>
      <c r="E14">
        <v>11790</v>
      </c>
      <c r="F14">
        <v>1.179</v>
      </c>
      <c r="G14">
        <v>45.5</v>
      </c>
      <c r="H14">
        <v>10880</v>
      </c>
      <c r="I14">
        <v>1.0880000000000001</v>
      </c>
    </row>
    <row r="15" spans="1:10" ht="15" customHeight="1">
      <c r="B15" s="29" t="s">
        <v>1430</v>
      </c>
      <c r="C15" t="s">
        <v>793</v>
      </c>
      <c r="D15">
        <v>32.200000000000003</v>
      </c>
      <c r="E15">
        <v>7700</v>
      </c>
      <c r="F15">
        <v>0.77</v>
      </c>
      <c r="G15">
        <v>29.9</v>
      </c>
      <c r="H15">
        <v>7140</v>
      </c>
      <c r="I15">
        <v>0.71399999999999997</v>
      </c>
    </row>
    <row r="16" spans="1:10" ht="15" customHeight="1">
      <c r="B16" s="29" t="s">
        <v>1442</v>
      </c>
      <c r="C16" t="s">
        <v>793</v>
      </c>
      <c r="D16">
        <v>32.799999999999997</v>
      </c>
      <c r="E16">
        <v>7830</v>
      </c>
      <c r="F16">
        <v>0.78300000000000003</v>
      </c>
      <c r="G16">
        <v>30.4</v>
      </c>
      <c r="H16">
        <v>7250</v>
      </c>
      <c r="I16">
        <v>0.72499999999999998</v>
      </c>
    </row>
    <row r="17" spans="1:9" ht="15" customHeight="1">
      <c r="B17" s="29" t="s">
        <v>796</v>
      </c>
      <c r="C17" t="s">
        <v>793</v>
      </c>
      <c r="D17">
        <v>36.5</v>
      </c>
      <c r="E17">
        <v>8720</v>
      </c>
      <c r="F17">
        <v>0.872</v>
      </c>
      <c r="G17">
        <v>34</v>
      </c>
      <c r="H17">
        <v>8120</v>
      </c>
      <c r="I17">
        <v>0.81200000000000006</v>
      </c>
    </row>
    <row r="18" spans="1:9" ht="15" customHeight="1">
      <c r="B18" s="29" t="s">
        <v>1433</v>
      </c>
      <c r="C18" t="s">
        <v>785</v>
      </c>
      <c r="D18">
        <v>41.4</v>
      </c>
      <c r="E18">
        <v>9880</v>
      </c>
      <c r="F18">
        <v>0.98799999999999999</v>
      </c>
      <c r="G18">
        <v>39</v>
      </c>
      <c r="H18">
        <v>9330</v>
      </c>
      <c r="I18">
        <v>0.93300000000000005</v>
      </c>
    </row>
    <row r="19" spans="1:9" ht="15" customHeight="1">
      <c r="B19" s="29" t="s">
        <v>1434</v>
      </c>
      <c r="C19" t="s">
        <v>793</v>
      </c>
      <c r="D19">
        <v>39.6</v>
      </c>
      <c r="E19">
        <v>9450</v>
      </c>
      <c r="F19">
        <v>0.94499999999999995</v>
      </c>
      <c r="G19">
        <v>37</v>
      </c>
      <c r="H19">
        <v>8830</v>
      </c>
      <c r="I19">
        <v>0.88300000000000001</v>
      </c>
    </row>
    <row r="20" spans="1:9" ht="15" customHeight="1">
      <c r="B20" s="29" t="s">
        <v>1508</v>
      </c>
      <c r="C20" t="s">
        <v>785</v>
      </c>
      <c r="D20">
        <v>34.9</v>
      </c>
      <c r="E20">
        <v>8330</v>
      </c>
      <c r="F20">
        <v>0.83299999999999996</v>
      </c>
      <c r="G20">
        <v>34.200000000000003</v>
      </c>
      <c r="H20">
        <v>8170</v>
      </c>
      <c r="I20">
        <v>0.81699999999999995</v>
      </c>
    </row>
    <row r="21" spans="1:9" ht="16.5" customHeight="1">
      <c r="B21" s="29" t="s">
        <v>1509</v>
      </c>
      <c r="C21" t="s">
        <v>793</v>
      </c>
      <c r="D21">
        <v>37.299999999999997</v>
      </c>
      <c r="E21">
        <v>8900</v>
      </c>
      <c r="F21">
        <v>0.89</v>
      </c>
      <c r="G21">
        <v>34.799999999999997</v>
      </c>
      <c r="H21">
        <v>8310</v>
      </c>
      <c r="I21">
        <v>0.83099999999999996</v>
      </c>
    </row>
    <row r="22" spans="1:9" ht="16.5" customHeight="1">
      <c r="B22" s="29" t="s">
        <v>1510</v>
      </c>
      <c r="C22" t="s">
        <v>793</v>
      </c>
      <c r="D22">
        <v>39.9</v>
      </c>
      <c r="E22">
        <v>9530</v>
      </c>
      <c r="F22">
        <v>0.95299999999999996</v>
      </c>
      <c r="G22">
        <v>37.700000000000003</v>
      </c>
      <c r="H22">
        <v>9010</v>
      </c>
      <c r="I22">
        <v>0.90100000000000002</v>
      </c>
    </row>
    <row r="23" spans="1:9" ht="16.5" customHeight="1">
      <c r="A23" s="29" t="s">
        <v>1511</v>
      </c>
      <c r="B23" s="29" t="s">
        <v>784</v>
      </c>
      <c r="C23" t="s">
        <v>785</v>
      </c>
      <c r="D23">
        <v>54.7</v>
      </c>
      <c r="E23">
        <v>13080</v>
      </c>
      <c r="F23">
        <v>1.3080000000000001</v>
      </c>
      <c r="G23">
        <v>49.4</v>
      </c>
      <c r="H23">
        <v>11800</v>
      </c>
      <c r="I23">
        <v>1.18</v>
      </c>
    </row>
    <row r="24" spans="1:9" ht="16.5" customHeight="1">
      <c r="B24" s="29" t="s">
        <v>782</v>
      </c>
      <c r="C24" t="s">
        <v>1512</v>
      </c>
      <c r="D24">
        <v>42.7</v>
      </c>
      <c r="E24">
        <v>10190</v>
      </c>
      <c r="F24">
        <v>1.0189999999999999</v>
      </c>
      <c r="G24">
        <v>38.5</v>
      </c>
      <c r="H24">
        <v>9190</v>
      </c>
      <c r="I24">
        <v>0.91900000000000004</v>
      </c>
    </row>
    <row r="25" spans="1:9" ht="16.5" customHeight="1">
      <c r="B25" s="29" t="s">
        <v>789</v>
      </c>
      <c r="C25" t="s">
        <v>1512</v>
      </c>
      <c r="D25">
        <v>63.4</v>
      </c>
      <c r="E25">
        <v>15150</v>
      </c>
      <c r="F25">
        <v>1.5149999999999999</v>
      </c>
      <c r="G25">
        <v>58.3</v>
      </c>
      <c r="H25">
        <v>13920</v>
      </c>
      <c r="I25">
        <v>1.3919999999999999</v>
      </c>
    </row>
    <row r="26" spans="1:9" ht="15" customHeight="1">
      <c r="A26" s="29" t="s">
        <v>1513</v>
      </c>
      <c r="B26" s="29" t="s">
        <v>1514</v>
      </c>
      <c r="C26" t="s">
        <v>785</v>
      </c>
      <c r="D26">
        <v>19.7</v>
      </c>
      <c r="E26">
        <v>4710</v>
      </c>
      <c r="F26">
        <v>0.47099999999999997</v>
      </c>
      <c r="G26">
        <v>19.399999999999999</v>
      </c>
      <c r="H26">
        <v>4620</v>
      </c>
      <c r="I26">
        <v>0.46200000000000002</v>
      </c>
    </row>
    <row r="27" spans="1:9" ht="15" customHeight="1">
      <c r="A27" s="29" t="s">
        <v>1513</v>
      </c>
      <c r="B27" s="29" t="s">
        <v>1515</v>
      </c>
      <c r="C27" t="s">
        <v>785</v>
      </c>
      <c r="D27">
        <v>23</v>
      </c>
      <c r="E27">
        <v>5500</v>
      </c>
      <c r="F27">
        <v>0.55000000000000004</v>
      </c>
      <c r="G27">
        <v>22.3</v>
      </c>
      <c r="H27">
        <v>5320</v>
      </c>
      <c r="I27">
        <v>0.53200000000000003</v>
      </c>
    </row>
    <row r="28" spans="1:9" ht="15" customHeight="1">
      <c r="B28" s="29" t="s">
        <v>1516</v>
      </c>
      <c r="C28" t="s">
        <v>785</v>
      </c>
      <c r="D28">
        <v>25.8</v>
      </c>
      <c r="E28">
        <v>6170</v>
      </c>
      <c r="F28">
        <v>0.61699999999999999</v>
      </c>
      <c r="G28">
        <v>25.3</v>
      </c>
      <c r="H28">
        <v>6040</v>
      </c>
      <c r="I28">
        <v>0.60399999999999998</v>
      </c>
    </row>
    <row r="29" spans="1:9" ht="16.5" customHeight="1">
      <c r="B29" s="29" t="s">
        <v>1517</v>
      </c>
      <c r="C29" t="s">
        <v>785</v>
      </c>
      <c r="D29">
        <v>24.6</v>
      </c>
      <c r="E29">
        <v>5860</v>
      </c>
      <c r="F29">
        <v>0.58599999999999997</v>
      </c>
      <c r="G29">
        <v>23.3</v>
      </c>
      <c r="H29">
        <v>5570</v>
      </c>
      <c r="I29">
        <v>0.55700000000000005</v>
      </c>
    </row>
    <row r="30" spans="1:9" ht="16.5" customHeight="1">
      <c r="B30" s="29" t="s">
        <v>1518</v>
      </c>
      <c r="C30" t="s">
        <v>785</v>
      </c>
      <c r="D30">
        <v>29.4</v>
      </c>
      <c r="E30">
        <v>7030</v>
      </c>
      <c r="F30">
        <v>0.70299999999999996</v>
      </c>
      <c r="G30">
        <v>28.3</v>
      </c>
      <c r="H30">
        <v>6760</v>
      </c>
      <c r="I30">
        <v>0.67600000000000005</v>
      </c>
    </row>
    <row r="31" spans="1:9" ht="15" customHeight="1">
      <c r="B31" s="29" t="s">
        <v>1457</v>
      </c>
      <c r="C31" t="s">
        <v>785</v>
      </c>
      <c r="D31">
        <v>20.6</v>
      </c>
      <c r="E31">
        <v>4920</v>
      </c>
      <c r="F31">
        <v>0.49199999999999999</v>
      </c>
      <c r="G31">
        <v>19.100000000000001</v>
      </c>
      <c r="H31">
        <v>4570</v>
      </c>
      <c r="I31">
        <v>0.45700000000000002</v>
      </c>
    </row>
    <row r="32" spans="1:9" ht="15" customHeight="1">
      <c r="B32" s="29" t="s">
        <v>1519</v>
      </c>
      <c r="C32" t="s">
        <v>785</v>
      </c>
      <c r="D32">
        <v>28.6</v>
      </c>
      <c r="E32">
        <v>6840</v>
      </c>
      <c r="F32">
        <v>0.68400000000000005</v>
      </c>
      <c r="G32">
        <v>28.5</v>
      </c>
      <c r="H32">
        <v>6810</v>
      </c>
      <c r="I32">
        <v>0.68100000000000005</v>
      </c>
    </row>
    <row r="33" spans="1:9" ht="16.5" customHeight="1">
      <c r="A33" s="29" t="s">
        <v>1520</v>
      </c>
      <c r="B33" s="29" t="s">
        <v>1521</v>
      </c>
      <c r="C33" t="s">
        <v>800</v>
      </c>
      <c r="D33">
        <v>8.9</v>
      </c>
      <c r="E33">
        <v>2130</v>
      </c>
      <c r="F33">
        <v>0.21299999999999999</v>
      </c>
      <c r="G33">
        <v>8.9</v>
      </c>
      <c r="H33">
        <v>2130</v>
      </c>
      <c r="I33">
        <v>0.21299999999999999</v>
      </c>
    </row>
    <row r="34" spans="1:9" ht="16.5" customHeight="1">
      <c r="B34" s="29" t="s">
        <v>1522</v>
      </c>
      <c r="C34" t="s">
        <v>800</v>
      </c>
      <c r="D34">
        <v>9.6</v>
      </c>
      <c r="E34">
        <v>2290</v>
      </c>
      <c r="F34">
        <v>0.22900000000000001</v>
      </c>
      <c r="G34">
        <v>9.6</v>
      </c>
      <c r="H34">
        <v>2290</v>
      </c>
      <c r="I34">
        <v>0.22900000000000001</v>
      </c>
    </row>
    <row r="35" spans="1:9" ht="15" customHeight="1">
      <c r="A35" s="29" t="s">
        <v>754</v>
      </c>
      <c r="B35" s="29" t="s">
        <v>1523</v>
      </c>
      <c r="C35" t="s">
        <v>785</v>
      </c>
      <c r="D35">
        <v>18.8</v>
      </c>
      <c r="E35">
        <v>4500</v>
      </c>
      <c r="F35">
        <v>0.45</v>
      </c>
    </row>
    <row r="36" spans="1:9" ht="16.5" customHeight="1">
      <c r="A36" s="29" t="s">
        <v>1524</v>
      </c>
    </row>
    <row r="37" spans="1:9" ht="16.5" customHeight="1">
      <c r="A37" s="29" t="s">
        <v>771</v>
      </c>
      <c r="B37" s="29" t="s">
        <v>1497</v>
      </c>
      <c r="C37" s="29" t="s">
        <v>1525</v>
      </c>
      <c r="D37" s="222" t="s">
        <v>1526</v>
      </c>
      <c r="E37" s="29" t="s">
        <v>1329</v>
      </c>
      <c r="F37" s="29" t="s">
        <v>1503</v>
      </c>
    </row>
    <row r="38" spans="1:9" ht="16.5" customHeight="1">
      <c r="A38" s="29" t="s">
        <v>1504</v>
      </c>
      <c r="B38" s="29" t="s">
        <v>797</v>
      </c>
      <c r="C38" t="s">
        <v>1527</v>
      </c>
      <c r="D38">
        <v>19.731000000000002</v>
      </c>
      <c r="E38" t="s">
        <v>1528</v>
      </c>
    </row>
    <row r="39" spans="1:9" ht="16.5" customHeight="1">
      <c r="A39" s="29" t="s">
        <v>1504</v>
      </c>
      <c r="B39" s="29" t="s">
        <v>1423</v>
      </c>
      <c r="C39" t="s">
        <v>1527</v>
      </c>
      <c r="D39">
        <v>19.925999999999998</v>
      </c>
      <c r="E39" t="s">
        <v>1528</v>
      </c>
    </row>
    <row r="40" spans="1:9" ht="16.5" customHeight="1">
      <c r="A40" s="29" t="s">
        <v>1504</v>
      </c>
      <c r="B40" s="29" t="s">
        <v>792</v>
      </c>
      <c r="C40" t="s">
        <v>1527</v>
      </c>
      <c r="D40">
        <v>20.09</v>
      </c>
      <c r="E40" t="s">
        <v>1528</v>
      </c>
    </row>
    <row r="41" spans="1:9" ht="16.5" customHeight="1">
      <c r="A41" s="29" t="s">
        <v>1504</v>
      </c>
      <c r="B41" t="s">
        <v>1446</v>
      </c>
      <c r="C41" t="s">
        <v>1527</v>
      </c>
      <c r="D41">
        <v>20.440000000000001</v>
      </c>
      <c r="E41" t="s">
        <v>1528</v>
      </c>
    </row>
    <row r="42" spans="1:9" ht="16.5" customHeight="1">
      <c r="A42" s="29" t="s">
        <v>1504</v>
      </c>
      <c r="B42" t="s">
        <v>1448</v>
      </c>
      <c r="C42" t="s">
        <v>1527</v>
      </c>
      <c r="D42">
        <v>20.9</v>
      </c>
      <c r="E42" t="s">
        <v>1528</v>
      </c>
    </row>
    <row r="43" spans="1:9" ht="16.5" customHeight="1">
      <c r="A43" s="29" t="s">
        <v>1504</v>
      </c>
      <c r="B43" t="s">
        <v>1427</v>
      </c>
      <c r="C43" t="s">
        <v>1527</v>
      </c>
      <c r="D43">
        <v>21.248999999999999</v>
      </c>
      <c r="E43" t="s">
        <v>1528</v>
      </c>
    </row>
    <row r="44" spans="1:9" ht="16.5" customHeight="1">
      <c r="A44" s="29" t="s">
        <v>1504</v>
      </c>
      <c r="B44" s="29" t="s">
        <v>1430</v>
      </c>
      <c r="C44" t="s">
        <v>1527</v>
      </c>
      <c r="D44">
        <v>19.082999999999998</v>
      </c>
      <c r="E44" t="s">
        <v>1528</v>
      </c>
    </row>
    <row r="45" spans="1:9" ht="16.5" customHeight="1">
      <c r="A45" s="29" t="s">
        <v>1504</v>
      </c>
      <c r="B45" s="29" t="s">
        <v>1442</v>
      </c>
      <c r="C45" t="s">
        <v>1527</v>
      </c>
      <c r="D45">
        <v>19.128</v>
      </c>
      <c r="E45" t="s">
        <v>1528</v>
      </c>
    </row>
    <row r="46" spans="1:9" ht="16.5" customHeight="1">
      <c r="A46" s="29" t="s">
        <v>1504</v>
      </c>
      <c r="B46" s="29" t="s">
        <v>1529</v>
      </c>
      <c r="C46" t="s">
        <v>1527</v>
      </c>
      <c r="D46">
        <v>19.956</v>
      </c>
      <c r="E46" t="s">
        <v>1528</v>
      </c>
    </row>
    <row r="47" spans="1:9" ht="16.5" customHeight="1">
      <c r="A47" s="29" t="s">
        <v>1504</v>
      </c>
      <c r="B47" s="29" t="s">
        <v>1433</v>
      </c>
      <c r="C47" t="s">
        <v>1527</v>
      </c>
      <c r="D47">
        <v>21.472999999999999</v>
      </c>
      <c r="E47" t="s">
        <v>1528</v>
      </c>
    </row>
    <row r="48" spans="1:9" ht="16.5" customHeight="1">
      <c r="A48" s="29" t="s">
        <v>1504</v>
      </c>
      <c r="B48" s="29" t="s">
        <v>1508</v>
      </c>
      <c r="C48" t="s">
        <v>1527</v>
      </c>
      <c r="D48">
        <v>26.192</v>
      </c>
      <c r="E48" t="s">
        <v>1528</v>
      </c>
    </row>
    <row r="49" spans="1:6" ht="16.5" customHeight="1">
      <c r="A49" s="29" t="s">
        <v>1504</v>
      </c>
      <c r="B49" s="29" t="s">
        <v>1434</v>
      </c>
      <c r="C49" t="s">
        <v>1527</v>
      </c>
      <c r="D49">
        <v>19.896999999999998</v>
      </c>
      <c r="E49" t="s">
        <v>1528</v>
      </c>
    </row>
    <row r="50" spans="1:6" ht="16.5" customHeight="1">
      <c r="A50" s="29" t="s">
        <v>1504</v>
      </c>
      <c r="B50" s="29" t="s">
        <v>1530</v>
      </c>
      <c r="C50" t="s">
        <v>1527</v>
      </c>
      <c r="D50">
        <v>20.164999999999999</v>
      </c>
      <c r="E50" t="s">
        <v>1528</v>
      </c>
    </row>
    <row r="51" spans="1:6" ht="16.5" customHeight="1">
      <c r="A51" s="29" t="s">
        <v>1504</v>
      </c>
      <c r="B51" s="29" t="s">
        <v>1531</v>
      </c>
      <c r="C51" t="s">
        <v>1527</v>
      </c>
      <c r="D51">
        <v>21.876999999999999</v>
      </c>
      <c r="E51" t="s">
        <v>1528</v>
      </c>
    </row>
    <row r="52" spans="1:6" ht="16.5" customHeight="1">
      <c r="A52" s="29" t="s">
        <v>1504</v>
      </c>
      <c r="B52" s="29" t="s">
        <v>1506</v>
      </c>
      <c r="C52" t="s">
        <v>1527</v>
      </c>
      <c r="D52">
        <v>17.63</v>
      </c>
      <c r="E52" t="s">
        <v>1528</v>
      </c>
    </row>
    <row r="53" spans="1:6" ht="16.5" customHeight="1">
      <c r="A53" s="29" t="s">
        <v>1504</v>
      </c>
      <c r="B53" s="29" t="s">
        <v>1507</v>
      </c>
      <c r="C53" t="s">
        <v>1527</v>
      </c>
      <c r="D53">
        <v>18.094000000000001</v>
      </c>
      <c r="E53" t="s">
        <v>1528</v>
      </c>
    </row>
    <row r="54" spans="1:6" ht="16.5" customHeight="1">
      <c r="A54" s="29" t="s">
        <v>1511</v>
      </c>
      <c r="B54" s="29" t="s">
        <v>784</v>
      </c>
      <c r="C54" t="s">
        <v>1527</v>
      </c>
      <c r="D54">
        <v>15.281000000000001</v>
      </c>
      <c r="E54" t="s">
        <v>1528</v>
      </c>
    </row>
    <row r="55" spans="1:6" ht="16.5" customHeight="1">
      <c r="A55" s="29" t="s">
        <v>1511</v>
      </c>
      <c r="B55" s="29" t="s">
        <v>782</v>
      </c>
      <c r="C55" t="s">
        <v>1527</v>
      </c>
      <c r="D55">
        <v>15.236000000000001</v>
      </c>
      <c r="E55" t="s">
        <v>1528</v>
      </c>
    </row>
    <row r="56" spans="1:6" ht="16.5" customHeight="1">
      <c r="A56" s="29" t="s">
        <v>1511</v>
      </c>
      <c r="B56" s="29" t="s">
        <v>789</v>
      </c>
      <c r="C56" t="s">
        <v>1527</v>
      </c>
      <c r="D56">
        <v>17.452999999999999</v>
      </c>
      <c r="E56" t="s">
        <v>1528</v>
      </c>
    </row>
    <row r="57" spans="1:6" ht="16.5" customHeight="1">
      <c r="A57" s="29" t="s">
        <v>1513</v>
      </c>
      <c r="B57" s="29" t="s">
        <v>1514</v>
      </c>
      <c r="C57" t="s">
        <v>1527</v>
      </c>
      <c r="D57">
        <v>29.704999999999998</v>
      </c>
      <c r="E57" t="s">
        <v>1528</v>
      </c>
    </row>
    <row r="58" spans="1:6" ht="16.5" customHeight="1">
      <c r="A58" s="29" t="s">
        <v>1513</v>
      </c>
      <c r="B58" s="29" t="s">
        <v>1532</v>
      </c>
      <c r="C58" t="s">
        <v>1527</v>
      </c>
      <c r="D58">
        <v>27.32</v>
      </c>
      <c r="E58" t="s">
        <v>1528</v>
      </c>
    </row>
    <row r="59" spans="1:6" ht="16.5" customHeight="1">
      <c r="A59" s="29" t="s">
        <v>1513</v>
      </c>
      <c r="B59" s="29" t="s">
        <v>1533</v>
      </c>
      <c r="C59" t="s">
        <v>1527</v>
      </c>
      <c r="D59">
        <v>28.99</v>
      </c>
      <c r="E59" t="s">
        <v>1528</v>
      </c>
    </row>
    <row r="60" spans="1:6" ht="16.5" customHeight="1">
      <c r="A60" s="29" t="s">
        <v>1513</v>
      </c>
      <c r="B60" s="29" t="s">
        <v>1534</v>
      </c>
      <c r="C60" t="s">
        <v>1527</v>
      </c>
      <c r="D60">
        <v>26.105</v>
      </c>
      <c r="E60" t="s">
        <v>1528</v>
      </c>
    </row>
    <row r="61" spans="1:6" ht="16.5" customHeight="1">
      <c r="A61" s="29" t="s">
        <v>1513</v>
      </c>
      <c r="B61" s="29" t="s">
        <v>1535</v>
      </c>
      <c r="C61" t="s">
        <v>1527</v>
      </c>
      <c r="D61">
        <v>25.349</v>
      </c>
      <c r="E61" t="s">
        <v>1528</v>
      </c>
    </row>
    <row r="62" spans="1:6" ht="16.5" customHeight="1">
      <c r="A62" s="29" t="s">
        <v>1513</v>
      </c>
      <c r="B62" s="29" t="s">
        <v>1457</v>
      </c>
      <c r="C62" t="s">
        <v>1527</v>
      </c>
      <c r="D62">
        <v>26.867999999999999</v>
      </c>
      <c r="E62" t="s">
        <v>1528</v>
      </c>
    </row>
    <row r="63" spans="1:6" ht="16.5" customHeight="1">
      <c r="A63" s="29" t="s">
        <v>1536</v>
      </c>
    </row>
    <row r="64" spans="1:6" ht="16.5" customHeight="1">
      <c r="A64" s="29" t="s">
        <v>771</v>
      </c>
      <c r="B64" s="29" t="s">
        <v>1537</v>
      </c>
      <c r="C64" s="224" t="s">
        <v>1538</v>
      </c>
      <c r="D64" s="224" t="s">
        <v>1539</v>
      </c>
      <c r="E64" s="29" t="s">
        <v>1329</v>
      </c>
      <c r="F64" s="29" t="s">
        <v>1503</v>
      </c>
    </row>
    <row r="65" spans="1:5" ht="15" customHeight="1">
      <c r="A65" s="29" t="s">
        <v>1002</v>
      </c>
      <c r="B65" s="29" t="s">
        <v>1513</v>
      </c>
      <c r="C65">
        <v>0.25</v>
      </c>
      <c r="D65">
        <v>1.66</v>
      </c>
      <c r="E65" t="s">
        <v>1540</v>
      </c>
    </row>
    <row r="66" spans="1:5" ht="16.5" customHeight="1">
      <c r="A66" s="29" t="s">
        <v>1541</v>
      </c>
      <c r="B66" s="29" t="s">
        <v>1542</v>
      </c>
      <c r="C66">
        <v>0.08</v>
      </c>
      <c r="D66">
        <v>0.31</v>
      </c>
      <c r="E66" t="s">
        <v>1540</v>
      </c>
    </row>
    <row r="67" spans="1:5" ht="16.5" customHeight="1">
      <c r="A67" s="29" t="s">
        <v>1541</v>
      </c>
      <c r="B67" s="29" t="s">
        <v>1543</v>
      </c>
      <c r="C67">
        <v>0.08</v>
      </c>
      <c r="D67">
        <v>1.54</v>
      </c>
      <c r="E67" t="s">
        <v>1540</v>
      </c>
    </row>
    <row r="68" spans="1:5" ht="16.5" customHeight="1">
      <c r="A68" s="29" t="s">
        <v>1541</v>
      </c>
      <c r="B68" s="29" t="s">
        <v>1544</v>
      </c>
      <c r="C68">
        <v>0.1</v>
      </c>
      <c r="D68">
        <v>0.82</v>
      </c>
      <c r="E68" t="s">
        <v>1540</v>
      </c>
    </row>
    <row r="69" spans="1:5" ht="16.5" customHeight="1">
      <c r="A69" s="29" t="s">
        <v>1541</v>
      </c>
      <c r="B69" s="29" t="s">
        <v>1545</v>
      </c>
      <c r="C69">
        <v>0.17</v>
      </c>
      <c r="D69">
        <v>1.59</v>
      </c>
      <c r="E69" t="s">
        <v>1540</v>
      </c>
    </row>
    <row r="70" spans="1:5" ht="16.5" customHeight="1">
      <c r="A70" s="29" t="s">
        <v>1541</v>
      </c>
      <c r="B70" s="29" t="s">
        <v>1546</v>
      </c>
      <c r="C70">
        <v>0.11</v>
      </c>
      <c r="D70">
        <v>6.66</v>
      </c>
      <c r="E70" t="s">
        <v>1540</v>
      </c>
    </row>
    <row r="71" spans="1:5" ht="16.5" customHeight="1">
      <c r="A71" s="29" t="s">
        <v>1541</v>
      </c>
      <c r="B71" s="29" t="s">
        <v>1547</v>
      </c>
      <c r="C71">
        <v>0.08</v>
      </c>
      <c r="D71">
        <v>22.29</v>
      </c>
      <c r="E71" t="s">
        <v>1540</v>
      </c>
    </row>
    <row r="72" spans="1:5" ht="16.5" customHeight="1">
      <c r="A72" s="29" t="s">
        <v>1541</v>
      </c>
      <c r="B72" s="29" t="s">
        <v>1548</v>
      </c>
      <c r="C72">
        <v>4.91</v>
      </c>
      <c r="D72">
        <v>2.17</v>
      </c>
      <c r="E72" t="s">
        <v>1540</v>
      </c>
    </row>
    <row r="73" spans="1:5" ht="15" customHeight="1">
      <c r="A73" s="29" t="s">
        <v>1002</v>
      </c>
      <c r="B73" s="29" t="s">
        <v>1504</v>
      </c>
      <c r="C73">
        <v>0.15</v>
      </c>
      <c r="D73">
        <v>1.75</v>
      </c>
      <c r="E73" t="s">
        <v>1540</v>
      </c>
    </row>
    <row r="74" spans="1:5" ht="16.5" customHeight="1">
      <c r="A74" s="29" t="s">
        <v>1541</v>
      </c>
      <c r="B74" s="29" t="s">
        <v>1549</v>
      </c>
      <c r="C74">
        <v>0.05</v>
      </c>
      <c r="D74">
        <v>1.7</v>
      </c>
      <c r="E74" t="s">
        <v>1540</v>
      </c>
    </row>
    <row r="75" spans="1:5" ht="16.5" customHeight="1">
      <c r="A75" s="29" t="s">
        <v>1541</v>
      </c>
      <c r="B75" s="29" t="s">
        <v>1550</v>
      </c>
      <c r="C75">
        <v>0.44</v>
      </c>
      <c r="D75">
        <v>1.69</v>
      </c>
      <c r="E75" t="s">
        <v>1540</v>
      </c>
    </row>
    <row r="76" spans="1:5" ht="16.5" customHeight="1">
      <c r="A76" s="29" t="s">
        <v>1541</v>
      </c>
      <c r="B76" s="29" t="s">
        <v>1551</v>
      </c>
      <c r="C76">
        <v>0.33</v>
      </c>
      <c r="D76">
        <v>1.98</v>
      </c>
      <c r="E76" t="s">
        <v>1540</v>
      </c>
    </row>
    <row r="77" spans="1:5" ht="15" customHeight="1">
      <c r="A77" s="29" t="s">
        <v>1541</v>
      </c>
      <c r="B77" s="29" t="s">
        <v>1552</v>
      </c>
      <c r="C77">
        <v>0.1</v>
      </c>
      <c r="D77">
        <v>3.45</v>
      </c>
      <c r="E77" t="s">
        <v>1540</v>
      </c>
    </row>
    <row r="78" spans="1:5" ht="16.5" customHeight="1">
      <c r="A78" s="29" t="s">
        <v>1002</v>
      </c>
      <c r="B78" s="29" t="s">
        <v>1553</v>
      </c>
      <c r="C78">
        <v>0.41</v>
      </c>
      <c r="D78">
        <v>1.06</v>
      </c>
      <c r="E78" t="s">
        <v>1540</v>
      </c>
    </row>
    <row r="79" spans="1:5" ht="15" customHeight="1">
      <c r="A79" s="29" t="s">
        <v>1541</v>
      </c>
      <c r="B79" s="29" t="s">
        <v>1554</v>
      </c>
      <c r="C79">
        <v>0.19</v>
      </c>
      <c r="D79">
        <v>0.93</v>
      </c>
      <c r="E79" t="s">
        <v>1540</v>
      </c>
    </row>
    <row r="80" spans="1:5" ht="15" customHeight="1">
      <c r="A80" s="29" t="s">
        <v>1541</v>
      </c>
      <c r="B80" s="29" t="s">
        <v>1555</v>
      </c>
      <c r="C80">
        <v>0.41</v>
      </c>
      <c r="D80">
        <v>1.06</v>
      </c>
      <c r="E80" t="s">
        <v>1540</v>
      </c>
    </row>
  </sheetData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8"/>
  <sheetViews>
    <sheetView zoomScaleNormal="100" workbookViewId="0"/>
  </sheetViews>
  <sheetFormatPr defaultColWidth="8.7109375" defaultRowHeight="15"/>
  <cols>
    <col min="1" max="1" width="10" customWidth="1"/>
    <col min="2" max="3" width="15" customWidth="1"/>
    <col min="4" max="4" width="10" customWidth="1"/>
  </cols>
  <sheetData>
    <row r="1" spans="1:4" ht="16.5" customHeight="1">
      <c r="A1" s="218" t="s">
        <v>1556</v>
      </c>
    </row>
    <row r="2" spans="1:4" ht="15" customHeight="1">
      <c r="A2" s="219" t="s">
        <v>1557</v>
      </c>
    </row>
    <row r="4" spans="1:4" ht="32.25" customHeight="1">
      <c r="A4" s="220" t="s">
        <v>1558</v>
      </c>
      <c r="B4" s="220" t="s">
        <v>1559</v>
      </c>
      <c r="C4" s="220" t="s">
        <v>1560</v>
      </c>
      <c r="D4" s="221" t="s">
        <v>1561</v>
      </c>
    </row>
    <row r="5" spans="1:4" ht="15" customHeight="1">
      <c r="A5" t="s">
        <v>1014</v>
      </c>
      <c r="B5" s="29" t="s">
        <v>1562</v>
      </c>
      <c r="C5" t="s">
        <v>1563</v>
      </c>
      <c r="D5">
        <v>1</v>
      </c>
    </row>
    <row r="6" spans="1:4" ht="15" customHeight="1">
      <c r="A6" t="s">
        <v>1564</v>
      </c>
      <c r="B6" s="29" t="s">
        <v>1565</v>
      </c>
      <c r="C6" t="s">
        <v>1566</v>
      </c>
      <c r="D6">
        <v>21</v>
      </c>
    </row>
    <row r="7" spans="1:4" ht="15" customHeight="1">
      <c r="A7" t="s">
        <v>1039</v>
      </c>
      <c r="B7" s="29" t="s">
        <v>1567</v>
      </c>
      <c r="C7" t="s">
        <v>1568</v>
      </c>
      <c r="D7">
        <v>310</v>
      </c>
    </row>
    <row r="8" spans="1:4" ht="15" customHeight="1">
      <c r="A8" t="s">
        <v>1569</v>
      </c>
      <c r="B8" t="s">
        <v>1570</v>
      </c>
      <c r="C8" t="s">
        <v>1571</v>
      </c>
      <c r="D8">
        <v>11700</v>
      </c>
    </row>
    <row r="9" spans="1:4" ht="15" customHeight="1">
      <c r="A9" t="s">
        <v>1572</v>
      </c>
      <c r="B9" t="s">
        <v>1573</v>
      </c>
      <c r="C9" t="s">
        <v>1574</v>
      </c>
      <c r="D9">
        <v>650</v>
      </c>
    </row>
    <row r="10" spans="1:4" ht="15" customHeight="1">
      <c r="A10" t="s">
        <v>1575</v>
      </c>
      <c r="B10" t="s">
        <v>1576</v>
      </c>
      <c r="C10" t="s">
        <v>1577</v>
      </c>
      <c r="D10">
        <v>150</v>
      </c>
    </row>
    <row r="11" spans="1:4" ht="15" customHeight="1">
      <c r="A11" t="s">
        <v>1578</v>
      </c>
      <c r="B11" t="s">
        <v>1579</v>
      </c>
      <c r="C11" t="s">
        <v>1580</v>
      </c>
      <c r="D11">
        <v>1300</v>
      </c>
    </row>
    <row r="12" spans="1:4" ht="15" customHeight="1">
      <c r="A12" t="s">
        <v>1581</v>
      </c>
      <c r="B12" t="s">
        <v>1582</v>
      </c>
      <c r="C12" t="s">
        <v>1583</v>
      </c>
      <c r="D12">
        <v>2800</v>
      </c>
    </row>
    <row r="13" spans="1:4" ht="15" customHeight="1">
      <c r="A13" t="s">
        <v>1584</v>
      </c>
      <c r="B13" t="s">
        <v>1585</v>
      </c>
      <c r="C13" t="s">
        <v>1586</v>
      </c>
      <c r="D13">
        <v>1000</v>
      </c>
    </row>
    <row r="14" spans="1:4" ht="15" customHeight="1">
      <c r="A14" t="s">
        <v>1587</v>
      </c>
      <c r="B14" t="s">
        <v>1588</v>
      </c>
      <c r="C14" t="s">
        <v>1589</v>
      </c>
      <c r="D14">
        <v>1300</v>
      </c>
    </row>
    <row r="15" spans="1:4" ht="15" customHeight="1">
      <c r="A15" t="s">
        <v>1590</v>
      </c>
      <c r="B15" t="s">
        <v>1591</v>
      </c>
      <c r="C15" t="s">
        <v>1592</v>
      </c>
      <c r="D15">
        <v>140</v>
      </c>
    </row>
    <row r="16" spans="1:4" ht="15" customHeight="1">
      <c r="A16" t="s">
        <v>1593</v>
      </c>
      <c r="B16" t="s">
        <v>1594</v>
      </c>
      <c r="C16" t="s">
        <v>1595</v>
      </c>
      <c r="D16">
        <v>300</v>
      </c>
    </row>
    <row r="17" spans="1:4" ht="15" customHeight="1">
      <c r="A17" t="s">
        <v>1596</v>
      </c>
      <c r="B17" t="s">
        <v>1597</v>
      </c>
      <c r="C17" t="s">
        <v>1595</v>
      </c>
      <c r="D17">
        <v>3800</v>
      </c>
    </row>
    <row r="18" spans="1:4" ht="15" customHeight="1">
      <c r="A18" t="s">
        <v>1598</v>
      </c>
      <c r="B18" t="s">
        <v>1599</v>
      </c>
      <c r="C18" t="s">
        <v>1600</v>
      </c>
      <c r="D18">
        <v>2900</v>
      </c>
    </row>
    <row r="19" spans="1:4" ht="15" customHeight="1">
      <c r="A19" t="s">
        <v>1601</v>
      </c>
      <c r="B19" t="s">
        <v>1602</v>
      </c>
      <c r="C19" t="s">
        <v>1603</v>
      </c>
      <c r="D19">
        <v>6300</v>
      </c>
    </row>
    <row r="20" spans="1:4" ht="15" customHeight="1">
      <c r="A20" t="s">
        <v>1604</v>
      </c>
      <c r="B20" t="s">
        <v>1605</v>
      </c>
      <c r="C20" t="s">
        <v>1606</v>
      </c>
      <c r="D20">
        <v>560</v>
      </c>
    </row>
    <row r="21" spans="1:4" ht="15" customHeight="1">
      <c r="A21" t="s">
        <v>1607</v>
      </c>
      <c r="B21" t="s">
        <v>1608</v>
      </c>
      <c r="C21" t="s">
        <v>1609</v>
      </c>
      <c r="D21">
        <v>6500</v>
      </c>
    </row>
    <row r="22" spans="1:4" ht="15" customHeight="1">
      <c r="A22" t="s">
        <v>1610</v>
      </c>
      <c r="B22" t="s">
        <v>1611</v>
      </c>
      <c r="C22" t="s">
        <v>1612</v>
      </c>
      <c r="D22">
        <v>9200</v>
      </c>
    </row>
    <row r="23" spans="1:4" ht="15" customHeight="1">
      <c r="A23" t="s">
        <v>1613</v>
      </c>
      <c r="B23" t="s">
        <v>1614</v>
      </c>
      <c r="C23" t="s">
        <v>1615</v>
      </c>
      <c r="D23">
        <v>7000</v>
      </c>
    </row>
    <row r="24" spans="1:4" ht="15" customHeight="1">
      <c r="A24" t="s">
        <v>1616</v>
      </c>
      <c r="B24" t="s">
        <v>1617</v>
      </c>
      <c r="C24" t="s">
        <v>1618</v>
      </c>
      <c r="D24">
        <v>8700</v>
      </c>
    </row>
    <row r="25" spans="1:4" ht="15" customHeight="1">
      <c r="A25" t="s">
        <v>1619</v>
      </c>
      <c r="B25" t="s">
        <v>1620</v>
      </c>
      <c r="C25" t="s">
        <v>1621</v>
      </c>
      <c r="D25">
        <v>7000</v>
      </c>
    </row>
    <row r="26" spans="1:4" ht="15" customHeight="1">
      <c r="A26" t="s">
        <v>1622</v>
      </c>
      <c r="B26" t="s">
        <v>1623</v>
      </c>
      <c r="C26" t="s">
        <v>1624</v>
      </c>
      <c r="D26">
        <v>7500</v>
      </c>
    </row>
    <row r="27" spans="1:4" ht="15" customHeight="1">
      <c r="A27" t="s">
        <v>1625</v>
      </c>
      <c r="B27" t="s">
        <v>1626</v>
      </c>
      <c r="C27" t="s">
        <v>1627</v>
      </c>
      <c r="D27">
        <v>7400</v>
      </c>
    </row>
    <row r="28" spans="1:4" ht="15" customHeight="1">
      <c r="A28" t="s">
        <v>1628</v>
      </c>
      <c r="B28" s="29" t="s">
        <v>1629</v>
      </c>
      <c r="C28" t="s">
        <v>1630</v>
      </c>
      <c r="D28">
        <v>23900</v>
      </c>
    </row>
  </sheetData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8"/>
  <sheetViews>
    <sheetView zoomScaleNormal="100" workbookViewId="0"/>
  </sheetViews>
  <sheetFormatPr defaultColWidth="8.7109375" defaultRowHeight="15"/>
  <cols>
    <col min="1" max="1" width="24" customWidth="1"/>
    <col min="2" max="2" width="15" customWidth="1"/>
    <col min="3" max="3" width="14" customWidth="1"/>
  </cols>
  <sheetData>
    <row r="1" spans="1:3" ht="16.5" customHeight="1">
      <c r="A1" s="218" t="s">
        <v>1631</v>
      </c>
    </row>
    <row r="2" spans="1:3" ht="15" customHeight="1">
      <c r="A2" s="219" t="s">
        <v>1632</v>
      </c>
    </row>
    <row r="4" spans="1:3" ht="32.25" customHeight="1">
      <c r="A4" s="220" t="s">
        <v>1633</v>
      </c>
      <c r="B4" s="220" t="s">
        <v>1634</v>
      </c>
      <c r="C4" s="221" t="s">
        <v>1635</v>
      </c>
    </row>
    <row r="5" spans="1:3" ht="15" customHeight="1">
      <c r="A5" s="29" t="s">
        <v>797</v>
      </c>
      <c r="B5" s="29" t="s">
        <v>797</v>
      </c>
      <c r="C5" s="29" t="s">
        <v>797</v>
      </c>
    </row>
    <row r="6" spans="1:3" ht="15" customHeight="1">
      <c r="A6" s="29" t="s">
        <v>1423</v>
      </c>
      <c r="B6" s="29" t="s">
        <v>1423</v>
      </c>
      <c r="C6" s="29" t="s">
        <v>1423</v>
      </c>
    </row>
    <row r="7" spans="1:3" ht="15" customHeight="1">
      <c r="A7" s="29" t="s">
        <v>795</v>
      </c>
      <c r="B7" s="29" t="s">
        <v>1423</v>
      </c>
      <c r="C7" s="29" t="s">
        <v>1423</v>
      </c>
    </row>
    <row r="8" spans="1:3" ht="15" customHeight="1">
      <c r="A8" s="29" t="s">
        <v>794</v>
      </c>
      <c r="B8" s="29" t="s">
        <v>1423</v>
      </c>
      <c r="C8" s="29" t="s">
        <v>1423</v>
      </c>
    </row>
    <row r="9" spans="1:3" ht="15" customHeight="1">
      <c r="A9" s="29" t="s">
        <v>792</v>
      </c>
      <c r="B9" s="29" t="s">
        <v>792</v>
      </c>
      <c r="C9" s="29" t="s">
        <v>792</v>
      </c>
    </row>
    <row r="10" spans="1:3" ht="16.5" customHeight="1">
      <c r="A10" s="29" t="s">
        <v>1636</v>
      </c>
      <c r="B10" s="29" t="s">
        <v>792</v>
      </c>
      <c r="C10" s="29" t="s">
        <v>792</v>
      </c>
    </row>
    <row r="11" spans="1:3" ht="16.5" customHeight="1">
      <c r="A11" t="s">
        <v>1446</v>
      </c>
      <c r="B11" t="s">
        <v>1446</v>
      </c>
      <c r="C11" t="s">
        <v>1446</v>
      </c>
    </row>
    <row r="12" spans="1:3" ht="16.5" customHeight="1">
      <c r="A12" t="s">
        <v>1448</v>
      </c>
      <c r="B12" t="s">
        <v>1448</v>
      </c>
      <c r="C12" t="s">
        <v>1448</v>
      </c>
    </row>
    <row r="13" spans="1:3" ht="16.5" customHeight="1">
      <c r="A13" t="s">
        <v>1427</v>
      </c>
      <c r="B13" t="s">
        <v>1427</v>
      </c>
      <c r="C13" t="s">
        <v>1427</v>
      </c>
    </row>
    <row r="14" spans="1:3" ht="16.5" customHeight="1">
      <c r="A14" s="29" t="s">
        <v>1637</v>
      </c>
      <c r="B14" s="29" t="s">
        <v>1430</v>
      </c>
      <c r="C14" s="29" t="s">
        <v>1430</v>
      </c>
    </row>
    <row r="15" spans="1:3" ht="15" customHeight="1">
      <c r="A15" s="29" t="s">
        <v>1430</v>
      </c>
      <c r="B15" s="29" t="s">
        <v>1430</v>
      </c>
      <c r="C15" s="29" t="s">
        <v>1430</v>
      </c>
    </row>
    <row r="16" spans="1:3" ht="16.5" customHeight="1">
      <c r="A16" s="29" t="s">
        <v>1638</v>
      </c>
      <c r="B16" s="29" t="s">
        <v>1442</v>
      </c>
      <c r="C16" s="29" t="s">
        <v>1442</v>
      </c>
    </row>
    <row r="17" spans="1:3" ht="16.5" customHeight="1">
      <c r="A17" s="29" t="s">
        <v>796</v>
      </c>
      <c r="B17" s="29" t="s">
        <v>796</v>
      </c>
      <c r="C17" s="29" t="s">
        <v>1529</v>
      </c>
    </row>
    <row r="18" spans="1:3" ht="16.5" customHeight="1">
      <c r="A18" s="29" t="s">
        <v>1639</v>
      </c>
      <c r="B18" s="29" t="s">
        <v>796</v>
      </c>
      <c r="C18" s="29" t="s">
        <v>1529</v>
      </c>
    </row>
    <row r="19" spans="1:3" ht="15" customHeight="1">
      <c r="A19" s="29" t="s">
        <v>1433</v>
      </c>
      <c r="B19" s="29" t="s">
        <v>1433</v>
      </c>
      <c r="C19" s="29" t="s">
        <v>1433</v>
      </c>
    </row>
    <row r="20" spans="1:3" ht="16.5" customHeight="1">
      <c r="A20" s="29" t="s">
        <v>1432</v>
      </c>
      <c r="B20" s="29" t="s">
        <v>1433</v>
      </c>
      <c r="C20" s="29" t="s">
        <v>1433</v>
      </c>
    </row>
    <row r="21" spans="1:3" ht="15" customHeight="1">
      <c r="A21" s="29" t="s">
        <v>1434</v>
      </c>
      <c r="B21" s="29" t="s">
        <v>1434</v>
      </c>
      <c r="C21" s="29" t="s">
        <v>1434</v>
      </c>
    </row>
    <row r="22" spans="1:3" ht="15" customHeight="1">
      <c r="A22" s="29" t="s">
        <v>1508</v>
      </c>
      <c r="B22" s="29" t="s">
        <v>1508</v>
      </c>
      <c r="C22" s="29" t="s">
        <v>1508</v>
      </c>
    </row>
    <row r="23" spans="1:3" ht="16.5" customHeight="1">
      <c r="A23" s="29" t="s">
        <v>1640</v>
      </c>
      <c r="B23" s="29" t="s">
        <v>1508</v>
      </c>
      <c r="C23" s="29" t="s">
        <v>1508</v>
      </c>
    </row>
    <row r="24" spans="1:3" ht="16.5" customHeight="1">
      <c r="A24" s="29" t="s">
        <v>1641</v>
      </c>
      <c r="B24" s="29" t="s">
        <v>1509</v>
      </c>
      <c r="C24" s="29" t="s">
        <v>1530</v>
      </c>
    </row>
    <row r="25" spans="1:3" ht="16.5" customHeight="1">
      <c r="A25" s="29" t="s">
        <v>1642</v>
      </c>
      <c r="B25" s="29" t="s">
        <v>1510</v>
      </c>
      <c r="C25" s="29" t="s">
        <v>1531</v>
      </c>
    </row>
    <row r="26" spans="1:3" ht="16.5" customHeight="1">
      <c r="A26" s="29" t="s">
        <v>1643</v>
      </c>
      <c r="B26" s="29" t="s">
        <v>1506</v>
      </c>
      <c r="C26" s="29" t="s">
        <v>1506</v>
      </c>
    </row>
    <row r="27" spans="1:3" ht="16.5" customHeight="1">
      <c r="A27" s="29" t="s">
        <v>1644</v>
      </c>
      <c r="B27" s="29" t="s">
        <v>1507</v>
      </c>
      <c r="C27" s="29" t="s">
        <v>1507</v>
      </c>
    </row>
    <row r="28" spans="1:3" ht="16.5" customHeight="1">
      <c r="A28" s="29" t="s">
        <v>784</v>
      </c>
      <c r="B28" s="29" t="s">
        <v>784</v>
      </c>
      <c r="C28" s="29" t="s">
        <v>784</v>
      </c>
    </row>
    <row r="29" spans="1:3" ht="16.5" customHeight="1">
      <c r="A29" s="29" t="s">
        <v>782</v>
      </c>
      <c r="B29" s="29" t="s">
        <v>782</v>
      </c>
      <c r="C29" s="29" t="s">
        <v>782</v>
      </c>
    </row>
    <row r="30" spans="1:3" ht="16.5" customHeight="1">
      <c r="A30" s="29" t="s">
        <v>789</v>
      </c>
      <c r="B30" s="29" t="s">
        <v>789</v>
      </c>
      <c r="C30" s="29" t="s">
        <v>789</v>
      </c>
    </row>
    <row r="31" spans="1:3" ht="15" customHeight="1">
      <c r="A31" s="29" t="s">
        <v>1514</v>
      </c>
      <c r="B31" s="29" t="s">
        <v>1514</v>
      </c>
      <c r="C31" s="29" t="s">
        <v>1514</v>
      </c>
    </row>
    <row r="32" spans="1:3" ht="16.5" customHeight="1">
      <c r="A32" s="29" t="s">
        <v>1645</v>
      </c>
      <c r="B32" s="29" t="s">
        <v>1515</v>
      </c>
      <c r="C32" s="29" t="s">
        <v>1532</v>
      </c>
    </row>
    <row r="33" spans="1:3" ht="16.5" customHeight="1">
      <c r="A33" s="29" t="s">
        <v>1646</v>
      </c>
      <c r="B33" s="29" t="s">
        <v>1516</v>
      </c>
      <c r="C33" s="29" t="s">
        <v>1533</v>
      </c>
    </row>
    <row r="34" spans="1:3" ht="16.5" customHeight="1">
      <c r="A34" s="29" t="s">
        <v>1455</v>
      </c>
      <c r="B34" s="29" t="s">
        <v>1517</v>
      </c>
      <c r="C34" s="29" t="s">
        <v>1534</v>
      </c>
    </row>
    <row r="35" spans="1:3" ht="16.5" customHeight="1">
      <c r="A35" s="29" t="s">
        <v>1453</v>
      </c>
      <c r="B35" s="29" t="s">
        <v>1518</v>
      </c>
      <c r="C35" s="29" t="s">
        <v>1535</v>
      </c>
    </row>
    <row r="36" spans="1:3" ht="16.5" customHeight="1">
      <c r="A36" s="29" t="s">
        <v>1647</v>
      </c>
      <c r="B36" s="29" t="s">
        <v>1457</v>
      </c>
      <c r="C36" s="29" t="s">
        <v>1457</v>
      </c>
    </row>
    <row r="37" spans="1:3" ht="16.5" customHeight="1">
      <c r="A37" s="29" t="s">
        <v>1463</v>
      </c>
      <c r="B37" s="29" t="s">
        <v>1519</v>
      </c>
      <c r="C37" t="s">
        <v>1648</v>
      </c>
    </row>
    <row r="38" spans="1:3" ht="16.5" customHeight="1">
      <c r="A38" s="29" t="s">
        <v>799</v>
      </c>
      <c r="B38" s="29" t="s">
        <v>1522</v>
      </c>
      <c r="C38" t="s">
        <v>1648</v>
      </c>
    </row>
  </sheetData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55"/>
  <sheetViews>
    <sheetView zoomScaleNormal="100" workbookViewId="0"/>
  </sheetViews>
  <sheetFormatPr defaultColWidth="8.7109375" defaultRowHeight="15"/>
  <cols>
    <col min="1" max="2" width="10" customWidth="1"/>
    <col min="3" max="3" width="25" customWidth="1"/>
    <col min="4" max="4" width="42" customWidth="1"/>
  </cols>
  <sheetData>
    <row r="1" spans="1:4" ht="16.5" customHeight="1">
      <c r="A1" s="223" t="s">
        <v>1649</v>
      </c>
    </row>
    <row r="2" spans="1:4" ht="15" customHeight="1">
      <c r="A2" s="219" t="s">
        <v>1650</v>
      </c>
    </row>
    <row r="4" spans="1:4" ht="32.25" customHeight="1">
      <c r="A4" s="220" t="s">
        <v>1651</v>
      </c>
      <c r="B4" s="220" t="s">
        <v>1652</v>
      </c>
      <c r="C4" s="220" t="s">
        <v>1653</v>
      </c>
      <c r="D4" s="220" t="s">
        <v>1503</v>
      </c>
    </row>
    <row r="5" spans="1:4" ht="15" customHeight="1">
      <c r="A5" s="29" t="s">
        <v>1654</v>
      </c>
      <c r="B5" t="s">
        <v>1655</v>
      </c>
      <c r="C5" s="29" t="s">
        <v>1656</v>
      </c>
      <c r="D5" t="s">
        <v>1657</v>
      </c>
    </row>
    <row r="6" spans="1:4" ht="15" customHeight="1">
      <c r="B6" t="s">
        <v>1658</v>
      </c>
      <c r="C6" s="29" t="s">
        <v>781</v>
      </c>
      <c r="D6" t="s">
        <v>1659</v>
      </c>
    </row>
    <row r="7" spans="1:4" ht="15" customHeight="1">
      <c r="B7" t="s">
        <v>1660</v>
      </c>
      <c r="C7" s="29" t="s">
        <v>791</v>
      </c>
      <c r="D7" t="s">
        <v>1661</v>
      </c>
    </row>
    <row r="8" spans="1:4" ht="16.5" customHeight="1">
      <c r="A8" s="29" t="s">
        <v>1662</v>
      </c>
      <c r="B8" t="s">
        <v>1663</v>
      </c>
      <c r="C8" s="29" t="s">
        <v>1664</v>
      </c>
      <c r="D8" t="s">
        <v>1665</v>
      </c>
    </row>
    <row r="9" spans="1:4" ht="16.5" customHeight="1">
      <c r="B9" t="s">
        <v>1666</v>
      </c>
      <c r="C9" s="29" t="s">
        <v>1667</v>
      </c>
      <c r="D9" t="s">
        <v>1668</v>
      </c>
    </row>
    <row r="10" spans="1:4" ht="16.5" customHeight="1">
      <c r="B10" t="s">
        <v>1669</v>
      </c>
      <c r="C10" s="29" t="s">
        <v>1670</v>
      </c>
      <c r="D10" t="s">
        <v>1671</v>
      </c>
    </row>
    <row r="11" spans="1:4" ht="16.5" customHeight="1">
      <c r="B11" t="s">
        <v>1672</v>
      </c>
      <c r="C11" s="29" t="s">
        <v>1673</v>
      </c>
      <c r="D11" t="s">
        <v>1674</v>
      </c>
    </row>
    <row r="12" spans="1:4" ht="15" customHeight="1">
      <c r="A12" s="29" t="s">
        <v>1675</v>
      </c>
      <c r="B12" t="s">
        <v>1676</v>
      </c>
      <c r="C12" s="29" t="s">
        <v>1677</v>
      </c>
      <c r="D12" t="s">
        <v>1678</v>
      </c>
    </row>
    <row r="13" spans="1:4" ht="15" customHeight="1">
      <c r="B13" t="s">
        <v>1679</v>
      </c>
      <c r="C13" s="29" t="s">
        <v>1680</v>
      </c>
      <c r="D13" t="s">
        <v>1681</v>
      </c>
    </row>
    <row r="14" spans="1:4" ht="15" customHeight="1">
      <c r="B14" t="s">
        <v>1682</v>
      </c>
      <c r="C14" s="29" t="s">
        <v>1683</v>
      </c>
      <c r="D14" t="s">
        <v>1684</v>
      </c>
    </row>
    <row r="15" spans="1:4" ht="16.5" customHeight="1">
      <c r="B15" t="s">
        <v>1685</v>
      </c>
      <c r="C15" s="29" t="s">
        <v>1686</v>
      </c>
      <c r="D15" t="s">
        <v>1687</v>
      </c>
    </row>
    <row r="16" spans="1:4" ht="15" customHeight="1">
      <c r="A16" s="29" t="s">
        <v>1688</v>
      </c>
      <c r="B16" t="s">
        <v>1689</v>
      </c>
      <c r="C16" s="29" t="s">
        <v>1690</v>
      </c>
      <c r="D16" t="s">
        <v>1691</v>
      </c>
    </row>
    <row r="17" spans="1:4" ht="15" customHeight="1">
      <c r="B17" t="s">
        <v>1692</v>
      </c>
      <c r="C17" s="29" t="s">
        <v>1693</v>
      </c>
      <c r="D17" t="s">
        <v>1694</v>
      </c>
    </row>
    <row r="18" spans="1:4" ht="15" customHeight="1">
      <c r="B18" t="s">
        <v>1695</v>
      </c>
      <c r="C18" s="29" t="s">
        <v>1696</v>
      </c>
      <c r="D18" t="s">
        <v>1697</v>
      </c>
    </row>
    <row r="19" spans="1:4" ht="15" customHeight="1">
      <c r="B19" t="s">
        <v>1698</v>
      </c>
      <c r="C19" s="29" t="s">
        <v>1699</v>
      </c>
      <c r="D19" t="s">
        <v>1700</v>
      </c>
    </row>
    <row r="20" spans="1:4" ht="15" customHeight="1">
      <c r="B20" t="s">
        <v>1701</v>
      </c>
      <c r="C20" s="29" t="s">
        <v>1702</v>
      </c>
      <c r="D20" t="s">
        <v>1703</v>
      </c>
    </row>
    <row r="21" spans="1:4" ht="16.5" customHeight="1">
      <c r="A21" s="29" t="s">
        <v>1704</v>
      </c>
      <c r="B21" t="s">
        <v>1705</v>
      </c>
      <c r="C21" s="29" t="s">
        <v>1706</v>
      </c>
      <c r="D21" t="s">
        <v>1707</v>
      </c>
    </row>
    <row r="22" spans="1:4" ht="16.5" customHeight="1">
      <c r="B22" t="s">
        <v>1708</v>
      </c>
      <c r="C22" s="29" t="s">
        <v>1709</v>
      </c>
      <c r="D22" t="s">
        <v>1710</v>
      </c>
    </row>
    <row r="23" spans="1:4" ht="16.5" customHeight="1">
      <c r="B23" t="s">
        <v>1711</v>
      </c>
      <c r="C23" s="29" t="s">
        <v>1712</v>
      </c>
      <c r="D23" t="s">
        <v>1713</v>
      </c>
    </row>
    <row r="24" spans="1:4" ht="15" customHeight="1">
      <c r="A24" s="29" t="s">
        <v>1714</v>
      </c>
      <c r="B24" t="s">
        <v>1715</v>
      </c>
      <c r="C24" s="29" t="s">
        <v>1716</v>
      </c>
      <c r="D24" t="s">
        <v>1717</v>
      </c>
    </row>
    <row r="25" spans="1:4" ht="15" customHeight="1">
      <c r="B25" t="s">
        <v>1718</v>
      </c>
      <c r="C25" s="29" t="s">
        <v>1719</v>
      </c>
      <c r="D25" t="s">
        <v>1720</v>
      </c>
    </row>
    <row r="26" spans="1:4" ht="15" customHeight="1">
      <c r="B26" t="s">
        <v>1721</v>
      </c>
      <c r="C26" s="29" t="s">
        <v>1722</v>
      </c>
      <c r="D26" t="s">
        <v>1723</v>
      </c>
    </row>
    <row r="27" spans="1:4" ht="15" customHeight="1">
      <c r="B27" t="s">
        <v>1724</v>
      </c>
      <c r="C27" s="29" t="s">
        <v>1725</v>
      </c>
      <c r="D27" t="s">
        <v>1726</v>
      </c>
    </row>
    <row r="28" spans="1:4" ht="15" customHeight="1">
      <c r="B28" t="s">
        <v>1727</v>
      </c>
      <c r="C28" s="29" t="s">
        <v>1728</v>
      </c>
      <c r="D28" t="s">
        <v>1729</v>
      </c>
    </row>
    <row r="29" spans="1:4" ht="15" customHeight="1">
      <c r="B29" t="s">
        <v>1730</v>
      </c>
      <c r="C29" s="29" t="s">
        <v>1731</v>
      </c>
      <c r="D29" t="s">
        <v>1732</v>
      </c>
    </row>
    <row r="30" spans="1:4" ht="16.5" customHeight="1">
      <c r="B30" t="s">
        <v>1733</v>
      </c>
      <c r="C30" s="29" t="s">
        <v>1734</v>
      </c>
      <c r="D30" t="s">
        <v>1735</v>
      </c>
    </row>
    <row r="31" spans="1:4" ht="15" customHeight="1">
      <c r="B31" t="s">
        <v>1736</v>
      </c>
      <c r="C31" s="29" t="s">
        <v>1737</v>
      </c>
      <c r="D31" t="s">
        <v>1738</v>
      </c>
    </row>
    <row r="32" spans="1:4" ht="15" customHeight="1">
      <c r="B32" t="s">
        <v>1739</v>
      </c>
      <c r="C32" s="29" t="s">
        <v>1740</v>
      </c>
      <c r="D32" t="s">
        <v>1741</v>
      </c>
    </row>
    <row r="33" spans="1:4" ht="16.5" customHeight="1">
      <c r="B33" t="s">
        <v>1742</v>
      </c>
      <c r="C33" s="29" t="s">
        <v>1743</v>
      </c>
      <c r="D33" t="s">
        <v>1744</v>
      </c>
    </row>
    <row r="34" spans="1:4" ht="15" customHeight="1">
      <c r="A34" s="29" t="s">
        <v>1745</v>
      </c>
      <c r="B34" t="s">
        <v>1746</v>
      </c>
      <c r="C34" s="29" t="s">
        <v>1747</v>
      </c>
      <c r="D34" t="s">
        <v>1748</v>
      </c>
    </row>
    <row r="35" spans="1:4" ht="15" customHeight="1">
      <c r="B35" t="s">
        <v>1749</v>
      </c>
      <c r="C35" s="29" t="s">
        <v>1750</v>
      </c>
      <c r="D35" t="s">
        <v>1751</v>
      </c>
    </row>
    <row r="36" spans="1:4" ht="15" customHeight="1">
      <c r="B36" t="s">
        <v>1752</v>
      </c>
      <c r="C36" s="29" t="s">
        <v>1753</v>
      </c>
      <c r="D36" t="s">
        <v>1754</v>
      </c>
    </row>
    <row r="37" spans="1:4" ht="15" customHeight="1">
      <c r="B37" t="s">
        <v>1755</v>
      </c>
      <c r="C37" s="29" t="s">
        <v>1756</v>
      </c>
      <c r="D37" t="s">
        <v>1757</v>
      </c>
    </row>
    <row r="38" spans="1:4" ht="15" customHeight="1">
      <c r="B38" t="s">
        <v>1758</v>
      </c>
      <c r="C38" s="29" t="s">
        <v>1759</v>
      </c>
      <c r="D38" t="s">
        <v>1760</v>
      </c>
    </row>
    <row r="39" spans="1:4" ht="16.5" customHeight="1">
      <c r="A39" s="29" t="s">
        <v>1761</v>
      </c>
      <c r="B39" t="s">
        <v>1762</v>
      </c>
      <c r="C39" s="29" t="s">
        <v>1763</v>
      </c>
      <c r="D39" t="s">
        <v>1764</v>
      </c>
    </row>
    <row r="40" spans="1:4" ht="16.5" customHeight="1">
      <c r="B40" t="s">
        <v>1765</v>
      </c>
      <c r="C40" s="29" t="s">
        <v>1766</v>
      </c>
      <c r="D40" t="s">
        <v>1767</v>
      </c>
    </row>
    <row r="41" spans="1:4" ht="16.5" customHeight="1">
      <c r="B41" t="s">
        <v>1768</v>
      </c>
      <c r="C41" s="29" t="s">
        <v>1769</v>
      </c>
      <c r="D41" t="s">
        <v>1770</v>
      </c>
    </row>
    <row r="42" spans="1:4" ht="15" customHeight="1">
      <c r="A42" s="29" t="s">
        <v>1771</v>
      </c>
      <c r="B42" t="s">
        <v>1772</v>
      </c>
      <c r="C42" s="29" t="s">
        <v>1773</v>
      </c>
      <c r="D42" t="s">
        <v>1774</v>
      </c>
    </row>
    <row r="43" spans="1:4" ht="16.5" customHeight="1">
      <c r="B43" t="s">
        <v>1775</v>
      </c>
      <c r="C43" s="29" t="s">
        <v>1776</v>
      </c>
      <c r="D43" t="s">
        <v>1777</v>
      </c>
    </row>
    <row r="44" spans="1:4" ht="15" customHeight="1">
      <c r="A44" s="29" t="s">
        <v>1778</v>
      </c>
      <c r="B44" t="s">
        <v>1779</v>
      </c>
      <c r="C44" s="29" t="s">
        <v>1780</v>
      </c>
      <c r="D44" t="s">
        <v>1781</v>
      </c>
    </row>
    <row r="45" spans="1:4" ht="15" customHeight="1">
      <c r="B45" t="s">
        <v>1782</v>
      </c>
      <c r="C45" s="29" t="s">
        <v>1783</v>
      </c>
      <c r="D45" t="s">
        <v>1784</v>
      </c>
    </row>
    <row r="46" spans="1:4" ht="15" customHeight="1">
      <c r="B46" t="s">
        <v>1785</v>
      </c>
      <c r="C46" s="29" t="s">
        <v>1786</v>
      </c>
      <c r="D46" t="s">
        <v>1787</v>
      </c>
    </row>
    <row r="47" spans="1:4" ht="15" customHeight="1">
      <c r="B47" t="s">
        <v>1788</v>
      </c>
      <c r="C47" s="29" t="s">
        <v>1789</v>
      </c>
      <c r="D47" t="s">
        <v>1790</v>
      </c>
    </row>
    <row r="48" spans="1:4" ht="15" customHeight="1">
      <c r="B48" t="s">
        <v>1791</v>
      </c>
      <c r="C48" s="29" t="s">
        <v>1792</v>
      </c>
      <c r="D48" t="s">
        <v>1793</v>
      </c>
    </row>
    <row r="49" spans="1:4" ht="16.5" customHeight="1">
      <c r="A49" s="29" t="s">
        <v>1794</v>
      </c>
      <c r="B49" t="s">
        <v>1795</v>
      </c>
      <c r="C49" s="29" t="s">
        <v>798</v>
      </c>
      <c r="D49" t="s">
        <v>1796</v>
      </c>
    </row>
    <row r="50" spans="1:4" ht="16.5" customHeight="1">
      <c r="B50" t="s">
        <v>1797</v>
      </c>
      <c r="C50" s="29" t="s">
        <v>803</v>
      </c>
      <c r="D50" t="s">
        <v>1798</v>
      </c>
    </row>
    <row r="51" spans="1:4" ht="15" customHeight="1">
      <c r="A51" s="29" t="s">
        <v>1799</v>
      </c>
      <c r="B51" t="s">
        <v>1800</v>
      </c>
      <c r="C51" s="29" t="s">
        <v>1801</v>
      </c>
      <c r="D51" t="s">
        <v>1802</v>
      </c>
    </row>
    <row r="52" spans="1:4" ht="15" customHeight="1">
      <c r="B52" t="s">
        <v>1803</v>
      </c>
      <c r="C52" s="29" t="s">
        <v>1804</v>
      </c>
      <c r="D52" t="s">
        <v>1805</v>
      </c>
    </row>
    <row r="53" spans="1:4" ht="15" customHeight="1">
      <c r="B53" t="s">
        <v>1806</v>
      </c>
      <c r="C53" s="29" t="s">
        <v>1807</v>
      </c>
      <c r="D53" t="s">
        <v>1808</v>
      </c>
    </row>
    <row r="54" spans="1:4" ht="15" customHeight="1">
      <c r="B54" t="s">
        <v>1809</v>
      </c>
      <c r="C54" s="29" t="s">
        <v>1810</v>
      </c>
      <c r="D54" t="s">
        <v>1811</v>
      </c>
    </row>
    <row r="55" spans="1:4" ht="15" customHeight="1">
      <c r="B55" t="s">
        <v>1812</v>
      </c>
      <c r="C55" s="29" t="s">
        <v>1813</v>
      </c>
      <c r="D55" t="s">
        <v>1814</v>
      </c>
    </row>
  </sheetData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14"/>
  <sheetViews>
    <sheetView zoomScaleNormal="100" workbookViewId="0"/>
  </sheetViews>
  <sheetFormatPr defaultColWidth="8.7109375" defaultRowHeight="15"/>
  <cols>
    <col min="1" max="2" width="10" customWidth="1"/>
    <col min="3" max="3" width="22" customWidth="1"/>
    <col min="4" max="4" width="42" customWidth="1"/>
  </cols>
  <sheetData>
    <row r="1" spans="1:4" ht="16.5" customHeight="1">
      <c r="A1" s="223" t="s">
        <v>1815</v>
      </c>
    </row>
    <row r="2" spans="1:4" ht="15" customHeight="1">
      <c r="A2" s="219" t="s">
        <v>1816</v>
      </c>
    </row>
    <row r="4" spans="1:4" ht="32.25" customHeight="1">
      <c r="A4" s="220" t="s">
        <v>1817</v>
      </c>
      <c r="B4" s="220" t="s">
        <v>1818</v>
      </c>
      <c r="C4" s="220" t="s">
        <v>1819</v>
      </c>
      <c r="D4" s="220" t="s">
        <v>1503</v>
      </c>
    </row>
    <row r="5" spans="1:4" ht="15" customHeight="1">
      <c r="A5" s="29" t="s">
        <v>1654</v>
      </c>
      <c r="B5" t="s">
        <v>1820</v>
      </c>
      <c r="C5" s="29" t="s">
        <v>1821</v>
      </c>
      <c r="D5" t="s">
        <v>1822</v>
      </c>
    </row>
    <row r="6" spans="1:4" ht="15" customHeight="1">
      <c r="B6" t="s">
        <v>1823</v>
      </c>
      <c r="C6" s="29" t="s">
        <v>1824</v>
      </c>
      <c r="D6" t="s">
        <v>1825</v>
      </c>
    </row>
    <row r="7" spans="1:4" ht="15" customHeight="1">
      <c r="B7" t="s">
        <v>1826</v>
      </c>
      <c r="C7" s="29" t="s">
        <v>1827</v>
      </c>
      <c r="D7" t="s">
        <v>1828</v>
      </c>
    </row>
    <row r="8" spans="1:4" ht="15" customHeight="1">
      <c r="B8" t="s">
        <v>1829</v>
      </c>
      <c r="C8" s="29" t="s">
        <v>1830</v>
      </c>
      <c r="D8" t="s">
        <v>1831</v>
      </c>
    </row>
    <row r="9" spans="1:4" ht="15" customHeight="1">
      <c r="B9" t="s">
        <v>1832</v>
      </c>
      <c r="C9" s="29" t="s">
        <v>1833</v>
      </c>
      <c r="D9" t="s">
        <v>1834</v>
      </c>
    </row>
    <row r="10" spans="1:4" ht="15" customHeight="1">
      <c r="B10" t="s">
        <v>1835</v>
      </c>
      <c r="C10" s="29" t="s">
        <v>1836</v>
      </c>
      <c r="D10" t="s">
        <v>1837</v>
      </c>
    </row>
    <row r="11" spans="1:4" ht="16.5" customHeight="1">
      <c r="A11" s="29" t="s">
        <v>1662</v>
      </c>
      <c r="B11" t="s">
        <v>1838</v>
      </c>
      <c r="C11" s="29" t="s">
        <v>1839</v>
      </c>
      <c r="D11" t="s">
        <v>1840</v>
      </c>
    </row>
    <row r="12" spans="1:4" ht="15" customHeight="1">
      <c r="B12" t="s">
        <v>1841</v>
      </c>
      <c r="C12" s="29" t="s">
        <v>1842</v>
      </c>
      <c r="D12" t="s">
        <v>1843</v>
      </c>
    </row>
    <row r="13" spans="1:4" ht="16.5" customHeight="1">
      <c r="B13" t="s">
        <v>1844</v>
      </c>
      <c r="C13" s="29" t="s">
        <v>1845</v>
      </c>
      <c r="D13" t="s">
        <v>1846</v>
      </c>
    </row>
    <row r="14" spans="1:4" ht="15" customHeight="1">
      <c r="B14" t="s">
        <v>1847</v>
      </c>
      <c r="C14" s="29" t="s">
        <v>1848</v>
      </c>
      <c r="D14" t="s">
        <v>1849</v>
      </c>
    </row>
    <row r="15" spans="1:4" ht="15" customHeight="1">
      <c r="B15" t="s">
        <v>1850</v>
      </c>
      <c r="C15" s="29" t="s">
        <v>1851</v>
      </c>
      <c r="D15" t="s">
        <v>1852</v>
      </c>
    </row>
    <row r="16" spans="1:4" ht="16.5" customHeight="1">
      <c r="B16" t="s">
        <v>1853</v>
      </c>
      <c r="C16" s="29" t="s">
        <v>1854</v>
      </c>
      <c r="D16" t="s">
        <v>1855</v>
      </c>
    </row>
    <row r="17" spans="2:4" ht="15" customHeight="1">
      <c r="B17" t="s">
        <v>1856</v>
      </c>
      <c r="C17" s="29" t="s">
        <v>1857</v>
      </c>
      <c r="D17" t="s">
        <v>1858</v>
      </c>
    </row>
    <row r="18" spans="2:4" ht="15" customHeight="1">
      <c r="B18" t="s">
        <v>1859</v>
      </c>
      <c r="C18" s="29" t="s">
        <v>1860</v>
      </c>
      <c r="D18" t="s">
        <v>1861</v>
      </c>
    </row>
    <row r="19" spans="2:4" ht="15" customHeight="1">
      <c r="B19" t="s">
        <v>1862</v>
      </c>
      <c r="C19" s="29" t="s">
        <v>1863</v>
      </c>
      <c r="D19" t="s">
        <v>1864</v>
      </c>
    </row>
    <row r="20" spans="2:4" ht="15" customHeight="1">
      <c r="B20" t="s">
        <v>1865</v>
      </c>
      <c r="C20" s="29" t="s">
        <v>1866</v>
      </c>
      <c r="D20" t="s">
        <v>1867</v>
      </c>
    </row>
    <row r="21" spans="2:4" ht="15" customHeight="1">
      <c r="B21" t="s">
        <v>1868</v>
      </c>
      <c r="C21" s="29" t="s">
        <v>1869</v>
      </c>
      <c r="D21" t="s">
        <v>1870</v>
      </c>
    </row>
    <row r="22" spans="2:4" ht="15" customHeight="1">
      <c r="B22" t="s">
        <v>1871</v>
      </c>
      <c r="C22" s="29" t="s">
        <v>1872</v>
      </c>
      <c r="D22" t="s">
        <v>1873</v>
      </c>
    </row>
    <row r="23" spans="2:4" ht="15" customHeight="1">
      <c r="B23" t="s">
        <v>1874</v>
      </c>
      <c r="C23" s="29" t="s">
        <v>1875</v>
      </c>
      <c r="D23" t="s">
        <v>1876</v>
      </c>
    </row>
    <row r="24" spans="2:4" ht="15" customHeight="1">
      <c r="B24" t="s">
        <v>1877</v>
      </c>
      <c r="C24" s="29" t="s">
        <v>1878</v>
      </c>
      <c r="D24" t="s">
        <v>1879</v>
      </c>
    </row>
    <row r="25" spans="2:4" ht="15" customHeight="1">
      <c r="B25" t="s">
        <v>1880</v>
      </c>
      <c r="C25" s="29" t="s">
        <v>1881</v>
      </c>
      <c r="D25" t="s">
        <v>1882</v>
      </c>
    </row>
    <row r="26" spans="2:4" ht="15" customHeight="1">
      <c r="B26" t="s">
        <v>1883</v>
      </c>
      <c r="C26" s="29" t="s">
        <v>1884</v>
      </c>
      <c r="D26" t="s">
        <v>1885</v>
      </c>
    </row>
    <row r="27" spans="2:4" ht="15" customHeight="1">
      <c r="B27" t="s">
        <v>1886</v>
      </c>
      <c r="C27" s="29" t="s">
        <v>1887</v>
      </c>
      <c r="D27" t="s">
        <v>1888</v>
      </c>
    </row>
    <row r="28" spans="2:4" ht="16.5" customHeight="1">
      <c r="B28" t="s">
        <v>1889</v>
      </c>
      <c r="C28" s="29" t="s">
        <v>1890</v>
      </c>
      <c r="D28" t="s">
        <v>1891</v>
      </c>
    </row>
    <row r="29" spans="2:4" ht="16.5" customHeight="1">
      <c r="B29" t="s">
        <v>1892</v>
      </c>
      <c r="C29" s="29" t="s">
        <v>1893</v>
      </c>
      <c r="D29" t="s">
        <v>1894</v>
      </c>
    </row>
    <row r="30" spans="2:4" ht="16.5" customHeight="1">
      <c r="B30" t="s">
        <v>1895</v>
      </c>
      <c r="C30" s="29" t="s">
        <v>1896</v>
      </c>
      <c r="D30" t="s">
        <v>1897</v>
      </c>
    </row>
    <row r="31" spans="2:4" ht="15" customHeight="1">
      <c r="B31" t="s">
        <v>1898</v>
      </c>
      <c r="C31" s="29" t="s">
        <v>1899</v>
      </c>
      <c r="D31" t="s">
        <v>1900</v>
      </c>
    </row>
    <row r="32" spans="2:4" ht="15" customHeight="1">
      <c r="B32" t="s">
        <v>1901</v>
      </c>
      <c r="C32" s="29" t="s">
        <v>1902</v>
      </c>
      <c r="D32" t="s">
        <v>1903</v>
      </c>
    </row>
    <row r="33" spans="1:4" ht="15" customHeight="1">
      <c r="A33" s="29" t="s">
        <v>1688</v>
      </c>
      <c r="B33" t="s">
        <v>1904</v>
      </c>
      <c r="C33" s="29" t="s">
        <v>1905</v>
      </c>
      <c r="D33" t="s">
        <v>1906</v>
      </c>
    </row>
    <row r="34" spans="1:4" ht="16.5" customHeight="1">
      <c r="B34" t="s">
        <v>1907</v>
      </c>
      <c r="C34" s="29" t="s">
        <v>1908</v>
      </c>
      <c r="D34" t="s">
        <v>1909</v>
      </c>
    </row>
    <row r="35" spans="1:4" ht="15" customHeight="1">
      <c r="B35" t="s">
        <v>1910</v>
      </c>
      <c r="C35" s="29" t="s">
        <v>1911</v>
      </c>
      <c r="D35" t="s">
        <v>1912</v>
      </c>
    </row>
    <row r="36" spans="1:4" ht="15" customHeight="1">
      <c r="B36" t="s">
        <v>1913</v>
      </c>
      <c r="C36" s="29" t="s">
        <v>1914</v>
      </c>
      <c r="D36" t="s">
        <v>1915</v>
      </c>
    </row>
    <row r="37" spans="1:4" ht="15" customHeight="1">
      <c r="A37" s="29" t="s">
        <v>1704</v>
      </c>
      <c r="B37" t="s">
        <v>1916</v>
      </c>
      <c r="C37" s="29" t="s">
        <v>1917</v>
      </c>
      <c r="D37" t="s">
        <v>1918</v>
      </c>
    </row>
    <row r="38" spans="1:4" ht="15" customHeight="1">
      <c r="B38" t="s">
        <v>1919</v>
      </c>
      <c r="C38" s="29" t="s">
        <v>1920</v>
      </c>
      <c r="D38" t="s">
        <v>1921</v>
      </c>
    </row>
    <row r="39" spans="1:4" ht="15" customHeight="1">
      <c r="B39" t="s">
        <v>1922</v>
      </c>
      <c r="C39" s="29" t="s">
        <v>1923</v>
      </c>
      <c r="D39" t="s">
        <v>1924</v>
      </c>
    </row>
    <row r="40" spans="1:4" ht="15" customHeight="1">
      <c r="B40" t="s">
        <v>1925</v>
      </c>
      <c r="C40" s="29" t="s">
        <v>1926</v>
      </c>
      <c r="D40" t="s">
        <v>1927</v>
      </c>
    </row>
    <row r="41" spans="1:4" ht="15" customHeight="1">
      <c r="A41" s="29" t="s">
        <v>1714</v>
      </c>
      <c r="B41" t="s">
        <v>1928</v>
      </c>
      <c r="C41" s="29" t="s">
        <v>1929</v>
      </c>
      <c r="D41" t="s">
        <v>1930</v>
      </c>
    </row>
    <row r="42" spans="1:4" ht="15" customHeight="1">
      <c r="B42" t="s">
        <v>1931</v>
      </c>
      <c r="C42" s="29" t="s">
        <v>1932</v>
      </c>
      <c r="D42" t="s">
        <v>1933</v>
      </c>
    </row>
    <row r="43" spans="1:4" ht="15" customHeight="1">
      <c r="B43" t="s">
        <v>1934</v>
      </c>
      <c r="C43" s="29" t="s">
        <v>1935</v>
      </c>
      <c r="D43" t="s">
        <v>1936</v>
      </c>
    </row>
    <row r="44" spans="1:4" ht="15" customHeight="1">
      <c r="B44" t="s">
        <v>1937</v>
      </c>
      <c r="C44" s="29" t="s">
        <v>1938</v>
      </c>
      <c r="D44" t="s">
        <v>1939</v>
      </c>
    </row>
    <row r="45" spans="1:4" ht="15" customHeight="1">
      <c r="B45" t="s">
        <v>1940</v>
      </c>
      <c r="C45" s="29" t="s">
        <v>1941</v>
      </c>
      <c r="D45" t="s">
        <v>1942</v>
      </c>
    </row>
    <row r="46" spans="1:4" ht="15" customHeight="1">
      <c r="B46" t="s">
        <v>1943</v>
      </c>
      <c r="C46" s="29" t="s">
        <v>1944</v>
      </c>
      <c r="D46" t="s">
        <v>1945</v>
      </c>
    </row>
    <row r="47" spans="1:4" ht="15" customHeight="1">
      <c r="B47" t="s">
        <v>1946</v>
      </c>
      <c r="C47" s="29" t="s">
        <v>1947</v>
      </c>
      <c r="D47" t="s">
        <v>1948</v>
      </c>
    </row>
    <row r="48" spans="1:4" ht="15" customHeight="1">
      <c r="B48" t="s">
        <v>1949</v>
      </c>
      <c r="C48" s="29" t="s">
        <v>1950</v>
      </c>
      <c r="D48" t="s">
        <v>1951</v>
      </c>
    </row>
    <row r="49" spans="1:4" ht="15" customHeight="1">
      <c r="B49" t="s">
        <v>1952</v>
      </c>
      <c r="C49" s="29" t="s">
        <v>1953</v>
      </c>
      <c r="D49" t="s">
        <v>1954</v>
      </c>
    </row>
    <row r="50" spans="1:4" ht="15" customHeight="1">
      <c r="B50" t="s">
        <v>1955</v>
      </c>
      <c r="C50" s="29" t="s">
        <v>1956</v>
      </c>
      <c r="D50" t="s">
        <v>1957</v>
      </c>
    </row>
    <row r="51" spans="1:4" ht="15" customHeight="1">
      <c r="B51" t="s">
        <v>1958</v>
      </c>
      <c r="C51" s="29" t="s">
        <v>1959</v>
      </c>
      <c r="D51" t="s">
        <v>1960</v>
      </c>
    </row>
    <row r="52" spans="1:4" ht="15" customHeight="1">
      <c r="B52" t="s">
        <v>1961</v>
      </c>
      <c r="C52" s="29" t="s">
        <v>1962</v>
      </c>
      <c r="D52" t="s">
        <v>1963</v>
      </c>
    </row>
    <row r="53" spans="1:4" ht="15" customHeight="1">
      <c r="B53" t="s">
        <v>1964</v>
      </c>
      <c r="C53" s="29" t="s">
        <v>1965</v>
      </c>
      <c r="D53" t="s">
        <v>1966</v>
      </c>
    </row>
    <row r="54" spans="1:4" ht="15" customHeight="1">
      <c r="B54" t="s">
        <v>1967</v>
      </c>
      <c r="C54" s="29" t="s">
        <v>1968</v>
      </c>
      <c r="D54" t="s">
        <v>1969</v>
      </c>
    </row>
    <row r="55" spans="1:4" ht="15" customHeight="1">
      <c r="B55" t="s">
        <v>1970</v>
      </c>
      <c r="C55" s="29" t="s">
        <v>1971</v>
      </c>
      <c r="D55" t="s">
        <v>1972</v>
      </c>
    </row>
    <row r="56" spans="1:4" ht="16.5" customHeight="1">
      <c r="B56" t="s">
        <v>1973</v>
      </c>
      <c r="C56" t="s">
        <v>1974</v>
      </c>
      <c r="D56" t="s">
        <v>1975</v>
      </c>
    </row>
    <row r="57" spans="1:4" ht="16.5" customHeight="1">
      <c r="B57" t="s">
        <v>1976</v>
      </c>
      <c r="C57" t="s">
        <v>1977</v>
      </c>
      <c r="D57" t="s">
        <v>1978</v>
      </c>
    </row>
    <row r="58" spans="1:4" ht="15" customHeight="1">
      <c r="B58" t="s">
        <v>1979</v>
      </c>
      <c r="C58" s="29" t="s">
        <v>1980</v>
      </c>
      <c r="D58" t="s">
        <v>1981</v>
      </c>
    </row>
    <row r="59" spans="1:4" ht="16.5" customHeight="1">
      <c r="B59" t="s">
        <v>1982</v>
      </c>
      <c r="C59" s="29" t="s">
        <v>1983</v>
      </c>
      <c r="D59" t="s">
        <v>1984</v>
      </c>
    </row>
    <row r="60" spans="1:4" ht="16.5" customHeight="1">
      <c r="B60" t="s">
        <v>1985</v>
      </c>
      <c r="C60" s="29" t="s">
        <v>1743</v>
      </c>
      <c r="D60" t="s">
        <v>1986</v>
      </c>
    </row>
    <row r="61" spans="1:4" ht="15" customHeight="1">
      <c r="A61" s="29" t="s">
        <v>1745</v>
      </c>
      <c r="B61" t="s">
        <v>1987</v>
      </c>
      <c r="C61" s="29" t="s">
        <v>1988</v>
      </c>
      <c r="D61" t="s">
        <v>1989</v>
      </c>
    </row>
    <row r="62" spans="1:4" ht="15" customHeight="1">
      <c r="B62" t="s">
        <v>1990</v>
      </c>
      <c r="C62" s="29" t="s">
        <v>1991</v>
      </c>
      <c r="D62" t="s">
        <v>1992</v>
      </c>
    </row>
    <row r="63" spans="1:4" ht="15" customHeight="1">
      <c r="B63" t="s">
        <v>1993</v>
      </c>
      <c r="C63" s="29" t="s">
        <v>1994</v>
      </c>
      <c r="D63" t="s">
        <v>1995</v>
      </c>
    </row>
    <row r="64" spans="1:4" ht="15" customHeight="1">
      <c r="B64" t="s">
        <v>1996</v>
      </c>
      <c r="C64" s="29" t="s">
        <v>1997</v>
      </c>
      <c r="D64" t="s">
        <v>1998</v>
      </c>
    </row>
    <row r="65" spans="1:4" ht="15" customHeight="1">
      <c r="B65" t="s">
        <v>1999</v>
      </c>
      <c r="C65" s="29" t="s">
        <v>2000</v>
      </c>
      <c r="D65" t="s">
        <v>2001</v>
      </c>
    </row>
    <row r="66" spans="1:4" ht="15" customHeight="1">
      <c r="B66" t="s">
        <v>2002</v>
      </c>
      <c r="C66" s="29" t="s">
        <v>2003</v>
      </c>
      <c r="D66" t="s">
        <v>2004</v>
      </c>
    </row>
    <row r="67" spans="1:4" ht="15" customHeight="1">
      <c r="B67" t="s">
        <v>2005</v>
      </c>
      <c r="C67" s="29" t="s">
        <v>2006</v>
      </c>
      <c r="D67" t="s">
        <v>2007</v>
      </c>
    </row>
    <row r="68" spans="1:4" ht="15" customHeight="1">
      <c r="B68" t="s">
        <v>2008</v>
      </c>
      <c r="C68" s="29" t="s">
        <v>2009</v>
      </c>
      <c r="D68" t="s">
        <v>2010</v>
      </c>
    </row>
    <row r="69" spans="1:4" ht="15" customHeight="1">
      <c r="B69" t="s">
        <v>2011</v>
      </c>
      <c r="C69" s="29" t="s">
        <v>2012</v>
      </c>
      <c r="D69" t="s">
        <v>2013</v>
      </c>
    </row>
    <row r="70" spans="1:4" ht="15" customHeight="1">
      <c r="B70" t="s">
        <v>2014</v>
      </c>
      <c r="C70" s="29" t="s">
        <v>2015</v>
      </c>
      <c r="D70" t="s">
        <v>2016</v>
      </c>
    </row>
    <row r="71" spans="1:4" ht="15" customHeight="1">
      <c r="B71" t="s">
        <v>2017</v>
      </c>
      <c r="C71" s="29" t="s">
        <v>2018</v>
      </c>
      <c r="D71" t="s">
        <v>2019</v>
      </c>
    </row>
    <row r="72" spans="1:4" ht="15" customHeight="1">
      <c r="A72" s="29" t="s">
        <v>1761</v>
      </c>
      <c r="B72" t="s">
        <v>2020</v>
      </c>
      <c r="C72" s="29" t="s">
        <v>2021</v>
      </c>
      <c r="D72" t="s">
        <v>2022</v>
      </c>
    </row>
    <row r="73" spans="1:4" ht="15" customHeight="1">
      <c r="B73" t="s">
        <v>2023</v>
      </c>
      <c r="C73" s="29" t="s">
        <v>2024</v>
      </c>
      <c r="D73" t="s">
        <v>2025</v>
      </c>
    </row>
    <row r="74" spans="1:4" ht="15" customHeight="1">
      <c r="A74" s="29" t="s">
        <v>1778</v>
      </c>
      <c r="B74" t="s">
        <v>2026</v>
      </c>
      <c r="C74" s="29" t="s">
        <v>2027</v>
      </c>
      <c r="D74" t="s">
        <v>2028</v>
      </c>
    </row>
    <row r="75" spans="1:4" ht="15" customHeight="1">
      <c r="B75" t="s">
        <v>2029</v>
      </c>
      <c r="C75" s="29" t="s">
        <v>2030</v>
      </c>
      <c r="D75" t="s">
        <v>2031</v>
      </c>
    </row>
    <row r="76" spans="1:4" ht="15" customHeight="1">
      <c r="B76" t="s">
        <v>2032</v>
      </c>
      <c r="C76" s="29" t="s">
        <v>2033</v>
      </c>
      <c r="D76" t="s">
        <v>2034</v>
      </c>
    </row>
    <row r="77" spans="1:4" ht="15" customHeight="1">
      <c r="B77" t="s">
        <v>2035</v>
      </c>
      <c r="C77" s="29" t="s">
        <v>2036</v>
      </c>
      <c r="D77" t="s">
        <v>2037</v>
      </c>
    </row>
    <row r="78" spans="1:4" ht="15" customHeight="1">
      <c r="B78" t="s">
        <v>2038</v>
      </c>
      <c r="C78" s="29" t="s">
        <v>2039</v>
      </c>
      <c r="D78" t="s">
        <v>2040</v>
      </c>
    </row>
    <row r="79" spans="1:4" ht="15" customHeight="1">
      <c r="B79" t="s">
        <v>2041</v>
      </c>
      <c r="C79" s="29" t="s">
        <v>2042</v>
      </c>
      <c r="D79" t="s">
        <v>2043</v>
      </c>
    </row>
    <row r="80" spans="1:4" ht="15" customHeight="1">
      <c r="B80" t="s">
        <v>2044</v>
      </c>
      <c r="C80" s="29" t="s">
        <v>2045</v>
      </c>
      <c r="D80" t="s">
        <v>2046</v>
      </c>
    </row>
    <row r="81" spans="1:4" ht="15" customHeight="1">
      <c r="B81" t="s">
        <v>2047</v>
      </c>
      <c r="C81" s="29" t="s">
        <v>2048</v>
      </c>
      <c r="D81" t="s">
        <v>2049</v>
      </c>
    </row>
    <row r="82" spans="1:4" ht="15" customHeight="1">
      <c r="B82" t="s">
        <v>2050</v>
      </c>
      <c r="C82" s="29" t="s">
        <v>2051</v>
      </c>
      <c r="D82" t="s">
        <v>2052</v>
      </c>
    </row>
    <row r="83" spans="1:4" ht="15" customHeight="1">
      <c r="B83" t="s">
        <v>2053</v>
      </c>
      <c r="C83" s="29" t="s">
        <v>2054</v>
      </c>
      <c r="D83" t="s">
        <v>2055</v>
      </c>
    </row>
    <row r="84" spans="1:4" ht="15" customHeight="1">
      <c r="B84" t="s">
        <v>2056</v>
      </c>
      <c r="C84" s="29" t="s">
        <v>2057</v>
      </c>
      <c r="D84" t="s">
        <v>2058</v>
      </c>
    </row>
    <row r="85" spans="1:4" ht="15" customHeight="1">
      <c r="B85" t="s">
        <v>2059</v>
      </c>
      <c r="C85" s="29" t="s">
        <v>2060</v>
      </c>
      <c r="D85" t="s">
        <v>2061</v>
      </c>
    </row>
    <row r="86" spans="1:4" ht="15" customHeight="1">
      <c r="B86" t="s">
        <v>2062</v>
      </c>
      <c r="C86" s="29" t="s">
        <v>2063</v>
      </c>
      <c r="D86" t="s">
        <v>2064</v>
      </c>
    </row>
    <row r="87" spans="1:4" ht="15" customHeight="1">
      <c r="B87" t="s">
        <v>2065</v>
      </c>
      <c r="C87" s="29" t="s">
        <v>2066</v>
      </c>
      <c r="D87" t="s">
        <v>2067</v>
      </c>
    </row>
    <row r="88" spans="1:4" ht="15" customHeight="1">
      <c r="B88" t="s">
        <v>2068</v>
      </c>
      <c r="C88" s="29" t="s">
        <v>2069</v>
      </c>
      <c r="D88" t="s">
        <v>2070</v>
      </c>
    </row>
    <row r="89" spans="1:4" ht="15" customHeight="1">
      <c r="B89" t="s">
        <v>2071</v>
      </c>
      <c r="C89" s="29" t="s">
        <v>2072</v>
      </c>
      <c r="D89" t="s">
        <v>2073</v>
      </c>
    </row>
    <row r="90" spans="1:4" ht="15" customHeight="1">
      <c r="B90" t="s">
        <v>2074</v>
      </c>
      <c r="C90" s="29" t="s">
        <v>2075</v>
      </c>
      <c r="D90" t="s">
        <v>2076</v>
      </c>
    </row>
    <row r="91" spans="1:4" ht="15" customHeight="1">
      <c r="B91" t="s">
        <v>2077</v>
      </c>
      <c r="C91" s="29" t="s">
        <v>2078</v>
      </c>
      <c r="D91" t="s">
        <v>2079</v>
      </c>
    </row>
    <row r="92" spans="1:4" ht="16.5" customHeight="1">
      <c r="A92" s="29" t="s">
        <v>2080</v>
      </c>
      <c r="B92" t="s">
        <v>2081</v>
      </c>
      <c r="C92" s="29" t="s">
        <v>2082</v>
      </c>
      <c r="D92" t="s">
        <v>2083</v>
      </c>
    </row>
    <row r="93" spans="1:4" ht="15" customHeight="1">
      <c r="B93" t="s">
        <v>2084</v>
      </c>
      <c r="C93" s="29" t="s">
        <v>2085</v>
      </c>
      <c r="D93" t="s">
        <v>2086</v>
      </c>
    </row>
    <row r="94" spans="1:4" ht="15" customHeight="1">
      <c r="B94" t="s">
        <v>2087</v>
      </c>
      <c r="C94" s="29" t="s">
        <v>2088</v>
      </c>
      <c r="D94" t="s">
        <v>2089</v>
      </c>
    </row>
    <row r="95" spans="1:4" ht="15" customHeight="1">
      <c r="B95" t="s">
        <v>2090</v>
      </c>
      <c r="C95" s="29" t="s">
        <v>2091</v>
      </c>
      <c r="D95" t="s">
        <v>2092</v>
      </c>
    </row>
    <row r="96" spans="1:4" ht="15" customHeight="1">
      <c r="B96" t="s">
        <v>2093</v>
      </c>
      <c r="C96" s="29" t="s">
        <v>2094</v>
      </c>
      <c r="D96" t="s">
        <v>2095</v>
      </c>
    </row>
    <row r="97" spans="1:4" ht="15" customHeight="1">
      <c r="B97" t="s">
        <v>2096</v>
      </c>
      <c r="C97" s="29" t="s">
        <v>2097</v>
      </c>
      <c r="D97" t="s">
        <v>2098</v>
      </c>
    </row>
    <row r="98" spans="1:4" ht="15" customHeight="1">
      <c r="A98" s="29" t="s">
        <v>754</v>
      </c>
      <c r="B98" t="s">
        <v>2099</v>
      </c>
      <c r="C98" s="29" t="s">
        <v>2100</v>
      </c>
      <c r="D98" t="s">
        <v>2101</v>
      </c>
    </row>
    <row r="99" spans="1:4" ht="15" customHeight="1">
      <c r="B99" t="s">
        <v>2102</v>
      </c>
      <c r="C99" s="29" t="s">
        <v>2103</v>
      </c>
      <c r="D99" t="s">
        <v>2104</v>
      </c>
    </row>
    <row r="100" spans="1:4" ht="15" customHeight="1">
      <c r="B100" t="s">
        <v>2105</v>
      </c>
      <c r="C100" s="29" t="s">
        <v>754</v>
      </c>
      <c r="D100" t="s">
        <v>2106</v>
      </c>
    </row>
    <row r="101" spans="1:4" ht="15" customHeight="1">
      <c r="B101" t="s">
        <v>2107</v>
      </c>
      <c r="C101" s="29" t="s">
        <v>2108</v>
      </c>
      <c r="D101" t="s">
        <v>2109</v>
      </c>
    </row>
    <row r="102" spans="1:4" ht="15" customHeight="1">
      <c r="B102" t="s">
        <v>2110</v>
      </c>
      <c r="C102" s="29" t="s">
        <v>2111</v>
      </c>
      <c r="D102" t="s">
        <v>2112</v>
      </c>
    </row>
    <row r="103" spans="1:4" ht="15" customHeight="1">
      <c r="B103" t="s">
        <v>2113</v>
      </c>
      <c r="C103" s="29" t="s">
        <v>2114</v>
      </c>
      <c r="D103" t="s">
        <v>2115</v>
      </c>
    </row>
    <row r="104" spans="1:4" ht="15" customHeight="1">
      <c r="B104" t="s">
        <v>2116</v>
      </c>
      <c r="C104" s="29" t="s">
        <v>2117</v>
      </c>
      <c r="D104" t="s">
        <v>2118</v>
      </c>
    </row>
    <row r="105" spans="1:4" ht="15" customHeight="1">
      <c r="B105" t="s">
        <v>2119</v>
      </c>
      <c r="C105" s="29" t="s">
        <v>2120</v>
      </c>
      <c r="D105" t="s">
        <v>2121</v>
      </c>
    </row>
    <row r="106" spans="1:4" ht="15" customHeight="1">
      <c r="B106" t="s">
        <v>2122</v>
      </c>
      <c r="C106" s="29" t="s">
        <v>1810</v>
      </c>
      <c r="D106" t="s">
        <v>2123</v>
      </c>
    </row>
    <row r="107" spans="1:4" ht="15" customHeight="1">
      <c r="B107" t="s">
        <v>2124</v>
      </c>
      <c r="C107" s="29" t="s">
        <v>2125</v>
      </c>
      <c r="D107" t="s">
        <v>2126</v>
      </c>
    </row>
    <row r="108" spans="1:4" ht="16.5" customHeight="1">
      <c r="A108" s="29" t="s">
        <v>2127</v>
      </c>
      <c r="B108" t="s">
        <v>2128</v>
      </c>
      <c r="C108" s="29" t="s">
        <v>2129</v>
      </c>
      <c r="D108" t="s">
        <v>2130</v>
      </c>
    </row>
    <row r="109" spans="1:4" ht="16.5" customHeight="1">
      <c r="B109" t="s">
        <v>2131</v>
      </c>
      <c r="C109" s="29" t="s">
        <v>2132</v>
      </c>
      <c r="D109" t="s">
        <v>2133</v>
      </c>
    </row>
    <row r="110" spans="1:4" ht="16.5" customHeight="1">
      <c r="B110" t="s">
        <v>2134</v>
      </c>
      <c r="C110" s="29" t="s">
        <v>2135</v>
      </c>
      <c r="D110" t="s">
        <v>2136</v>
      </c>
    </row>
    <row r="111" spans="1:4" ht="16.5" customHeight="1">
      <c r="B111" t="s">
        <v>2137</v>
      </c>
      <c r="C111" s="29" t="s">
        <v>2138</v>
      </c>
      <c r="D111" t="s">
        <v>2139</v>
      </c>
    </row>
    <row r="112" spans="1:4" ht="16.5" customHeight="1">
      <c r="B112" t="s">
        <v>2140</v>
      </c>
      <c r="C112" s="29" t="s">
        <v>2141</v>
      </c>
      <c r="D112" t="s">
        <v>2142</v>
      </c>
    </row>
    <row r="113" spans="2:4" ht="16.5" customHeight="1">
      <c r="B113" t="s">
        <v>2143</v>
      </c>
      <c r="C113" s="29" t="s">
        <v>2144</v>
      </c>
      <c r="D113" t="s">
        <v>2145</v>
      </c>
    </row>
    <row r="114" spans="2:4" ht="16.5" customHeight="1">
      <c r="B114" t="s">
        <v>2146</v>
      </c>
      <c r="C114" s="29" t="s">
        <v>2147</v>
      </c>
      <c r="D114" t="s">
        <v>2148</v>
      </c>
    </row>
  </sheetData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39"/>
  <sheetViews>
    <sheetView zoomScaleNormal="100" workbookViewId="0"/>
  </sheetViews>
  <sheetFormatPr defaultColWidth="8.7109375" defaultRowHeight="15"/>
  <cols>
    <col min="1" max="2" width="10" customWidth="1"/>
    <col min="3" max="3" width="34" customWidth="1"/>
    <col min="4" max="4" width="42" customWidth="1"/>
  </cols>
  <sheetData>
    <row r="1" spans="1:4" ht="16.5" customHeight="1">
      <c r="A1" s="223" t="s">
        <v>2149</v>
      </c>
    </row>
    <row r="2" spans="1:4" ht="15" customHeight="1">
      <c r="A2" s="219" t="s">
        <v>2150</v>
      </c>
    </row>
    <row r="4" spans="1:4" ht="32.25" customHeight="1">
      <c r="A4" s="220" t="s">
        <v>2151</v>
      </c>
      <c r="B4" s="220" t="s">
        <v>2152</v>
      </c>
      <c r="C4" s="220" t="s">
        <v>2153</v>
      </c>
      <c r="D4" s="220" t="s">
        <v>2154</v>
      </c>
    </row>
    <row r="5" spans="1:4" ht="15" customHeight="1">
      <c r="A5" s="29" t="s">
        <v>1450</v>
      </c>
      <c r="B5" t="s">
        <v>2155</v>
      </c>
      <c r="C5" s="29" t="s">
        <v>1514</v>
      </c>
      <c r="D5" t="s">
        <v>2145</v>
      </c>
    </row>
    <row r="6" spans="1:4" ht="16.5" customHeight="1">
      <c r="B6" t="s">
        <v>2156</v>
      </c>
      <c r="C6" s="29" t="s">
        <v>1645</v>
      </c>
      <c r="D6" t="s">
        <v>2148</v>
      </c>
    </row>
    <row r="7" spans="1:4" ht="16.5" customHeight="1">
      <c r="B7" t="s">
        <v>2157</v>
      </c>
      <c r="C7" s="29" t="s">
        <v>1646</v>
      </c>
      <c r="D7" t="s">
        <v>2158</v>
      </c>
    </row>
    <row r="8" spans="1:4" ht="16.5" customHeight="1">
      <c r="B8" t="s">
        <v>1575</v>
      </c>
      <c r="C8" s="29" t="s">
        <v>2159</v>
      </c>
      <c r="D8" t="s">
        <v>2160</v>
      </c>
    </row>
    <row r="9" spans="1:4" ht="15" customHeight="1">
      <c r="A9" s="29" t="s">
        <v>2161</v>
      </c>
      <c r="B9" t="s">
        <v>2162</v>
      </c>
      <c r="C9" s="29" t="s">
        <v>1458</v>
      </c>
      <c r="D9" t="s">
        <v>2163</v>
      </c>
    </row>
    <row r="10" spans="1:4" ht="15" customHeight="1">
      <c r="B10" t="s">
        <v>2164</v>
      </c>
      <c r="C10" s="29" t="s">
        <v>1455</v>
      </c>
      <c r="D10" t="s">
        <v>2165</v>
      </c>
    </row>
    <row r="11" spans="1:4" ht="15" customHeight="1">
      <c r="B11" t="s">
        <v>2166</v>
      </c>
      <c r="C11" s="29" t="s">
        <v>1453</v>
      </c>
      <c r="D11" t="s">
        <v>2167</v>
      </c>
    </row>
    <row r="12" spans="1:4" ht="16.5" customHeight="1">
      <c r="B12" t="s">
        <v>2168</v>
      </c>
      <c r="C12" s="29" t="s">
        <v>1647</v>
      </c>
      <c r="D12" t="s">
        <v>2169</v>
      </c>
    </row>
    <row r="13" spans="1:4" ht="16.5" customHeight="1">
      <c r="A13" s="29" t="s">
        <v>1519</v>
      </c>
      <c r="B13" t="s">
        <v>1578</v>
      </c>
      <c r="C13" s="29" t="s">
        <v>1640</v>
      </c>
      <c r="D13" t="s">
        <v>2170</v>
      </c>
    </row>
    <row r="14" spans="1:4" ht="16.5" customHeight="1">
      <c r="B14" t="s">
        <v>2171</v>
      </c>
      <c r="C14" s="29" t="s">
        <v>1463</v>
      </c>
      <c r="D14" t="s">
        <v>2172</v>
      </c>
    </row>
    <row r="15" spans="1:4" ht="16.5" customHeight="1">
      <c r="A15" s="29" t="s">
        <v>792</v>
      </c>
      <c r="B15" t="s">
        <v>1616</v>
      </c>
      <c r="C15" s="29" t="s">
        <v>1636</v>
      </c>
      <c r="D15" t="s">
        <v>2173</v>
      </c>
    </row>
    <row r="16" spans="1:4" ht="15" customHeight="1">
      <c r="A16" s="29" t="s">
        <v>1423</v>
      </c>
      <c r="B16" t="s">
        <v>1619</v>
      </c>
      <c r="C16" s="29" t="s">
        <v>794</v>
      </c>
      <c r="D16" t="s">
        <v>2174</v>
      </c>
    </row>
    <row r="17" spans="1:4" ht="15" customHeight="1">
      <c r="B17" t="s">
        <v>1610</v>
      </c>
      <c r="C17" s="29" t="s">
        <v>795</v>
      </c>
      <c r="D17" t="s">
        <v>2175</v>
      </c>
    </row>
    <row r="18" spans="1:4" ht="16.5" customHeight="1">
      <c r="B18" t="s">
        <v>1607</v>
      </c>
      <c r="C18" s="29" t="s">
        <v>1639</v>
      </c>
      <c r="D18" t="s">
        <v>2176</v>
      </c>
    </row>
    <row r="19" spans="1:4" ht="15" customHeight="1">
      <c r="A19" s="29" t="s">
        <v>2177</v>
      </c>
      <c r="B19" t="s">
        <v>1593</v>
      </c>
      <c r="C19" s="29" t="s">
        <v>1415</v>
      </c>
      <c r="D19" t="s">
        <v>2178</v>
      </c>
    </row>
    <row r="20" spans="1:4" ht="15" customHeight="1">
      <c r="B20" t="s">
        <v>1590</v>
      </c>
      <c r="C20" s="29" t="s">
        <v>1413</v>
      </c>
      <c r="D20" t="s">
        <v>2179</v>
      </c>
    </row>
    <row r="21" spans="1:4" ht="16.5" customHeight="1">
      <c r="B21" t="s">
        <v>2180</v>
      </c>
      <c r="C21" s="29" t="s">
        <v>2181</v>
      </c>
      <c r="D21" t="s">
        <v>2182</v>
      </c>
    </row>
    <row r="22" spans="1:4" ht="16.5" customHeight="1">
      <c r="B22" t="s">
        <v>1596</v>
      </c>
      <c r="C22" s="29" t="s">
        <v>2183</v>
      </c>
      <c r="D22" t="s">
        <v>2184</v>
      </c>
    </row>
    <row r="23" spans="1:4" ht="15" customHeight="1">
      <c r="B23" t="s">
        <v>1613</v>
      </c>
      <c r="C23" s="29" t="s">
        <v>1424</v>
      </c>
      <c r="D23" t="s">
        <v>2185</v>
      </c>
    </row>
    <row r="24" spans="1:4" ht="16.5" customHeight="1">
      <c r="A24" s="29" t="s">
        <v>2186</v>
      </c>
      <c r="B24" t="s">
        <v>2187</v>
      </c>
      <c r="C24" t="s">
        <v>1446</v>
      </c>
      <c r="D24" t="s">
        <v>2188</v>
      </c>
    </row>
    <row r="25" spans="1:4" ht="16.5" customHeight="1">
      <c r="B25" t="s">
        <v>2189</v>
      </c>
      <c r="C25" t="s">
        <v>1448</v>
      </c>
      <c r="D25" t="s">
        <v>2190</v>
      </c>
    </row>
    <row r="26" spans="1:4" ht="16.5" customHeight="1">
      <c r="B26" t="s">
        <v>2191</v>
      </c>
      <c r="C26" t="s">
        <v>1427</v>
      </c>
      <c r="D26" t="s">
        <v>2192</v>
      </c>
    </row>
    <row r="27" spans="1:4" ht="15" customHeight="1">
      <c r="A27" s="29" t="s">
        <v>797</v>
      </c>
      <c r="B27" t="s">
        <v>1604</v>
      </c>
      <c r="C27" s="29" t="s">
        <v>2193</v>
      </c>
      <c r="D27" t="s">
        <v>2194</v>
      </c>
    </row>
    <row r="28" spans="1:4" ht="15" customHeight="1">
      <c r="B28" t="s">
        <v>1601</v>
      </c>
      <c r="C28" s="29" t="s">
        <v>1383</v>
      </c>
      <c r="D28" t="s">
        <v>2195</v>
      </c>
    </row>
    <row r="29" spans="1:4" ht="15" customHeight="1">
      <c r="B29" t="s">
        <v>1598</v>
      </c>
      <c r="C29" s="29" t="s">
        <v>797</v>
      </c>
      <c r="D29" t="s">
        <v>2196</v>
      </c>
    </row>
    <row r="30" spans="1:4" ht="16.5" customHeight="1">
      <c r="A30" t="s">
        <v>2197</v>
      </c>
      <c r="B30" t="s">
        <v>2198</v>
      </c>
      <c r="C30" t="s">
        <v>786</v>
      </c>
      <c r="D30" t="s">
        <v>2199</v>
      </c>
    </row>
    <row r="31" spans="1:4" ht="16.5" customHeight="1">
      <c r="B31" t="s">
        <v>2200</v>
      </c>
      <c r="C31" t="s">
        <v>787</v>
      </c>
      <c r="D31" t="s">
        <v>2201</v>
      </c>
    </row>
    <row r="32" spans="1:4" ht="16.5" customHeight="1">
      <c r="B32" t="s">
        <v>2202</v>
      </c>
      <c r="C32" s="29" t="s">
        <v>782</v>
      </c>
      <c r="D32" t="s">
        <v>2203</v>
      </c>
    </row>
    <row r="33" spans="1:4" ht="16.5" customHeight="1">
      <c r="B33" t="s">
        <v>1046</v>
      </c>
      <c r="C33" s="29" t="s">
        <v>784</v>
      </c>
      <c r="D33" t="s">
        <v>2204</v>
      </c>
    </row>
    <row r="34" spans="1:4" ht="16.5" customHeight="1">
      <c r="A34" t="s">
        <v>1375</v>
      </c>
      <c r="B34" t="s">
        <v>2205</v>
      </c>
      <c r="C34" t="s">
        <v>788</v>
      </c>
      <c r="D34" t="s">
        <v>2206</v>
      </c>
    </row>
    <row r="35" spans="1:4" ht="16.5" customHeight="1">
      <c r="B35" t="s">
        <v>2207</v>
      </c>
      <c r="C35" s="29" t="s">
        <v>789</v>
      </c>
      <c r="D35" t="s">
        <v>2208</v>
      </c>
    </row>
    <row r="36" spans="1:4" ht="15" customHeight="1">
      <c r="B36" t="s">
        <v>2209</v>
      </c>
      <c r="C36" s="29" t="s">
        <v>1644</v>
      </c>
      <c r="D36" t="s">
        <v>2210</v>
      </c>
    </row>
    <row r="37" spans="1:4" ht="16.5" customHeight="1">
      <c r="B37" t="s">
        <v>1622</v>
      </c>
      <c r="C37" s="29" t="s">
        <v>790</v>
      </c>
      <c r="D37" t="s">
        <v>2211</v>
      </c>
    </row>
    <row r="38" spans="1:4" ht="15" customHeight="1">
      <c r="B38" t="s">
        <v>2212</v>
      </c>
      <c r="C38" s="29" t="s">
        <v>1643</v>
      </c>
      <c r="D38" t="s">
        <v>2213</v>
      </c>
    </row>
    <row r="39" spans="1:4" ht="15" customHeight="1">
      <c r="A39" s="29" t="s">
        <v>1002</v>
      </c>
      <c r="B39" t="s">
        <v>2214</v>
      </c>
      <c r="C39" t="s">
        <v>2215</v>
      </c>
      <c r="D39" t="s">
        <v>2216</v>
      </c>
    </row>
    <row r="40" spans="1:4" ht="15" customHeight="1">
      <c r="B40" t="s">
        <v>2217</v>
      </c>
      <c r="C40" s="29" t="s">
        <v>2218</v>
      </c>
      <c r="D40" t="s">
        <v>2219</v>
      </c>
    </row>
    <row r="41" spans="1:4" ht="16.5" customHeight="1">
      <c r="B41" t="s">
        <v>2220</v>
      </c>
      <c r="C41" s="29" t="s">
        <v>2221</v>
      </c>
      <c r="D41" t="s">
        <v>2222</v>
      </c>
    </row>
    <row r="42" spans="1:4" ht="16.5" customHeight="1">
      <c r="B42" t="s">
        <v>2223</v>
      </c>
      <c r="C42" s="29" t="s">
        <v>2224</v>
      </c>
      <c r="D42" t="s">
        <v>2225</v>
      </c>
    </row>
    <row r="43" spans="1:4" ht="15" customHeight="1">
      <c r="B43" t="s">
        <v>2226</v>
      </c>
      <c r="C43" s="29" t="s">
        <v>2227</v>
      </c>
      <c r="D43" t="s">
        <v>2228</v>
      </c>
    </row>
    <row r="44" spans="1:4" ht="16.5" customHeight="1">
      <c r="B44" t="s">
        <v>1628</v>
      </c>
      <c r="C44" s="29" t="s">
        <v>1637</v>
      </c>
      <c r="D44" t="s">
        <v>2229</v>
      </c>
    </row>
    <row r="45" spans="1:4" ht="15" customHeight="1">
      <c r="B45" t="s">
        <v>2230</v>
      </c>
      <c r="C45" s="29" t="s">
        <v>2231</v>
      </c>
      <c r="D45" t="s">
        <v>2232</v>
      </c>
    </row>
    <row r="46" spans="1:4" ht="15" customHeight="1">
      <c r="B46" t="s">
        <v>2233</v>
      </c>
      <c r="C46" s="29" t="s">
        <v>2234</v>
      </c>
      <c r="D46" t="s">
        <v>2235</v>
      </c>
    </row>
    <row r="47" spans="1:4" ht="16.5" customHeight="1">
      <c r="B47" t="s">
        <v>2236</v>
      </c>
      <c r="C47" s="29" t="s">
        <v>2237</v>
      </c>
      <c r="D47" t="s">
        <v>2238</v>
      </c>
    </row>
    <row r="48" spans="1:4" ht="15" customHeight="1">
      <c r="B48" t="s">
        <v>2239</v>
      </c>
      <c r="C48" s="29" t="s">
        <v>2240</v>
      </c>
      <c r="D48" t="s">
        <v>2241</v>
      </c>
    </row>
    <row r="49" spans="2:4" ht="16.5" customHeight="1">
      <c r="B49" t="s">
        <v>2242</v>
      </c>
      <c r="C49" s="29" t="s">
        <v>2243</v>
      </c>
      <c r="D49" t="s">
        <v>2244</v>
      </c>
    </row>
    <row r="50" spans="2:4" ht="16.5" customHeight="1">
      <c r="B50" t="s">
        <v>2245</v>
      </c>
      <c r="C50" s="29" t="s">
        <v>2246</v>
      </c>
      <c r="D50" t="s">
        <v>2247</v>
      </c>
    </row>
    <row r="51" spans="2:4" ht="16.5" customHeight="1">
      <c r="B51" t="s">
        <v>2248</v>
      </c>
      <c r="C51" s="29" t="s">
        <v>2249</v>
      </c>
      <c r="D51" t="s">
        <v>2250</v>
      </c>
    </row>
    <row r="52" spans="2:4" ht="16.5" customHeight="1">
      <c r="B52" t="s">
        <v>2251</v>
      </c>
      <c r="C52" s="29" t="s">
        <v>2252</v>
      </c>
      <c r="D52" t="s">
        <v>2253</v>
      </c>
    </row>
    <row r="53" spans="2:4" ht="15" customHeight="1">
      <c r="B53" t="s">
        <v>2254</v>
      </c>
      <c r="C53" s="29" t="s">
        <v>2255</v>
      </c>
      <c r="D53" t="s">
        <v>2256</v>
      </c>
    </row>
    <row r="54" spans="2:4" ht="16.5" customHeight="1">
      <c r="B54" t="s">
        <v>2257</v>
      </c>
      <c r="C54" s="29" t="s">
        <v>2258</v>
      </c>
      <c r="D54" t="s">
        <v>2259</v>
      </c>
    </row>
    <row r="55" spans="2:4" ht="16.5" customHeight="1">
      <c r="B55" t="s">
        <v>2260</v>
      </c>
      <c r="C55" s="29" t="s">
        <v>2261</v>
      </c>
      <c r="D55" t="s">
        <v>2262</v>
      </c>
    </row>
    <row r="56" spans="2:4" ht="16.5" customHeight="1">
      <c r="B56" t="s">
        <v>2263</v>
      </c>
      <c r="C56" s="29" t="s">
        <v>1638</v>
      </c>
      <c r="D56" t="s">
        <v>2264</v>
      </c>
    </row>
    <row r="57" spans="2:4" ht="15" customHeight="1">
      <c r="B57" t="s">
        <v>2265</v>
      </c>
      <c r="C57" s="29" t="s">
        <v>2266</v>
      </c>
      <c r="D57" t="s">
        <v>2267</v>
      </c>
    </row>
    <row r="58" spans="2:4" ht="16.5" customHeight="1">
      <c r="B58" t="s">
        <v>2268</v>
      </c>
      <c r="C58" s="29" t="s">
        <v>2269</v>
      </c>
      <c r="D58" t="s">
        <v>2270</v>
      </c>
    </row>
    <row r="59" spans="2:4" ht="16.5" customHeight="1">
      <c r="B59" t="s">
        <v>2271</v>
      </c>
      <c r="C59" s="29" t="s">
        <v>2272</v>
      </c>
      <c r="D59" t="s">
        <v>2273</v>
      </c>
    </row>
    <row r="60" spans="2:4" ht="16.5" customHeight="1">
      <c r="B60" t="s">
        <v>2274</v>
      </c>
      <c r="C60" s="29" t="s">
        <v>2275</v>
      </c>
      <c r="D60" t="s">
        <v>2276</v>
      </c>
    </row>
    <row r="61" spans="2:4" ht="16.5" customHeight="1">
      <c r="B61" t="s">
        <v>2277</v>
      </c>
      <c r="C61" s="29" t="s">
        <v>2278</v>
      </c>
      <c r="D61" t="s">
        <v>2279</v>
      </c>
    </row>
    <row r="62" spans="2:4" ht="15" customHeight="1">
      <c r="B62" t="s">
        <v>2280</v>
      </c>
      <c r="C62" s="29" t="s">
        <v>2281</v>
      </c>
      <c r="D62" t="s">
        <v>2282</v>
      </c>
    </row>
    <row r="63" spans="2:4" ht="16.5" customHeight="1">
      <c r="B63" t="s">
        <v>2283</v>
      </c>
      <c r="C63" s="29" t="s">
        <v>2284</v>
      </c>
      <c r="D63" t="s">
        <v>2285</v>
      </c>
    </row>
    <row r="64" spans="2:4" ht="16.5" customHeight="1">
      <c r="B64" t="s">
        <v>2286</v>
      </c>
      <c r="C64" s="29" t="s">
        <v>2287</v>
      </c>
      <c r="D64" t="s">
        <v>2288</v>
      </c>
    </row>
    <row r="65" spans="2:4" ht="16.5" customHeight="1">
      <c r="B65" t="s">
        <v>2289</v>
      </c>
      <c r="C65" s="29" t="s">
        <v>2290</v>
      </c>
      <c r="D65" t="s">
        <v>2291</v>
      </c>
    </row>
    <row r="66" spans="2:4" ht="15" customHeight="1">
      <c r="B66" t="s">
        <v>2292</v>
      </c>
      <c r="C66" s="29" t="s">
        <v>2293</v>
      </c>
      <c r="D66" t="s">
        <v>2294</v>
      </c>
    </row>
    <row r="67" spans="2:4" ht="16.5" customHeight="1">
      <c r="B67" t="s">
        <v>2295</v>
      </c>
      <c r="C67" s="29" t="s">
        <v>1432</v>
      </c>
      <c r="D67" t="s">
        <v>2296</v>
      </c>
    </row>
    <row r="68" spans="2:4" ht="15" customHeight="1">
      <c r="B68" t="s">
        <v>2297</v>
      </c>
      <c r="C68" s="29" t="s">
        <v>950</v>
      </c>
      <c r="D68" t="s">
        <v>2298</v>
      </c>
    </row>
    <row r="69" spans="2:4" ht="15" customHeight="1">
      <c r="B69" t="s">
        <v>2299</v>
      </c>
      <c r="C69" s="29" t="s">
        <v>1434</v>
      </c>
      <c r="D69" t="s">
        <v>2300</v>
      </c>
    </row>
    <row r="70" spans="2:4" ht="15" customHeight="1">
      <c r="B70" t="s">
        <v>2301</v>
      </c>
      <c r="C70" s="29" t="s">
        <v>2302</v>
      </c>
      <c r="D70" t="s">
        <v>2303</v>
      </c>
    </row>
    <row r="71" spans="2:4" ht="16.5" customHeight="1">
      <c r="B71" t="s">
        <v>2304</v>
      </c>
      <c r="C71" s="29" t="s">
        <v>2305</v>
      </c>
      <c r="D71" t="s">
        <v>2306</v>
      </c>
    </row>
    <row r="72" spans="2:4" ht="16.5" customHeight="1">
      <c r="B72" t="s">
        <v>2307</v>
      </c>
      <c r="C72" s="29" t="s">
        <v>2308</v>
      </c>
      <c r="D72" t="s">
        <v>2309</v>
      </c>
    </row>
    <row r="73" spans="2:4" ht="16.5" customHeight="1">
      <c r="B73" t="s">
        <v>2310</v>
      </c>
      <c r="C73" s="29" t="s">
        <v>2311</v>
      </c>
      <c r="D73" t="s">
        <v>2312</v>
      </c>
    </row>
    <row r="74" spans="2:4" ht="15" customHeight="1">
      <c r="B74" t="s">
        <v>2313</v>
      </c>
      <c r="C74" s="29" t="s">
        <v>2314</v>
      </c>
      <c r="D74" t="s">
        <v>2315</v>
      </c>
    </row>
    <row r="75" spans="2:4" ht="16.5" customHeight="1">
      <c r="B75" t="s">
        <v>2316</v>
      </c>
      <c r="C75" s="29" t="s">
        <v>1439</v>
      </c>
      <c r="D75" t="s">
        <v>2317</v>
      </c>
    </row>
    <row r="76" spans="2:4" ht="15" customHeight="1">
      <c r="B76" t="s">
        <v>2318</v>
      </c>
      <c r="C76" s="29" t="s">
        <v>2319</v>
      </c>
      <c r="D76" t="s">
        <v>2320</v>
      </c>
    </row>
    <row r="77" spans="2:4" ht="15" customHeight="1">
      <c r="B77" t="s">
        <v>2321</v>
      </c>
      <c r="C77" s="29" t="s">
        <v>2322</v>
      </c>
      <c r="D77" t="s">
        <v>2323</v>
      </c>
    </row>
    <row r="78" spans="2:4" ht="15" customHeight="1">
      <c r="B78" t="s">
        <v>2324</v>
      </c>
      <c r="C78" s="29" t="s">
        <v>2325</v>
      </c>
      <c r="D78" t="s">
        <v>2326</v>
      </c>
    </row>
    <row r="79" spans="2:4" ht="16.5" customHeight="1">
      <c r="B79" t="s">
        <v>2327</v>
      </c>
      <c r="C79" s="29" t="s">
        <v>2328</v>
      </c>
      <c r="D79" t="s">
        <v>2329</v>
      </c>
    </row>
    <row r="80" spans="2:4" ht="15" customHeight="1">
      <c r="B80" t="s">
        <v>2330</v>
      </c>
      <c r="C80" s="29" t="s">
        <v>2331</v>
      </c>
      <c r="D80" t="s">
        <v>2332</v>
      </c>
    </row>
    <row r="81" spans="1:4" ht="16.5" customHeight="1">
      <c r="B81" t="s">
        <v>2333</v>
      </c>
      <c r="C81" s="29" t="s">
        <v>2334</v>
      </c>
      <c r="D81" t="s">
        <v>2335</v>
      </c>
    </row>
    <row r="82" spans="1:4" ht="15" customHeight="1">
      <c r="B82" t="s">
        <v>2336</v>
      </c>
      <c r="C82" s="29" t="s">
        <v>2337</v>
      </c>
      <c r="D82" t="s">
        <v>2338</v>
      </c>
    </row>
    <row r="83" spans="1:4" ht="16.5" customHeight="1">
      <c r="B83" t="s">
        <v>2339</v>
      </c>
      <c r="C83" s="29" t="s">
        <v>2340</v>
      </c>
      <c r="D83" t="s">
        <v>2341</v>
      </c>
    </row>
    <row r="84" spans="1:4" ht="16.5" customHeight="1">
      <c r="B84" t="s">
        <v>2342</v>
      </c>
      <c r="C84" s="29" t="s">
        <v>2343</v>
      </c>
      <c r="D84" t="s">
        <v>2344</v>
      </c>
    </row>
    <row r="85" spans="1:4" ht="15" customHeight="1">
      <c r="B85" t="s">
        <v>2345</v>
      </c>
      <c r="C85" s="29" t="s">
        <v>1466</v>
      </c>
      <c r="D85" t="s">
        <v>2346</v>
      </c>
    </row>
    <row r="86" spans="1:4" ht="15" customHeight="1">
      <c r="B86" t="s">
        <v>2347</v>
      </c>
      <c r="C86" s="29" t="s">
        <v>2348</v>
      </c>
      <c r="D86" t="s">
        <v>2349</v>
      </c>
    </row>
    <row r="87" spans="1:4" ht="15" customHeight="1">
      <c r="B87" t="s">
        <v>2350</v>
      </c>
      <c r="C87" s="29" t="s">
        <v>2351</v>
      </c>
      <c r="D87" t="s">
        <v>2352</v>
      </c>
    </row>
    <row r="88" spans="1:4" ht="16.5" customHeight="1">
      <c r="B88" t="s">
        <v>2353</v>
      </c>
      <c r="C88" s="29" t="s">
        <v>2354</v>
      </c>
      <c r="D88" t="s">
        <v>2355</v>
      </c>
    </row>
    <row r="89" spans="1:4" ht="16.5" customHeight="1">
      <c r="B89" t="s">
        <v>2356</v>
      </c>
      <c r="C89" s="29" t="s">
        <v>2357</v>
      </c>
      <c r="D89" t="s">
        <v>2358</v>
      </c>
    </row>
    <row r="90" spans="1:4" ht="16.5" customHeight="1">
      <c r="B90" t="s">
        <v>2359</v>
      </c>
      <c r="C90" s="29" t="s">
        <v>2360</v>
      </c>
      <c r="D90" t="s">
        <v>2361</v>
      </c>
    </row>
    <row r="91" spans="1:4" ht="15" customHeight="1">
      <c r="B91" t="s">
        <v>2362</v>
      </c>
      <c r="C91" s="29" t="s">
        <v>2363</v>
      </c>
      <c r="D91" t="s">
        <v>2364</v>
      </c>
    </row>
    <row r="92" spans="1:4" ht="16.5" customHeight="1">
      <c r="B92" t="s">
        <v>2365</v>
      </c>
      <c r="C92" s="29" t="s">
        <v>2366</v>
      </c>
      <c r="D92" t="s">
        <v>2367</v>
      </c>
    </row>
    <row r="93" spans="1:4" ht="15" customHeight="1">
      <c r="A93" s="29" t="s">
        <v>2368</v>
      </c>
      <c r="B93" t="s">
        <v>2369</v>
      </c>
      <c r="C93" s="29" t="s">
        <v>2370</v>
      </c>
      <c r="D93" t="s">
        <v>2371</v>
      </c>
    </row>
    <row r="94" spans="1:4" ht="16.5" customHeight="1">
      <c r="B94" t="s">
        <v>2372</v>
      </c>
      <c r="C94" s="29" t="s">
        <v>2373</v>
      </c>
      <c r="D94" t="s">
        <v>2374</v>
      </c>
    </row>
    <row r="95" spans="1:4" ht="16.5" customHeight="1">
      <c r="B95" t="s">
        <v>2375</v>
      </c>
      <c r="C95" s="29" t="s">
        <v>2376</v>
      </c>
      <c r="D95" t="s">
        <v>2377</v>
      </c>
    </row>
    <row r="96" spans="1:4" ht="16.5" customHeight="1">
      <c r="B96" t="s">
        <v>2378</v>
      </c>
      <c r="C96" s="29" t="s">
        <v>2379</v>
      </c>
      <c r="D96" t="s">
        <v>2380</v>
      </c>
    </row>
    <row r="97" spans="2:4" ht="16.5" customHeight="1">
      <c r="B97" t="s">
        <v>2381</v>
      </c>
      <c r="C97" s="29" t="s">
        <v>2382</v>
      </c>
      <c r="D97" t="s">
        <v>2383</v>
      </c>
    </row>
    <row r="98" spans="2:4" ht="16.5" customHeight="1">
      <c r="B98" t="s">
        <v>2384</v>
      </c>
      <c r="C98" s="29" t="s">
        <v>2385</v>
      </c>
      <c r="D98" t="s">
        <v>2386</v>
      </c>
    </row>
    <row r="99" spans="2:4" ht="16.5" customHeight="1">
      <c r="B99" t="s">
        <v>2387</v>
      </c>
      <c r="C99" s="29" t="s">
        <v>2388</v>
      </c>
      <c r="D99" t="s">
        <v>2389</v>
      </c>
    </row>
    <row r="100" spans="2:4" ht="16.5" customHeight="1">
      <c r="B100" t="s">
        <v>2390</v>
      </c>
      <c r="C100" s="29" t="s">
        <v>2391</v>
      </c>
      <c r="D100" t="s">
        <v>2392</v>
      </c>
    </row>
    <row r="101" spans="2:4" ht="15" customHeight="1">
      <c r="B101" t="s">
        <v>2393</v>
      </c>
      <c r="C101" s="29" t="s">
        <v>2394</v>
      </c>
      <c r="D101" t="s">
        <v>2395</v>
      </c>
    </row>
    <row r="102" spans="2:4" ht="16.5" customHeight="1">
      <c r="B102" t="s">
        <v>2396</v>
      </c>
      <c r="C102" s="29" t="s">
        <v>2397</v>
      </c>
      <c r="D102" t="s">
        <v>2398</v>
      </c>
    </row>
    <row r="103" spans="2:4" ht="16.5" customHeight="1">
      <c r="B103" t="s">
        <v>2399</v>
      </c>
      <c r="C103" s="29" t="s">
        <v>2400</v>
      </c>
      <c r="D103" t="s">
        <v>2401</v>
      </c>
    </row>
    <row r="104" spans="2:4" ht="16.5" customHeight="1">
      <c r="B104" t="s">
        <v>2402</v>
      </c>
      <c r="C104" s="29" t="s">
        <v>2403</v>
      </c>
      <c r="D104" t="s">
        <v>2404</v>
      </c>
    </row>
    <row r="105" spans="2:4" ht="16.5" customHeight="1">
      <c r="B105" t="s">
        <v>2405</v>
      </c>
      <c r="C105" s="29" t="s">
        <v>2406</v>
      </c>
      <c r="D105" t="s">
        <v>2407</v>
      </c>
    </row>
    <row r="106" spans="2:4" ht="16.5" customHeight="1">
      <c r="B106" t="s">
        <v>2408</v>
      </c>
      <c r="C106" s="29" t="s">
        <v>2409</v>
      </c>
      <c r="D106" t="s">
        <v>2410</v>
      </c>
    </row>
    <row r="107" spans="2:4" ht="16.5" customHeight="1">
      <c r="B107" t="s">
        <v>2411</v>
      </c>
      <c r="C107" s="29" t="s">
        <v>2412</v>
      </c>
      <c r="D107" t="s">
        <v>2413</v>
      </c>
    </row>
    <row r="108" spans="2:4" ht="16.5" customHeight="1">
      <c r="B108" t="s">
        <v>2414</v>
      </c>
      <c r="C108" s="29" t="s">
        <v>2415</v>
      </c>
      <c r="D108" t="s">
        <v>2416</v>
      </c>
    </row>
    <row r="109" spans="2:4" ht="15" customHeight="1">
      <c r="B109" t="s">
        <v>2417</v>
      </c>
      <c r="C109" s="29" t="s">
        <v>2418</v>
      </c>
      <c r="D109" t="s">
        <v>2419</v>
      </c>
    </row>
    <row r="110" spans="2:4" ht="16.5" customHeight="1">
      <c r="B110" t="s">
        <v>1625</v>
      </c>
      <c r="C110" s="29" t="s">
        <v>2420</v>
      </c>
      <c r="D110" t="s">
        <v>2421</v>
      </c>
    </row>
    <row r="111" spans="2:4" ht="16.5" customHeight="1">
      <c r="B111" t="s">
        <v>2422</v>
      </c>
      <c r="C111" s="29" t="s">
        <v>2423</v>
      </c>
      <c r="D111" t="s">
        <v>2424</v>
      </c>
    </row>
    <row r="112" spans="2:4" ht="16.5" customHeight="1">
      <c r="B112" t="s">
        <v>2425</v>
      </c>
      <c r="C112" s="29" t="s">
        <v>2426</v>
      </c>
      <c r="D112" t="s">
        <v>2427</v>
      </c>
    </row>
    <row r="113" spans="2:4" ht="16.5" customHeight="1">
      <c r="B113" t="s">
        <v>2428</v>
      </c>
      <c r="C113" s="29" t="s">
        <v>2429</v>
      </c>
      <c r="D113" t="s">
        <v>2430</v>
      </c>
    </row>
    <row r="114" spans="2:4" ht="16.5" customHeight="1">
      <c r="B114" t="s">
        <v>2431</v>
      </c>
      <c r="C114" s="29" t="s">
        <v>2432</v>
      </c>
      <c r="D114" t="s">
        <v>2433</v>
      </c>
    </row>
    <row r="115" spans="2:4" ht="16.5" customHeight="1">
      <c r="B115" t="s">
        <v>2434</v>
      </c>
      <c r="C115" s="29" t="s">
        <v>2435</v>
      </c>
      <c r="D115" t="s">
        <v>2436</v>
      </c>
    </row>
    <row r="116" spans="2:4" ht="16.5" customHeight="1">
      <c r="B116" t="s">
        <v>2437</v>
      </c>
      <c r="C116" s="29" t="s">
        <v>2438</v>
      </c>
      <c r="D116" t="s">
        <v>2439</v>
      </c>
    </row>
    <row r="117" spans="2:4" ht="16.5" customHeight="1">
      <c r="B117" t="s">
        <v>2440</v>
      </c>
      <c r="C117" s="29" t="s">
        <v>2441</v>
      </c>
      <c r="D117" t="s">
        <v>2442</v>
      </c>
    </row>
    <row r="118" spans="2:4" ht="16.5" customHeight="1">
      <c r="B118" t="s">
        <v>2443</v>
      </c>
      <c r="C118" s="29" t="s">
        <v>2444</v>
      </c>
      <c r="D118" t="s">
        <v>2445</v>
      </c>
    </row>
    <row r="119" spans="2:4" ht="16.5" customHeight="1">
      <c r="B119" t="s">
        <v>2446</v>
      </c>
      <c r="C119" s="29" t="s">
        <v>2447</v>
      </c>
      <c r="D119" t="s">
        <v>2448</v>
      </c>
    </row>
    <row r="120" spans="2:4" ht="16.5" customHeight="1">
      <c r="B120" t="s">
        <v>2449</v>
      </c>
      <c r="C120" s="29" t="s">
        <v>2450</v>
      </c>
      <c r="D120" t="s">
        <v>2451</v>
      </c>
    </row>
    <row r="121" spans="2:4" ht="16.5" customHeight="1">
      <c r="B121" t="s">
        <v>2452</v>
      </c>
      <c r="C121" s="29" t="s">
        <v>2453</v>
      </c>
      <c r="D121" t="s">
        <v>2454</v>
      </c>
    </row>
    <row r="122" spans="2:4" ht="15" customHeight="1">
      <c r="B122" t="s">
        <v>2455</v>
      </c>
      <c r="C122" s="29" t="s">
        <v>2456</v>
      </c>
      <c r="D122" t="s">
        <v>2457</v>
      </c>
    </row>
    <row r="123" spans="2:4" ht="16.5" customHeight="1">
      <c r="B123" t="s">
        <v>2458</v>
      </c>
      <c r="C123" s="29" t="s">
        <v>2459</v>
      </c>
      <c r="D123" t="s">
        <v>2460</v>
      </c>
    </row>
    <row r="124" spans="2:4" ht="15" customHeight="1">
      <c r="B124" t="s">
        <v>2461</v>
      </c>
      <c r="C124" s="29" t="s">
        <v>2462</v>
      </c>
      <c r="D124" t="s">
        <v>2463</v>
      </c>
    </row>
    <row r="125" spans="2:4" ht="16.5" customHeight="1">
      <c r="B125" t="s">
        <v>2464</v>
      </c>
      <c r="C125" s="29" t="s">
        <v>2465</v>
      </c>
      <c r="D125" t="s">
        <v>2466</v>
      </c>
    </row>
    <row r="126" spans="2:4" ht="16.5" customHeight="1">
      <c r="B126" t="s">
        <v>2467</v>
      </c>
      <c r="C126" s="29" t="s">
        <v>2468</v>
      </c>
      <c r="D126" t="s">
        <v>2469</v>
      </c>
    </row>
    <row r="127" spans="2:4" ht="16.5" customHeight="1">
      <c r="B127" t="s">
        <v>2470</v>
      </c>
      <c r="C127" s="29" t="s">
        <v>2471</v>
      </c>
      <c r="D127" t="s">
        <v>2472</v>
      </c>
    </row>
    <row r="128" spans="2:4" ht="16.5" customHeight="1">
      <c r="B128" t="s">
        <v>2473</v>
      </c>
      <c r="C128" s="29" t="s">
        <v>2474</v>
      </c>
      <c r="D128" t="s">
        <v>2475</v>
      </c>
    </row>
    <row r="129" spans="1:4" ht="16.5" customHeight="1">
      <c r="B129" t="s">
        <v>2476</v>
      </c>
      <c r="C129" s="29" t="s">
        <v>2477</v>
      </c>
      <c r="D129" t="s">
        <v>2478</v>
      </c>
    </row>
    <row r="130" spans="1:4" ht="16.5" customHeight="1">
      <c r="B130" t="s">
        <v>2479</v>
      </c>
      <c r="C130" s="29" t="s">
        <v>2480</v>
      </c>
      <c r="D130" t="s">
        <v>2481</v>
      </c>
    </row>
    <row r="131" spans="1:4" ht="16.5" customHeight="1">
      <c r="A131" s="222" t="s">
        <v>2482</v>
      </c>
      <c r="B131" t="s">
        <v>2483</v>
      </c>
      <c r="C131" t="s">
        <v>2484</v>
      </c>
      <c r="D131" t="s">
        <v>2485</v>
      </c>
    </row>
    <row r="132" spans="1:4" ht="15" customHeight="1">
      <c r="B132" t="s">
        <v>2486</v>
      </c>
      <c r="C132" s="29" t="s">
        <v>2487</v>
      </c>
      <c r="D132" t="s">
        <v>2488</v>
      </c>
    </row>
    <row r="133" spans="1:4" ht="16.5" customHeight="1">
      <c r="B133" t="s">
        <v>2489</v>
      </c>
      <c r="C133" s="29" t="s">
        <v>2490</v>
      </c>
      <c r="D133" t="s">
        <v>2491</v>
      </c>
    </row>
    <row r="134" spans="1:4" ht="16.5" customHeight="1">
      <c r="B134" t="s">
        <v>2492</v>
      </c>
      <c r="C134" s="29" t="s">
        <v>2493</v>
      </c>
      <c r="D134" t="s">
        <v>2494</v>
      </c>
    </row>
    <row r="135" spans="1:4" ht="15" customHeight="1">
      <c r="B135" t="s">
        <v>2495</v>
      </c>
      <c r="C135" s="29" t="s">
        <v>2496</v>
      </c>
      <c r="D135" t="s">
        <v>2497</v>
      </c>
    </row>
    <row r="136" spans="1:4" ht="16.5" customHeight="1">
      <c r="B136" t="s">
        <v>2498</v>
      </c>
      <c r="C136" s="29" t="s">
        <v>2499</v>
      </c>
      <c r="D136" t="s">
        <v>2500</v>
      </c>
    </row>
    <row r="137" spans="1:4" ht="16.5" customHeight="1">
      <c r="B137" t="s">
        <v>2501</v>
      </c>
      <c r="C137" s="29" t="s">
        <v>2502</v>
      </c>
      <c r="D137" t="s">
        <v>2503</v>
      </c>
    </row>
    <row r="138" spans="1:4" ht="16.5" customHeight="1">
      <c r="B138" t="s">
        <v>2504</v>
      </c>
      <c r="C138" s="29" t="s">
        <v>2505</v>
      </c>
      <c r="D138" t="s">
        <v>2506</v>
      </c>
    </row>
    <row r="139" spans="1:4" ht="15" customHeight="1">
      <c r="B139" t="s">
        <v>2507</v>
      </c>
      <c r="C139" s="29" t="s">
        <v>2508</v>
      </c>
      <c r="D139" t="s">
        <v>2509</v>
      </c>
    </row>
    <row r="140" spans="1:4" ht="16.5" customHeight="1">
      <c r="A140" s="29" t="s">
        <v>2510</v>
      </c>
      <c r="B140" t="s">
        <v>2511</v>
      </c>
      <c r="C140" s="29" t="s">
        <v>2512</v>
      </c>
      <c r="D140" t="s">
        <v>2513</v>
      </c>
    </row>
    <row r="141" spans="1:4" ht="15" customHeight="1">
      <c r="B141" t="s">
        <v>2514</v>
      </c>
      <c r="C141" s="29" t="s">
        <v>2515</v>
      </c>
      <c r="D141" t="s">
        <v>2516</v>
      </c>
    </row>
    <row r="142" spans="1:4" ht="16.5" customHeight="1">
      <c r="B142" t="s">
        <v>2517</v>
      </c>
      <c r="C142" s="29" t="s">
        <v>2518</v>
      </c>
      <c r="D142" t="s">
        <v>2519</v>
      </c>
    </row>
    <row r="143" spans="1:4" ht="16.5" customHeight="1">
      <c r="B143" t="s">
        <v>2520</v>
      </c>
      <c r="C143" s="29" t="s">
        <v>2521</v>
      </c>
      <c r="D143" t="s">
        <v>2522</v>
      </c>
    </row>
    <row r="144" spans="1:4" ht="16.5" customHeight="1">
      <c r="B144" t="s">
        <v>2523</v>
      </c>
      <c r="C144" s="29" t="s">
        <v>2524</v>
      </c>
      <c r="D144" t="s">
        <v>2525</v>
      </c>
    </row>
    <row r="145" spans="1:4" ht="16.5" customHeight="1">
      <c r="B145" t="s">
        <v>2526</v>
      </c>
      <c r="C145" s="29" t="s">
        <v>2527</v>
      </c>
      <c r="D145" t="s">
        <v>2528</v>
      </c>
    </row>
    <row r="146" spans="1:4" ht="15" customHeight="1">
      <c r="B146" t="s">
        <v>2529</v>
      </c>
      <c r="C146" s="29" t="s">
        <v>2530</v>
      </c>
      <c r="D146" t="s">
        <v>2531</v>
      </c>
    </row>
    <row r="147" spans="1:4" ht="16.5" customHeight="1">
      <c r="A147" s="29" t="s">
        <v>2532</v>
      </c>
      <c r="B147" t="s">
        <v>2533</v>
      </c>
      <c r="C147" s="29" t="s">
        <v>1641</v>
      </c>
      <c r="D147" t="s">
        <v>2534</v>
      </c>
    </row>
    <row r="148" spans="1:4" ht="16.5" customHeight="1">
      <c r="B148" t="s">
        <v>2535</v>
      </c>
      <c r="C148" s="29" t="s">
        <v>1642</v>
      </c>
      <c r="D148" t="s">
        <v>2536</v>
      </c>
    </row>
    <row r="149" spans="1:4" ht="15" customHeight="1">
      <c r="B149" t="s">
        <v>2537</v>
      </c>
      <c r="C149" s="29" t="s">
        <v>980</v>
      </c>
      <c r="D149" t="s">
        <v>2538</v>
      </c>
    </row>
    <row r="150" spans="1:4" ht="15" customHeight="1">
      <c r="A150" s="29" t="s">
        <v>2539</v>
      </c>
      <c r="B150" t="s">
        <v>1584</v>
      </c>
      <c r="C150" s="29" t="s">
        <v>2540</v>
      </c>
      <c r="D150" t="s">
        <v>2541</v>
      </c>
    </row>
    <row r="151" spans="1:4" ht="16.5" customHeight="1">
      <c r="B151" t="s">
        <v>2542</v>
      </c>
      <c r="C151" s="29" t="s">
        <v>2543</v>
      </c>
      <c r="D151" t="s">
        <v>2544</v>
      </c>
    </row>
    <row r="152" spans="1:4" ht="16.5" customHeight="1">
      <c r="B152" t="s">
        <v>2545</v>
      </c>
      <c r="C152" s="29" t="s">
        <v>2546</v>
      </c>
      <c r="D152" t="s">
        <v>2547</v>
      </c>
    </row>
    <row r="153" spans="1:4" ht="16.5" customHeight="1">
      <c r="B153" t="s">
        <v>2548</v>
      </c>
      <c r="C153" s="29" t="s">
        <v>804</v>
      </c>
      <c r="D153" t="s">
        <v>2549</v>
      </c>
    </row>
    <row r="154" spans="1:4" ht="16.5" customHeight="1">
      <c r="B154" t="s">
        <v>2550</v>
      </c>
      <c r="C154" s="29" t="s">
        <v>2551</v>
      </c>
      <c r="D154" t="s">
        <v>2552</v>
      </c>
    </row>
    <row r="155" spans="1:4" ht="16.5" customHeight="1">
      <c r="B155" t="s">
        <v>2553</v>
      </c>
      <c r="C155" s="29" t="s">
        <v>2554</v>
      </c>
      <c r="D155" t="s">
        <v>2555</v>
      </c>
    </row>
    <row r="156" spans="1:4" ht="15" customHeight="1">
      <c r="B156" t="s">
        <v>1581</v>
      </c>
      <c r="C156" s="29" t="s">
        <v>2556</v>
      </c>
      <c r="D156" t="s">
        <v>2557</v>
      </c>
    </row>
    <row r="157" spans="1:4" ht="16.5" customHeight="1">
      <c r="A157" s="29" t="s">
        <v>1520</v>
      </c>
      <c r="B157" t="s">
        <v>2558</v>
      </c>
      <c r="C157" s="29" t="s">
        <v>2559</v>
      </c>
      <c r="D157" t="s">
        <v>2560</v>
      </c>
    </row>
    <row r="158" spans="1:4" ht="16.5" customHeight="1">
      <c r="B158" t="s">
        <v>2561</v>
      </c>
      <c r="C158" s="29" t="s">
        <v>2562</v>
      </c>
      <c r="D158" t="s">
        <v>2563</v>
      </c>
    </row>
    <row r="159" spans="1:4" ht="16.5" customHeight="1">
      <c r="B159" t="s">
        <v>2564</v>
      </c>
      <c r="C159" s="29" t="s">
        <v>2565</v>
      </c>
      <c r="D159" t="s">
        <v>2566</v>
      </c>
    </row>
    <row r="160" spans="1:4" ht="16.5" customHeight="1">
      <c r="B160" t="s">
        <v>2567</v>
      </c>
      <c r="C160" s="29" t="s">
        <v>2568</v>
      </c>
      <c r="D160" t="s">
        <v>2569</v>
      </c>
    </row>
    <row r="161" spans="1:4" ht="15" customHeight="1">
      <c r="B161" t="s">
        <v>2570</v>
      </c>
      <c r="C161" s="29" t="s">
        <v>799</v>
      </c>
      <c r="D161" t="s">
        <v>2571</v>
      </c>
    </row>
    <row r="162" spans="1:4" ht="15" customHeight="1">
      <c r="A162" s="29" t="s">
        <v>2572</v>
      </c>
      <c r="B162" t="s">
        <v>2573</v>
      </c>
      <c r="C162" t="s">
        <v>2574</v>
      </c>
      <c r="D162" t="s">
        <v>2575</v>
      </c>
    </row>
    <row r="163" spans="1:4" ht="15" customHeight="1">
      <c r="B163" t="s">
        <v>2576</v>
      </c>
      <c r="C163" t="s">
        <v>2577</v>
      </c>
      <c r="D163" t="s">
        <v>2578</v>
      </c>
    </row>
    <row r="164" spans="1:4" ht="15" customHeight="1">
      <c r="B164" t="s">
        <v>2579</v>
      </c>
      <c r="C164" t="s">
        <v>2580</v>
      </c>
      <c r="D164" t="s">
        <v>2581</v>
      </c>
    </row>
    <row r="165" spans="1:4" ht="15" customHeight="1">
      <c r="B165" t="s">
        <v>2582</v>
      </c>
      <c r="C165" t="s">
        <v>2583</v>
      </c>
      <c r="D165" t="s">
        <v>2584</v>
      </c>
    </row>
    <row r="166" spans="1:4" ht="15" customHeight="1">
      <c r="B166" t="s">
        <v>2585</v>
      </c>
      <c r="C166" t="s">
        <v>2586</v>
      </c>
      <c r="D166" t="s">
        <v>2587</v>
      </c>
    </row>
    <row r="167" spans="1:4" ht="15" customHeight="1">
      <c r="B167" t="s">
        <v>2588</v>
      </c>
      <c r="C167" t="s">
        <v>2589</v>
      </c>
      <c r="D167" t="s">
        <v>2590</v>
      </c>
    </row>
    <row r="168" spans="1:4" ht="15" customHeight="1">
      <c r="B168" t="s">
        <v>2591</v>
      </c>
      <c r="C168" t="s">
        <v>2592</v>
      </c>
      <c r="D168" t="s">
        <v>2593</v>
      </c>
    </row>
    <row r="169" spans="1:4" ht="15" customHeight="1">
      <c r="B169" t="s">
        <v>2594</v>
      </c>
      <c r="C169" t="s">
        <v>2595</v>
      </c>
      <c r="D169" t="s">
        <v>2596</v>
      </c>
    </row>
    <row r="170" spans="1:4" ht="15" customHeight="1">
      <c r="B170" t="s">
        <v>2597</v>
      </c>
      <c r="C170" t="s">
        <v>2598</v>
      </c>
      <c r="D170" t="s">
        <v>2599</v>
      </c>
    </row>
    <row r="171" spans="1:4" ht="15" customHeight="1">
      <c r="B171" t="s">
        <v>2600</v>
      </c>
      <c r="C171" t="s">
        <v>2601</v>
      </c>
      <c r="D171" t="s">
        <v>2602</v>
      </c>
    </row>
    <row r="172" spans="1:4" ht="15" customHeight="1">
      <c r="B172" t="s">
        <v>2603</v>
      </c>
      <c r="C172" t="s">
        <v>2604</v>
      </c>
      <c r="D172" t="s">
        <v>2605</v>
      </c>
    </row>
    <row r="173" spans="1:4" ht="15" customHeight="1">
      <c r="B173" t="s">
        <v>2606</v>
      </c>
      <c r="C173" t="s">
        <v>2607</v>
      </c>
      <c r="D173" t="s">
        <v>2608</v>
      </c>
    </row>
    <row r="174" spans="1:4" ht="15" customHeight="1">
      <c r="B174" t="s">
        <v>2609</v>
      </c>
      <c r="C174" t="s">
        <v>2610</v>
      </c>
      <c r="D174" t="s">
        <v>2611</v>
      </c>
    </row>
    <row r="175" spans="1:4" ht="15" customHeight="1">
      <c r="B175" t="s">
        <v>2612</v>
      </c>
      <c r="C175" t="s">
        <v>2613</v>
      </c>
      <c r="D175" t="s">
        <v>2614</v>
      </c>
    </row>
    <row r="176" spans="1:4" ht="15" customHeight="1">
      <c r="B176" t="s">
        <v>2615</v>
      </c>
      <c r="C176" t="s">
        <v>2616</v>
      </c>
      <c r="D176" t="s">
        <v>2617</v>
      </c>
    </row>
    <row r="177" spans="1:4" ht="15" customHeight="1">
      <c r="B177" t="s">
        <v>2618</v>
      </c>
      <c r="C177" t="s">
        <v>2619</v>
      </c>
      <c r="D177" t="s">
        <v>2620</v>
      </c>
    </row>
    <row r="178" spans="1:4" ht="15" customHeight="1">
      <c r="B178" t="s">
        <v>2621</v>
      </c>
      <c r="C178" t="s">
        <v>2622</v>
      </c>
      <c r="D178" t="s">
        <v>2623</v>
      </c>
    </row>
    <row r="179" spans="1:4" ht="15" customHeight="1">
      <c r="B179" t="s">
        <v>2624</v>
      </c>
      <c r="C179" t="s">
        <v>2625</v>
      </c>
      <c r="D179" t="s">
        <v>2626</v>
      </c>
    </row>
    <row r="180" spans="1:4" ht="15" customHeight="1">
      <c r="B180" t="s">
        <v>2627</v>
      </c>
      <c r="C180" t="s">
        <v>2628</v>
      </c>
      <c r="D180" t="s">
        <v>2629</v>
      </c>
    </row>
    <row r="181" spans="1:4" ht="15" customHeight="1">
      <c r="B181" t="s">
        <v>2630</v>
      </c>
      <c r="C181" t="s">
        <v>2631</v>
      </c>
      <c r="D181" t="s">
        <v>2632</v>
      </c>
    </row>
    <row r="182" spans="1:4" ht="15" customHeight="1">
      <c r="B182" t="s">
        <v>2633</v>
      </c>
      <c r="C182" t="s">
        <v>2634</v>
      </c>
      <c r="D182" t="s">
        <v>2635</v>
      </c>
    </row>
    <row r="183" spans="1:4" ht="15" customHeight="1">
      <c r="B183" t="s">
        <v>2636</v>
      </c>
      <c r="C183" t="s">
        <v>2637</v>
      </c>
      <c r="D183" t="s">
        <v>2638</v>
      </c>
    </row>
    <row r="184" spans="1:4" ht="15" customHeight="1">
      <c r="B184" t="s">
        <v>2639</v>
      </c>
      <c r="C184" t="s">
        <v>2640</v>
      </c>
      <c r="D184" t="s">
        <v>2641</v>
      </c>
    </row>
    <row r="185" spans="1:4" ht="15" customHeight="1">
      <c r="B185" t="s">
        <v>2642</v>
      </c>
      <c r="C185" t="s">
        <v>2643</v>
      </c>
      <c r="D185" t="s">
        <v>2644</v>
      </c>
    </row>
    <row r="186" spans="1:4" ht="16.5" customHeight="1">
      <c r="B186" t="s">
        <v>2645</v>
      </c>
      <c r="C186" s="29" t="s">
        <v>2646</v>
      </c>
      <c r="D186" t="s">
        <v>2647</v>
      </c>
    </row>
    <row r="187" spans="1:4" ht="16.5" customHeight="1">
      <c r="A187" s="29" t="s">
        <v>2648</v>
      </c>
      <c r="B187" t="s">
        <v>2649</v>
      </c>
      <c r="C187" t="s">
        <v>2650</v>
      </c>
      <c r="D187" t="s">
        <v>2651</v>
      </c>
    </row>
    <row r="188" spans="1:4" ht="16.5" customHeight="1">
      <c r="B188" t="s">
        <v>2652</v>
      </c>
      <c r="C188" s="29" t="s">
        <v>2653</v>
      </c>
      <c r="D188" t="s">
        <v>2654</v>
      </c>
    </row>
    <row r="189" spans="1:4" ht="15" customHeight="1">
      <c r="B189" t="s">
        <v>2655</v>
      </c>
      <c r="C189" s="29" t="s">
        <v>2656</v>
      </c>
      <c r="D189" t="s">
        <v>2657</v>
      </c>
    </row>
    <row r="190" spans="1:4" ht="16.5" customHeight="1">
      <c r="B190" t="s">
        <v>2658</v>
      </c>
      <c r="C190" s="29" t="s">
        <v>2659</v>
      </c>
      <c r="D190" t="s">
        <v>2660</v>
      </c>
    </row>
    <row r="191" spans="1:4" ht="16.5" customHeight="1">
      <c r="B191" t="s">
        <v>2661</v>
      </c>
      <c r="C191" s="29" t="s">
        <v>2662</v>
      </c>
      <c r="D191" t="s">
        <v>2663</v>
      </c>
    </row>
    <row r="192" spans="1:4" ht="16.5" customHeight="1">
      <c r="B192" t="s">
        <v>2664</v>
      </c>
      <c r="C192" s="29" t="s">
        <v>1482</v>
      </c>
      <c r="D192" t="s">
        <v>2665</v>
      </c>
    </row>
    <row r="193" spans="1:4" ht="15" customHeight="1">
      <c r="B193" t="s">
        <v>2666</v>
      </c>
      <c r="C193" s="29" t="s">
        <v>1485</v>
      </c>
      <c r="D193" t="s">
        <v>2667</v>
      </c>
    </row>
    <row r="194" spans="1:4" ht="15" customHeight="1">
      <c r="B194" t="s">
        <v>2668</v>
      </c>
      <c r="C194" s="29" t="s">
        <v>2669</v>
      </c>
      <c r="D194" t="s">
        <v>2670</v>
      </c>
    </row>
    <row r="195" spans="1:4" ht="15" customHeight="1">
      <c r="B195" t="s">
        <v>2671</v>
      </c>
      <c r="C195" s="29" t="s">
        <v>1505</v>
      </c>
      <c r="D195" t="s">
        <v>2672</v>
      </c>
    </row>
    <row r="196" spans="1:4" ht="15" customHeight="1">
      <c r="B196" t="s">
        <v>2673</v>
      </c>
      <c r="C196" s="29" t="s">
        <v>2674</v>
      </c>
      <c r="D196" t="s">
        <v>2675</v>
      </c>
    </row>
    <row r="197" spans="1:4" ht="15" customHeight="1">
      <c r="B197" t="s">
        <v>2676</v>
      </c>
      <c r="C197" s="29" t="s">
        <v>2677</v>
      </c>
      <c r="D197" t="s">
        <v>2678</v>
      </c>
    </row>
    <row r="198" spans="1:4" ht="16.5" customHeight="1">
      <c r="B198" t="s">
        <v>2679</v>
      </c>
      <c r="C198" s="29" t="s">
        <v>1483</v>
      </c>
      <c r="D198" t="s">
        <v>2680</v>
      </c>
    </row>
    <row r="199" spans="1:4" ht="15" customHeight="1">
      <c r="B199" t="s">
        <v>2681</v>
      </c>
      <c r="C199" s="29" t="s">
        <v>2682</v>
      </c>
      <c r="D199" t="s">
        <v>2683</v>
      </c>
    </row>
    <row r="200" spans="1:4" ht="16.5" customHeight="1">
      <c r="A200" s="222" t="s">
        <v>2684</v>
      </c>
      <c r="B200" t="s">
        <v>2685</v>
      </c>
      <c r="C200" s="29" t="s">
        <v>2686</v>
      </c>
      <c r="D200" t="s">
        <v>2687</v>
      </c>
    </row>
    <row r="201" spans="1:4" ht="15" customHeight="1">
      <c r="B201" t="s">
        <v>2688</v>
      </c>
      <c r="C201" s="29" t="s">
        <v>2689</v>
      </c>
      <c r="D201" t="s">
        <v>2690</v>
      </c>
    </row>
    <row r="202" spans="1:4" ht="15" customHeight="1">
      <c r="B202" t="s">
        <v>2691</v>
      </c>
      <c r="C202" s="29" t="s">
        <v>2692</v>
      </c>
      <c r="D202" t="s">
        <v>2693</v>
      </c>
    </row>
    <row r="203" spans="1:4" ht="15" customHeight="1">
      <c r="B203" t="s">
        <v>2694</v>
      </c>
      <c r="C203" s="29" t="s">
        <v>2695</v>
      </c>
      <c r="D203" t="s">
        <v>2696</v>
      </c>
    </row>
    <row r="204" spans="1:4" ht="15" customHeight="1">
      <c r="B204" t="s">
        <v>2697</v>
      </c>
      <c r="C204" s="29" t="s">
        <v>2698</v>
      </c>
      <c r="D204" t="s">
        <v>2699</v>
      </c>
    </row>
    <row r="205" spans="1:4" ht="15" customHeight="1">
      <c r="B205" t="s">
        <v>2700</v>
      </c>
      <c r="C205" s="29" t="s">
        <v>2701</v>
      </c>
      <c r="D205" t="s">
        <v>2702</v>
      </c>
    </row>
    <row r="206" spans="1:4" ht="15" customHeight="1">
      <c r="B206" t="s">
        <v>2703</v>
      </c>
      <c r="C206" s="29" t="s">
        <v>2704</v>
      </c>
      <c r="D206" t="s">
        <v>2705</v>
      </c>
    </row>
    <row r="207" spans="1:4" ht="15" customHeight="1">
      <c r="B207" t="s">
        <v>2706</v>
      </c>
      <c r="C207" s="29" t="s">
        <v>2707</v>
      </c>
      <c r="D207" t="s">
        <v>2708</v>
      </c>
    </row>
    <row r="208" spans="1:4" ht="15" customHeight="1">
      <c r="B208" t="s">
        <v>2709</v>
      </c>
      <c r="C208" s="29" t="s">
        <v>2710</v>
      </c>
      <c r="D208" t="s">
        <v>2711</v>
      </c>
    </row>
    <row r="209" spans="1:4" ht="15" customHeight="1">
      <c r="B209" t="s">
        <v>2712</v>
      </c>
      <c r="C209" s="29" t="s">
        <v>2713</v>
      </c>
      <c r="D209" t="s">
        <v>2714</v>
      </c>
    </row>
    <row r="210" spans="1:4" ht="15" customHeight="1">
      <c r="B210" t="s">
        <v>2715</v>
      </c>
      <c r="C210" s="29" t="s">
        <v>2716</v>
      </c>
      <c r="D210" t="s">
        <v>2717</v>
      </c>
    </row>
    <row r="211" spans="1:4" ht="16.5" customHeight="1">
      <c r="B211" t="s">
        <v>2718</v>
      </c>
      <c r="C211" s="29" t="s">
        <v>2719</v>
      </c>
      <c r="D211" t="s">
        <v>2720</v>
      </c>
    </row>
    <row r="212" spans="1:4" ht="16.5" customHeight="1">
      <c r="A212" s="29" t="s">
        <v>2721</v>
      </c>
      <c r="B212" t="s">
        <v>2722</v>
      </c>
      <c r="C212" s="29" t="s">
        <v>2723</v>
      </c>
      <c r="D212" t="s">
        <v>2724</v>
      </c>
    </row>
    <row r="213" spans="1:4" ht="15" customHeight="1">
      <c r="B213" t="s">
        <v>2725</v>
      </c>
      <c r="C213" s="29" t="s">
        <v>2726</v>
      </c>
      <c r="D213" t="s">
        <v>2727</v>
      </c>
    </row>
    <row r="214" spans="1:4" ht="16.5" customHeight="1">
      <c r="B214" t="s">
        <v>2728</v>
      </c>
      <c r="C214" s="29" t="s">
        <v>2729</v>
      </c>
      <c r="D214" t="s">
        <v>2730</v>
      </c>
    </row>
    <row r="215" spans="1:4" ht="15" customHeight="1">
      <c r="B215" t="s">
        <v>2731</v>
      </c>
      <c r="C215" s="29" t="s">
        <v>2707</v>
      </c>
      <c r="D215" t="s">
        <v>2732</v>
      </c>
    </row>
    <row r="216" spans="1:4" ht="15" customHeight="1">
      <c r="B216" t="s">
        <v>2733</v>
      </c>
      <c r="C216" s="29" t="s">
        <v>2734</v>
      </c>
      <c r="D216" t="s">
        <v>2735</v>
      </c>
    </row>
    <row r="217" spans="1:4" ht="15" customHeight="1">
      <c r="B217" t="s">
        <v>2736</v>
      </c>
      <c r="C217" s="29" t="s">
        <v>932</v>
      </c>
      <c r="D217" t="s">
        <v>2737</v>
      </c>
    </row>
    <row r="218" spans="1:4" ht="15" customHeight="1">
      <c r="B218" t="s">
        <v>2738</v>
      </c>
      <c r="C218" s="29" t="s">
        <v>938</v>
      </c>
      <c r="D218" t="s">
        <v>2739</v>
      </c>
    </row>
    <row r="219" spans="1:4" ht="16.5" customHeight="1">
      <c r="B219" t="s">
        <v>2740</v>
      </c>
      <c r="C219" s="29" t="s">
        <v>2741</v>
      </c>
      <c r="D219" t="s">
        <v>2742</v>
      </c>
    </row>
    <row r="220" spans="1:4" ht="15" customHeight="1">
      <c r="B220" t="s">
        <v>2743</v>
      </c>
      <c r="C220" s="29" t="s">
        <v>913</v>
      </c>
      <c r="D220" t="s">
        <v>2744</v>
      </c>
    </row>
    <row r="221" spans="1:4" ht="15" customHeight="1">
      <c r="B221" t="s">
        <v>2745</v>
      </c>
      <c r="C221" s="29" t="s">
        <v>1029</v>
      </c>
      <c r="D221" t="s">
        <v>2746</v>
      </c>
    </row>
    <row r="222" spans="1:4" ht="16.5" customHeight="1">
      <c r="B222" t="s">
        <v>2747</v>
      </c>
      <c r="C222" s="29" t="s">
        <v>2748</v>
      </c>
      <c r="D222" t="s">
        <v>2749</v>
      </c>
    </row>
    <row r="223" spans="1:4" ht="16.5" customHeight="1">
      <c r="B223" t="s">
        <v>2750</v>
      </c>
      <c r="C223" s="29" t="s">
        <v>2719</v>
      </c>
      <c r="D223" t="s">
        <v>2751</v>
      </c>
    </row>
    <row r="224" spans="1:4" ht="15" customHeight="1">
      <c r="A224" s="29" t="s">
        <v>754</v>
      </c>
      <c r="B224" t="s">
        <v>2752</v>
      </c>
      <c r="C224" s="29" t="s">
        <v>1484</v>
      </c>
      <c r="D224" t="s">
        <v>2753</v>
      </c>
    </row>
    <row r="225" spans="2:4" ht="15" customHeight="1">
      <c r="B225" t="s">
        <v>2754</v>
      </c>
      <c r="C225" s="29" t="s">
        <v>2755</v>
      </c>
      <c r="D225" t="s">
        <v>2756</v>
      </c>
    </row>
    <row r="226" spans="2:4" ht="16.5" customHeight="1">
      <c r="B226" t="s">
        <v>2757</v>
      </c>
      <c r="C226" s="29" t="s">
        <v>2758</v>
      </c>
      <c r="D226" t="s">
        <v>2759</v>
      </c>
    </row>
    <row r="227" spans="2:4" ht="15" customHeight="1">
      <c r="B227" t="s">
        <v>2760</v>
      </c>
      <c r="C227" s="29" t="s">
        <v>2761</v>
      </c>
      <c r="D227" t="s">
        <v>2762</v>
      </c>
    </row>
    <row r="228" spans="2:4" ht="15" customHeight="1">
      <c r="B228" t="s">
        <v>2763</v>
      </c>
      <c r="C228" s="29" t="s">
        <v>2764</v>
      </c>
      <c r="D228" t="s">
        <v>2765</v>
      </c>
    </row>
    <row r="229" spans="2:4" ht="15" customHeight="1">
      <c r="B229" t="s">
        <v>2766</v>
      </c>
      <c r="C229" s="29" t="s">
        <v>1491</v>
      </c>
      <c r="D229" t="s">
        <v>2767</v>
      </c>
    </row>
    <row r="230" spans="2:4" ht="15" customHeight="1">
      <c r="B230" t="s">
        <v>2768</v>
      </c>
      <c r="C230" s="29" t="s">
        <v>2769</v>
      </c>
      <c r="D230" t="s">
        <v>2770</v>
      </c>
    </row>
    <row r="231" spans="2:4" ht="16.5" customHeight="1">
      <c r="B231" t="s">
        <v>2771</v>
      </c>
      <c r="C231" s="29" t="s">
        <v>2772</v>
      </c>
      <c r="D231" t="s">
        <v>2773</v>
      </c>
    </row>
    <row r="232" spans="2:4" ht="16.5" customHeight="1">
      <c r="B232" t="s">
        <v>2774</v>
      </c>
      <c r="C232" s="29" t="s">
        <v>2775</v>
      </c>
      <c r="D232" t="s">
        <v>2776</v>
      </c>
    </row>
    <row r="233" spans="2:4" ht="16.5" customHeight="1">
      <c r="B233" t="s">
        <v>2777</v>
      </c>
      <c r="C233" s="29" t="s">
        <v>2778</v>
      </c>
      <c r="D233" t="s">
        <v>2779</v>
      </c>
    </row>
    <row r="234" spans="2:4" ht="15" customHeight="1">
      <c r="B234" t="s">
        <v>2780</v>
      </c>
      <c r="C234" s="29" t="s">
        <v>2781</v>
      </c>
      <c r="D234" t="s">
        <v>2782</v>
      </c>
    </row>
    <row r="235" spans="2:4" ht="15" customHeight="1">
      <c r="B235" t="s">
        <v>2783</v>
      </c>
      <c r="C235" s="29" t="s">
        <v>1488</v>
      </c>
      <c r="D235" t="s">
        <v>2784</v>
      </c>
    </row>
    <row r="236" spans="2:4" ht="15" customHeight="1">
      <c r="B236" t="s">
        <v>2785</v>
      </c>
      <c r="C236" s="29" t="s">
        <v>2786</v>
      </c>
      <c r="D236" t="s">
        <v>2787</v>
      </c>
    </row>
    <row r="237" spans="2:4" ht="16.5" customHeight="1">
      <c r="B237" t="s">
        <v>2788</v>
      </c>
      <c r="C237" s="29" t="s">
        <v>2789</v>
      </c>
      <c r="D237" t="s">
        <v>2790</v>
      </c>
    </row>
    <row r="238" spans="2:4" ht="16.5" customHeight="1">
      <c r="B238" t="s">
        <v>2791</v>
      </c>
      <c r="C238" s="29" t="s">
        <v>2792</v>
      </c>
      <c r="D238" t="s">
        <v>2793</v>
      </c>
    </row>
    <row r="239" spans="2:4" ht="15" customHeight="1">
      <c r="B239" t="s">
        <v>2794</v>
      </c>
      <c r="C239" s="29" t="s">
        <v>2795</v>
      </c>
      <c r="D239" t="s">
        <v>2796</v>
      </c>
    </row>
  </sheetData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47"/>
  <sheetViews>
    <sheetView zoomScaleNormal="100" workbookViewId="0"/>
  </sheetViews>
  <sheetFormatPr defaultColWidth="8.7109375" defaultRowHeight="15"/>
  <cols>
    <col min="1" max="1" width="42" customWidth="1"/>
    <col min="2" max="2" width="23" customWidth="1"/>
    <col min="3" max="3" width="16" customWidth="1"/>
    <col min="4" max="4" width="21" customWidth="1"/>
    <col min="5" max="7" width="10" customWidth="1"/>
    <col min="8" max="8" width="13" customWidth="1"/>
    <col min="9" max="9" width="36" customWidth="1"/>
  </cols>
  <sheetData>
    <row r="1" spans="1:9" ht="16.5" customHeight="1">
      <c r="A1" s="218" t="s">
        <v>2797</v>
      </c>
    </row>
    <row r="2" spans="1:9" ht="15" customHeight="1">
      <c r="A2" s="219" t="s">
        <v>2798</v>
      </c>
    </row>
    <row r="4" spans="1:9" ht="30" customHeight="1">
      <c r="A4" s="220" t="s">
        <v>2799</v>
      </c>
      <c r="B4" s="220" t="s">
        <v>2800</v>
      </c>
      <c r="C4" s="220" t="s">
        <v>2801</v>
      </c>
      <c r="D4" s="220" t="s">
        <v>1329</v>
      </c>
      <c r="E4" s="221" t="s">
        <v>2802</v>
      </c>
      <c r="F4" s="221" t="s">
        <v>2803</v>
      </c>
      <c r="G4" s="221" t="s">
        <v>2804</v>
      </c>
      <c r="H4" s="220" t="s">
        <v>2805</v>
      </c>
      <c r="I4" s="220" t="s">
        <v>2806</v>
      </c>
    </row>
    <row r="5" spans="1:9" ht="15" customHeight="1">
      <c r="A5" s="29" t="s">
        <v>1688</v>
      </c>
    </row>
    <row r="6" spans="1:9" ht="16.5" customHeight="1">
      <c r="B6" s="29" t="s">
        <v>2807</v>
      </c>
      <c r="C6" s="29" t="s">
        <v>2348</v>
      </c>
      <c r="D6" t="s">
        <v>2808</v>
      </c>
      <c r="E6">
        <v>0.51</v>
      </c>
      <c r="F6" t="s">
        <v>801</v>
      </c>
      <c r="G6" t="s">
        <v>801</v>
      </c>
      <c r="H6" t="s">
        <v>801</v>
      </c>
      <c r="I6" t="s">
        <v>2809</v>
      </c>
    </row>
    <row r="7" spans="1:9" ht="16.5" customHeight="1">
      <c r="B7" s="29" t="s">
        <v>2810</v>
      </c>
      <c r="C7" s="29" t="s">
        <v>2811</v>
      </c>
      <c r="D7" t="s">
        <v>2812</v>
      </c>
      <c r="E7">
        <v>0.74550000000000005</v>
      </c>
      <c r="F7" t="s">
        <v>801</v>
      </c>
      <c r="G7" t="s">
        <v>801</v>
      </c>
      <c r="H7" t="s">
        <v>801</v>
      </c>
      <c r="I7" t="s">
        <v>2813</v>
      </c>
    </row>
    <row r="8" spans="1:9" ht="16.5" customHeight="1">
      <c r="B8" s="29" t="s">
        <v>2814</v>
      </c>
      <c r="C8" s="29" t="s">
        <v>2811</v>
      </c>
      <c r="D8" t="s">
        <v>2812</v>
      </c>
      <c r="E8">
        <v>0.7923</v>
      </c>
      <c r="F8" t="s">
        <v>801</v>
      </c>
      <c r="G8" t="s">
        <v>801</v>
      </c>
      <c r="H8" t="s">
        <v>801</v>
      </c>
      <c r="I8" t="s">
        <v>2815</v>
      </c>
    </row>
    <row r="9" spans="1:9" ht="16.5" customHeight="1">
      <c r="B9" s="29" t="s">
        <v>1702</v>
      </c>
      <c r="C9" s="29" t="s">
        <v>950</v>
      </c>
      <c r="D9" t="s">
        <v>2816</v>
      </c>
      <c r="E9">
        <v>0.2</v>
      </c>
      <c r="F9" t="s">
        <v>801</v>
      </c>
      <c r="G9" t="s">
        <v>801</v>
      </c>
      <c r="H9" t="s">
        <v>801</v>
      </c>
      <c r="I9" t="s">
        <v>2817</v>
      </c>
    </row>
    <row r="10" spans="1:9" ht="16.5" customHeight="1">
      <c r="B10" s="29" t="s">
        <v>2818</v>
      </c>
      <c r="C10" s="29" t="s">
        <v>2819</v>
      </c>
      <c r="D10" t="s">
        <v>2820</v>
      </c>
      <c r="E10">
        <v>0.43969999999999998</v>
      </c>
      <c r="F10" t="s">
        <v>801</v>
      </c>
      <c r="G10" t="s">
        <v>801</v>
      </c>
      <c r="H10" t="s">
        <v>801</v>
      </c>
      <c r="I10" t="s">
        <v>2821</v>
      </c>
    </row>
    <row r="11" spans="1:9" ht="16.5" customHeight="1">
      <c r="B11" s="29" t="s">
        <v>2818</v>
      </c>
      <c r="C11" s="29" t="s">
        <v>2822</v>
      </c>
      <c r="D11" t="s">
        <v>2823</v>
      </c>
      <c r="E11">
        <v>0.52239999999999998</v>
      </c>
      <c r="F11" t="s">
        <v>801</v>
      </c>
      <c r="G11" t="s">
        <v>801</v>
      </c>
      <c r="H11" t="s">
        <v>801</v>
      </c>
      <c r="I11" t="s">
        <v>2824</v>
      </c>
    </row>
    <row r="12" spans="1:9" ht="16.5" customHeight="1">
      <c r="B12" s="29" t="s">
        <v>2825</v>
      </c>
      <c r="C12" s="29" t="s">
        <v>2819</v>
      </c>
      <c r="D12" t="s">
        <v>2820</v>
      </c>
      <c r="E12">
        <v>0.43969999999999998</v>
      </c>
      <c r="F12" t="s">
        <v>801</v>
      </c>
      <c r="G12" t="s">
        <v>801</v>
      </c>
      <c r="H12" t="s">
        <v>801</v>
      </c>
      <c r="I12" t="s">
        <v>2824</v>
      </c>
    </row>
    <row r="13" spans="1:9" ht="15" customHeight="1">
      <c r="A13" s="29" t="s">
        <v>2826</v>
      </c>
    </row>
    <row r="14" spans="1:9" ht="16.5" customHeight="1">
      <c r="B14" s="29" t="s">
        <v>2827</v>
      </c>
      <c r="C14" s="29" t="s">
        <v>2828</v>
      </c>
      <c r="D14" t="s">
        <v>2829</v>
      </c>
      <c r="E14">
        <v>1.0609999999999999</v>
      </c>
      <c r="F14" t="s">
        <v>801</v>
      </c>
      <c r="G14" t="s">
        <v>801</v>
      </c>
      <c r="H14" t="s">
        <v>801</v>
      </c>
      <c r="I14" t="s">
        <v>2830</v>
      </c>
    </row>
    <row r="15" spans="1:9" ht="16.5" customHeight="1">
      <c r="B15" s="29" t="s">
        <v>2831</v>
      </c>
      <c r="C15" s="29" t="s">
        <v>2322</v>
      </c>
      <c r="D15" t="s">
        <v>2832</v>
      </c>
      <c r="E15">
        <v>7.0000000000000007E-2</v>
      </c>
      <c r="F15" t="s">
        <v>801</v>
      </c>
      <c r="G15" t="s">
        <v>801</v>
      </c>
      <c r="H15" t="s">
        <v>801</v>
      </c>
      <c r="I15" t="s">
        <v>2833</v>
      </c>
    </row>
    <row r="16" spans="1:9" ht="16.5" customHeight="1">
      <c r="B16" s="29" t="s">
        <v>2834</v>
      </c>
      <c r="C16" s="29" t="s">
        <v>2835</v>
      </c>
      <c r="D16" t="s">
        <v>2836</v>
      </c>
      <c r="E16">
        <v>1.3</v>
      </c>
      <c r="F16" t="s">
        <v>801</v>
      </c>
      <c r="G16" t="s">
        <v>801</v>
      </c>
      <c r="H16" t="s">
        <v>801</v>
      </c>
      <c r="I16" t="s">
        <v>2837</v>
      </c>
    </row>
    <row r="17" spans="1:9" ht="16.5" customHeight="1">
      <c r="B17" s="29" t="s">
        <v>2838</v>
      </c>
      <c r="C17" s="29" t="s">
        <v>2839</v>
      </c>
      <c r="D17" t="s">
        <v>2836</v>
      </c>
      <c r="E17">
        <v>1.4</v>
      </c>
      <c r="F17" t="s">
        <v>801</v>
      </c>
      <c r="G17" t="s">
        <v>801</v>
      </c>
      <c r="H17" t="s">
        <v>801</v>
      </c>
      <c r="I17" t="s">
        <v>2837</v>
      </c>
    </row>
    <row r="18" spans="1:9" ht="16.5" customHeight="1">
      <c r="B18" s="29" t="s">
        <v>2840</v>
      </c>
      <c r="C18" s="29" t="s">
        <v>2841</v>
      </c>
      <c r="D18" t="s">
        <v>2836</v>
      </c>
      <c r="E18">
        <v>2.4</v>
      </c>
      <c r="F18" t="s">
        <v>801</v>
      </c>
      <c r="G18" t="s">
        <v>801</v>
      </c>
      <c r="H18" t="s">
        <v>801</v>
      </c>
      <c r="I18" t="s">
        <v>2837</v>
      </c>
    </row>
    <row r="19" spans="1:9" ht="15" customHeight="1">
      <c r="A19" s="29" t="s">
        <v>2842</v>
      </c>
    </row>
    <row r="20" spans="1:9" ht="16.5" customHeight="1">
      <c r="B20" s="29" t="s">
        <v>2843</v>
      </c>
      <c r="C20" s="29" t="s">
        <v>2844</v>
      </c>
      <c r="D20" t="s">
        <v>2845</v>
      </c>
      <c r="E20">
        <v>1.54</v>
      </c>
      <c r="F20" t="s">
        <v>801</v>
      </c>
      <c r="G20" t="s">
        <v>801</v>
      </c>
      <c r="H20" t="s">
        <v>2846</v>
      </c>
      <c r="I20" t="s">
        <v>2847</v>
      </c>
    </row>
    <row r="21" spans="1:9" ht="16.5" customHeight="1">
      <c r="B21" s="29" t="s">
        <v>2848</v>
      </c>
      <c r="C21" s="29" t="s">
        <v>2844</v>
      </c>
      <c r="D21" t="s">
        <v>2849</v>
      </c>
      <c r="E21" t="s">
        <v>801</v>
      </c>
      <c r="F21" t="s">
        <v>801</v>
      </c>
      <c r="G21" t="s">
        <v>801</v>
      </c>
      <c r="H21" t="s">
        <v>2850</v>
      </c>
      <c r="I21" t="s">
        <v>2851</v>
      </c>
    </row>
    <row r="22" spans="1:9" ht="16.5" customHeight="1">
      <c r="B22" s="29" t="s">
        <v>2852</v>
      </c>
      <c r="C22" s="29" t="s">
        <v>2844</v>
      </c>
      <c r="D22" t="s">
        <v>2853</v>
      </c>
      <c r="E22" t="s">
        <v>801</v>
      </c>
      <c r="F22" t="s">
        <v>801</v>
      </c>
      <c r="G22" t="s">
        <v>801</v>
      </c>
      <c r="H22" t="s">
        <v>2854</v>
      </c>
      <c r="I22" t="s">
        <v>2855</v>
      </c>
    </row>
    <row r="23" spans="1:9" ht="15" customHeight="1">
      <c r="B23" s="29" t="s">
        <v>2856</v>
      </c>
      <c r="C23" s="29" t="s">
        <v>2231</v>
      </c>
      <c r="D23" t="s">
        <v>2857</v>
      </c>
      <c r="E23">
        <v>0.45800000000000002</v>
      </c>
      <c r="F23" t="s">
        <v>801</v>
      </c>
      <c r="G23" t="s">
        <v>801</v>
      </c>
      <c r="H23" t="s">
        <v>801</v>
      </c>
      <c r="I23" t="s">
        <v>2858</v>
      </c>
    </row>
    <row r="24" spans="1:9" ht="16.5" customHeight="1">
      <c r="B24" s="29" t="s">
        <v>2859</v>
      </c>
      <c r="C24" s="29" t="s">
        <v>2293</v>
      </c>
      <c r="D24" t="s">
        <v>2860</v>
      </c>
      <c r="E24">
        <v>0.72</v>
      </c>
      <c r="F24" t="s">
        <v>801</v>
      </c>
      <c r="G24" t="s">
        <v>801</v>
      </c>
      <c r="H24" t="s">
        <v>801</v>
      </c>
      <c r="I24" t="s">
        <v>2861</v>
      </c>
    </row>
    <row r="25" spans="1:9" ht="15" customHeight="1">
      <c r="A25" s="29" t="s">
        <v>2862</v>
      </c>
    </row>
    <row r="26" spans="1:9" ht="16.5" customHeight="1">
      <c r="B26" s="29" t="s">
        <v>1716</v>
      </c>
      <c r="C26" s="29" t="s">
        <v>2863</v>
      </c>
      <c r="D26" t="s">
        <v>2864</v>
      </c>
      <c r="E26">
        <v>1.694</v>
      </c>
      <c r="F26" t="s">
        <v>801</v>
      </c>
      <c r="G26" t="s">
        <v>801</v>
      </c>
      <c r="H26" t="s">
        <v>801</v>
      </c>
      <c r="I26" t="s">
        <v>2865</v>
      </c>
    </row>
    <row r="27" spans="1:9" ht="16.5" customHeight="1">
      <c r="B27" s="29" t="s">
        <v>1719</v>
      </c>
      <c r="C27" s="29" t="s">
        <v>2866</v>
      </c>
      <c r="D27" t="s">
        <v>2867</v>
      </c>
      <c r="E27" t="s">
        <v>801</v>
      </c>
      <c r="F27" t="s">
        <v>801</v>
      </c>
      <c r="G27">
        <v>9</v>
      </c>
      <c r="H27" t="s">
        <v>801</v>
      </c>
      <c r="I27" t="s">
        <v>2868</v>
      </c>
    </row>
    <row r="28" spans="1:9" ht="16.5" customHeight="1">
      <c r="B28" s="29" t="s">
        <v>1722</v>
      </c>
      <c r="C28" s="29" t="s">
        <v>2869</v>
      </c>
      <c r="D28" t="s">
        <v>2870</v>
      </c>
      <c r="E28" t="s">
        <v>801</v>
      </c>
      <c r="F28" t="s">
        <v>801</v>
      </c>
      <c r="G28">
        <v>300</v>
      </c>
      <c r="H28" t="s">
        <v>801</v>
      </c>
      <c r="I28" t="s">
        <v>2871</v>
      </c>
    </row>
    <row r="29" spans="1:9" ht="16.5" customHeight="1">
      <c r="B29" s="29" t="s">
        <v>1740</v>
      </c>
      <c r="C29" s="29" t="s">
        <v>2462</v>
      </c>
      <c r="D29" t="s">
        <v>2872</v>
      </c>
      <c r="E29" t="s">
        <v>801</v>
      </c>
      <c r="F29" t="s">
        <v>801</v>
      </c>
      <c r="G29">
        <v>24</v>
      </c>
      <c r="H29" t="s">
        <v>801</v>
      </c>
      <c r="I29" t="s">
        <v>2873</v>
      </c>
    </row>
    <row r="30" spans="1:9" ht="16.5" customHeight="1">
      <c r="B30" s="29" t="s">
        <v>2874</v>
      </c>
      <c r="C30" s="29" t="s">
        <v>2875</v>
      </c>
      <c r="D30" t="s">
        <v>2876</v>
      </c>
      <c r="E30">
        <v>0.13800000000000001</v>
      </c>
      <c r="F30" t="s">
        <v>801</v>
      </c>
      <c r="G30" t="s">
        <v>801</v>
      </c>
      <c r="H30" t="s">
        <v>801</v>
      </c>
      <c r="I30" t="s">
        <v>2877</v>
      </c>
    </row>
    <row r="31" spans="1:9" ht="16.5" customHeight="1">
      <c r="B31" s="29" t="s">
        <v>1725</v>
      </c>
      <c r="C31" s="29" t="s">
        <v>2878</v>
      </c>
      <c r="D31" t="s">
        <v>2879</v>
      </c>
      <c r="E31">
        <v>1.0900000000000001</v>
      </c>
      <c r="F31" t="s">
        <v>801</v>
      </c>
      <c r="G31" t="s">
        <v>801</v>
      </c>
      <c r="H31" t="s">
        <v>801</v>
      </c>
      <c r="I31" t="s">
        <v>2880</v>
      </c>
    </row>
    <row r="32" spans="1:9" ht="16.5" customHeight="1">
      <c r="B32" s="29" t="s">
        <v>2881</v>
      </c>
      <c r="C32" t="s">
        <v>2882</v>
      </c>
      <c r="D32" t="s">
        <v>2883</v>
      </c>
      <c r="E32">
        <v>0.52</v>
      </c>
      <c r="F32" t="s">
        <v>801</v>
      </c>
      <c r="G32" t="s">
        <v>801</v>
      </c>
      <c r="H32" t="s">
        <v>801</v>
      </c>
      <c r="I32" t="s">
        <v>2884</v>
      </c>
    </row>
    <row r="33" spans="1:9" ht="16.5" customHeight="1">
      <c r="B33" s="29" t="s">
        <v>2885</v>
      </c>
      <c r="C33" s="29" t="s">
        <v>2886</v>
      </c>
      <c r="D33" t="s">
        <v>2887</v>
      </c>
      <c r="E33">
        <v>0.86070000000000002</v>
      </c>
      <c r="F33" t="s">
        <v>801</v>
      </c>
      <c r="G33" t="s">
        <v>801</v>
      </c>
      <c r="H33" t="s">
        <v>801</v>
      </c>
      <c r="I33" t="s">
        <v>2888</v>
      </c>
    </row>
    <row r="34" spans="1:9" ht="15" customHeight="1">
      <c r="A34" s="29" t="s">
        <v>2889</v>
      </c>
    </row>
    <row r="35" spans="1:9" ht="16.5" customHeight="1">
      <c r="B35" s="29" t="s">
        <v>2890</v>
      </c>
      <c r="C35" s="29" t="s">
        <v>2891</v>
      </c>
      <c r="D35" t="s">
        <v>2892</v>
      </c>
      <c r="E35">
        <v>8.9</v>
      </c>
      <c r="F35" t="s">
        <v>801</v>
      </c>
      <c r="G35" t="s">
        <v>801</v>
      </c>
      <c r="H35" t="s">
        <v>801</v>
      </c>
      <c r="I35" t="s">
        <v>2893</v>
      </c>
    </row>
    <row r="36" spans="1:9" ht="16.5" customHeight="1">
      <c r="B36" s="29" t="s">
        <v>2894</v>
      </c>
      <c r="C36" s="29" t="s">
        <v>2895</v>
      </c>
      <c r="D36" t="s">
        <v>2896</v>
      </c>
      <c r="E36">
        <v>3.67</v>
      </c>
      <c r="F36" t="s">
        <v>801</v>
      </c>
      <c r="G36" t="s">
        <v>801</v>
      </c>
      <c r="H36" t="s">
        <v>801</v>
      </c>
      <c r="I36" t="s">
        <v>2897</v>
      </c>
    </row>
    <row r="37" spans="1:9" ht="15" customHeight="1">
      <c r="A37" s="29" t="s">
        <v>2898</v>
      </c>
    </row>
    <row r="38" spans="1:9" ht="16.5" customHeight="1">
      <c r="B38" s="29" t="s">
        <v>2899</v>
      </c>
      <c r="C38" s="29" t="s">
        <v>2900</v>
      </c>
      <c r="D38" t="s">
        <v>2901</v>
      </c>
      <c r="E38" t="s">
        <v>801</v>
      </c>
      <c r="F38" t="s">
        <v>801</v>
      </c>
      <c r="G38" t="s">
        <v>801</v>
      </c>
      <c r="H38" s="29" t="s">
        <v>2902</v>
      </c>
      <c r="I38" t="s">
        <v>2903</v>
      </c>
    </row>
    <row r="39" spans="1:9" ht="16.5" customHeight="1">
      <c r="B39" s="29" t="s">
        <v>2904</v>
      </c>
      <c r="C39" s="29" t="s">
        <v>2900</v>
      </c>
      <c r="D39" t="s">
        <v>2905</v>
      </c>
      <c r="E39" t="s">
        <v>801</v>
      </c>
      <c r="F39" t="s">
        <v>801</v>
      </c>
      <c r="G39" t="s">
        <v>801</v>
      </c>
      <c r="H39" s="29" t="s">
        <v>2902</v>
      </c>
      <c r="I39" t="s">
        <v>2906</v>
      </c>
    </row>
    <row r="40" spans="1:9" ht="15" customHeight="1">
      <c r="A40" s="29" t="s">
        <v>2907</v>
      </c>
    </row>
    <row r="41" spans="1:9" ht="16.5" customHeight="1">
      <c r="B41" s="29" t="s">
        <v>2908</v>
      </c>
      <c r="C41" s="29" t="s">
        <v>2907</v>
      </c>
      <c r="D41" t="s">
        <v>2909</v>
      </c>
      <c r="E41" t="s">
        <v>801</v>
      </c>
      <c r="F41">
        <v>6.7000000000000002E-3</v>
      </c>
      <c r="G41" t="s">
        <v>801</v>
      </c>
      <c r="H41" t="s">
        <v>801</v>
      </c>
      <c r="I41" t="s">
        <v>2910</v>
      </c>
    </row>
    <row r="42" spans="1:9" ht="16.5" customHeight="1">
      <c r="B42" s="29" t="s">
        <v>2911</v>
      </c>
      <c r="C42" s="29" t="s">
        <v>2912</v>
      </c>
      <c r="D42" t="s">
        <v>2913</v>
      </c>
      <c r="E42" t="s">
        <v>801</v>
      </c>
      <c r="F42">
        <v>0.6</v>
      </c>
      <c r="G42" t="s">
        <v>801</v>
      </c>
      <c r="H42" t="s">
        <v>801</v>
      </c>
      <c r="I42" t="s">
        <v>2914</v>
      </c>
    </row>
    <row r="43" spans="1:9" ht="16.5" customHeight="1">
      <c r="B43" s="29" t="s">
        <v>2915</v>
      </c>
      <c r="C43" s="29" t="s">
        <v>2916</v>
      </c>
      <c r="D43" t="s">
        <v>2913</v>
      </c>
      <c r="E43" t="s">
        <v>801</v>
      </c>
      <c r="F43">
        <v>0.6</v>
      </c>
      <c r="G43" t="s">
        <v>801</v>
      </c>
      <c r="H43" t="s">
        <v>801</v>
      </c>
      <c r="I43" t="s">
        <v>2917</v>
      </c>
    </row>
    <row r="44" spans="1:9" ht="16.5" customHeight="1">
      <c r="B44" s="29" t="s">
        <v>2918</v>
      </c>
      <c r="C44" s="29" t="s">
        <v>2919</v>
      </c>
      <c r="D44" t="s">
        <v>2920</v>
      </c>
      <c r="E44" t="s">
        <v>801</v>
      </c>
      <c r="F44">
        <v>10</v>
      </c>
      <c r="G44" t="s">
        <v>801</v>
      </c>
      <c r="H44" t="s">
        <v>801</v>
      </c>
      <c r="I44" t="s">
        <v>2921</v>
      </c>
    </row>
    <row r="45" spans="1:9" ht="16.5" customHeight="1">
      <c r="B45" s="29" t="s">
        <v>2922</v>
      </c>
      <c r="C45" s="29" t="s">
        <v>2919</v>
      </c>
      <c r="D45" t="s">
        <v>2923</v>
      </c>
      <c r="E45" t="s">
        <v>801</v>
      </c>
      <c r="F45" t="s">
        <v>801</v>
      </c>
      <c r="G45">
        <v>0.3</v>
      </c>
      <c r="H45" t="s">
        <v>801</v>
      </c>
      <c r="I45" t="s">
        <v>2921</v>
      </c>
    </row>
    <row r="46" spans="1:9" ht="16.5" customHeight="1">
      <c r="A46" s="29" t="s">
        <v>2924</v>
      </c>
    </row>
    <row r="47" spans="1:9" ht="16.5" customHeight="1">
      <c r="A47" t="s">
        <v>2925</v>
      </c>
    </row>
  </sheetData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에너지</vt:lpstr>
      <vt:lpstr>에너지_C3</vt:lpstr>
      <vt:lpstr>운송</vt:lpstr>
      <vt:lpstr>출장_통근</vt:lpstr>
      <vt:lpstr>폐기물_C5</vt:lpstr>
      <vt:lpstr>폐기물_C12</vt:lpstr>
      <vt:lpstr>구매_USEPA</vt:lpstr>
      <vt:lpstr>운송_Spend</vt:lpstr>
      <vt:lpstr>출장_Spend</vt:lpstr>
      <vt:lpstr>환율_참조</vt:lpstr>
      <vt:lpstr>전력_국가별</vt:lpstr>
      <vt:lpstr>이동연소</vt:lpstr>
      <vt:lpstr>고정연소_IPCC</vt:lpstr>
      <vt:lpstr>발열량_상세</vt:lpstr>
      <vt:lpstr>GWP</vt:lpstr>
      <vt:lpstr>연료명매핑</vt:lpstr>
      <vt:lpstr>코드_배출활동</vt:lpstr>
      <vt:lpstr>코드_배출시설</vt:lpstr>
      <vt:lpstr>코드_활동자료</vt:lpstr>
      <vt:lpstr>공정배출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마크스폰</cp:lastModifiedBy>
  <cp:revision>0</cp:revision>
  <dcterms:created xsi:type="dcterms:W3CDTF">2026-06-10T00:40:34Z</dcterms:created>
  <dcterms:modified xsi:type="dcterms:W3CDTF">2026-07-29T07:25:33Z</dcterms:modified>
  <dc:language>en-US</dc:language>
</cp:coreProperties>
</file>