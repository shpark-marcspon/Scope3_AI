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27" firstSheet="5" activeTab="7" autoFilterDateGrouping="1"/>
  </bookViews>
  <sheets>
    <sheet name="기업정보" sheetId="1" state="visible" r:id="rId1"/>
    <sheet name="C1_구매품서비스" sheetId="2" state="visible" r:id="rId2"/>
    <sheet name="C2_자본재" sheetId="3" state="visible" r:id="rId3"/>
    <sheet name="C3_연료에너지" sheetId="4" state="visible" r:id="rId4"/>
    <sheet name="C4-1_운송거리" sheetId="5" state="visible" r:id="rId5"/>
    <sheet name="C4-2_운송금액" sheetId="6" state="visible" r:id="rId6"/>
    <sheet name="C5_사업장폐기물" sheetId="7" state="visible" r:id="rId7"/>
    <sheet name="C6-1_출장거리" sheetId="8" state="visible" r:id="rId8"/>
    <sheet name="C6-2_출장비" sheetId="9" state="visible" r:id="rId9"/>
    <sheet name="C7_임직원통근" sheetId="10" state="visible" r:id="rId10"/>
    <sheet name="C8-1_에너지사용량 아는 경우" sheetId="11" state="visible" r:id="rId11"/>
    <sheet name="C8-2_면적" sheetId="12" state="visible" r:id="rId12"/>
    <sheet name="C8-3_인원" sheetId="13" state="visible" r:id="rId13"/>
    <sheet name="C9-1_운송거리" sheetId="14" state="visible" r:id="rId14"/>
    <sheet name="C9-2_운송금액" sheetId="15" state="visible" r:id="rId15"/>
    <sheet name="C11_판매제품사용" sheetId="16" state="visible" r:id="rId16"/>
    <sheet name="C12_판매제품폐기" sheetId="17" state="visible" r:id="rId17"/>
    <sheet name="C13-1_에너지사용량 아는경우" sheetId="18" state="visible" r:id="rId18"/>
    <sheet name="C13-2_면적" sheetId="19" state="visible" r:id="rId19"/>
    <sheet name="C13-3_인원" sheetId="20" state="visible" r:id="rId20"/>
    <sheet name="C14_프랜차이즈" sheetId="21" state="visible" r:id="rId21"/>
    <sheet name="C15_투자" sheetId="22" state="visible" r:id="rId22"/>
    <sheet name="배출계수_드롭다운" sheetId="23" state="visible" r:id="rId23"/>
    <sheet name="드롭다운_매핑검토" sheetId="24" state="visible" r:id="rId24"/>
    <sheet name="회사별_폐기물매핑" sheetId="25" state="visible" r:id="rId25"/>
    <sheet name="회사별_교통수단매핑" sheetId="26" state="visible" r:id="rId26"/>
  </sheets>
  <definedNames>
    <definedName name="DD_ENERGY">배출계수_드롭다운!$B$3:$B$16</definedName>
    <definedName name="DD_ENERGY_UNIT">배출계수_드롭다운!$C$3:$C$7</definedName>
    <definedName name="DD_PURCHASE_GROUP">배출계수_드롭다운!$A$3:$A$19</definedName>
    <definedName name="DD_TRANSPORT_DISTANCE">배출계수_드롭다운!$D$3:$D$9</definedName>
    <definedName name="DD_TRANSPORT_SPEND">배출계수_드롭다운!$E$3:$E$19</definedName>
    <definedName name="DD_TRANSPORT_WEIGHT_UNIT">배출계수_드롭다운!$K$3:$K$4</definedName>
    <definedName name="DD_TRAVEL_DISTANCE">배출계수_드롭다운!$F$3:$F$15</definedName>
    <definedName name="DD_TRAVEL_SPEND">배출계수_드롭다운!$G$3:$G$8</definedName>
    <definedName name="DD_WASTE_C5_TYPE">배출계수_드롭다운!$H$3:$H$18</definedName>
    <definedName name="DD_WASTE_METHOD">배출계수_드롭다운!$I$3:$I$6</definedName>
    <definedName name="DD_WASTE_UNIT">배출계수_드롭다운!$J$3:$J$4</definedName>
    <definedName name="DD_APPLIED_COMPANY">기업정보!$E$2:$E$50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0">
    <font>
      <name val="Carlito"/>
      <sz val="11"/>
    </font>
    <font>
      <name val="Carlito"/>
      <b val="1"/>
      <color rgb="FF000000"/>
      <sz val="16"/>
    </font>
    <font>
      <name val="Carlito"/>
      <b val="1"/>
      <sz val="10"/>
    </font>
    <font>
      <name val="Carlito"/>
      <sz val="9"/>
    </font>
    <font>
      <name val="Carlito"/>
      <b val="1"/>
      <color rgb="FFFF0000"/>
      <sz val="9"/>
    </font>
    <font>
      <name val="Carlito"/>
      <b val="1"/>
      <sz val="11"/>
    </font>
    <font>
      <name val="Carlito"/>
      <color rgb="FF7F7F7F"/>
      <sz val="11"/>
    </font>
    <font>
      <name val="Carlito"/>
      <sz val="11"/>
    </font>
    <font>
      <name val="돋움"/>
      <charset val="129"/>
      <family val="3"/>
      <sz val="8"/>
    </font>
    <font>
      <name val="Carlito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FF0000"/>
      <sz val="9"/>
    </font>
    <font>
      <name val="Carlito"/>
      <charset val="129"/>
      <family val="3"/>
      <b val="1"/>
      <color rgb="FFFF0000"/>
      <sz val="9"/>
    </font>
    <font>
      <name val="Carlito"/>
      <charset val="129"/>
      <family val="3"/>
      <b val="1"/>
      <sz val="11"/>
    </font>
    <font>
      <name val="Carlito"/>
      <family val="2"/>
      <b val="1"/>
      <color rgb="FFFF0000"/>
      <sz val="9"/>
    </font>
    <font>
      <name val="Carlito"/>
      <b val="1"/>
      <sz val="16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sz val="13"/>
    </font>
    <font>
      <name val="Carlito"/>
      <i val="1"/>
      <color rgb="FF666666"/>
      <sz val="11"/>
    </font>
  </fonts>
  <fills count="1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4472C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2">
    <xf numFmtId="0" fontId="7" fillId="0" borderId="0"/>
    <xf numFmtId="0" fontId="7" fillId="0" borderId="0"/>
  </cellStyleXfs>
  <cellXfs count="81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1"/>
    <xf numFmtId="0" fontId="6" fillId="3" borderId="1" applyAlignment="1" pivotButton="0" quotePrefix="0" xfId="1">
      <alignment vertical="center" wrapText="1"/>
    </xf>
    <xf numFmtId="0" fontId="6" fillId="0" borderId="1" applyAlignment="1" pivotButton="0" quotePrefix="0" xfId="1">
      <alignment vertical="center" wrapText="1"/>
    </xf>
    <xf numFmtId="0" fontId="6" fillId="2" borderId="1" applyAlignment="1" pivotButton="0" quotePrefix="0" xfId="1">
      <alignment vertical="center" wrapText="1"/>
    </xf>
    <xf numFmtId="0" fontId="0" fillId="3" borderId="1" applyAlignment="1" pivotButton="0" quotePrefix="0" xfId="1">
      <alignment vertical="center" wrapText="1"/>
    </xf>
    <xf numFmtId="0" fontId="0" fillId="0" borderId="1" applyAlignment="1" pivotButton="0" quotePrefix="0" xfId="1">
      <alignment vertical="center" wrapText="1"/>
    </xf>
    <xf numFmtId="0" fontId="0" fillId="2" borderId="1" applyAlignment="1" pivotButton="0" quotePrefix="0" xfId="1">
      <alignment vertical="center" wrapText="1"/>
    </xf>
    <xf numFmtId="0" fontId="6" fillId="4" borderId="1" applyAlignment="1" pivotButton="0" quotePrefix="0" xfId="1">
      <alignment vertical="center" wrapText="1"/>
    </xf>
    <xf numFmtId="0" fontId="0" fillId="4" borderId="1" applyAlignment="1" pivotButton="0" quotePrefix="0" xfId="1">
      <alignment vertical="center" wrapText="1"/>
    </xf>
    <xf numFmtId="0" fontId="3" fillId="0" borderId="0" pivotButton="0" quotePrefix="0" xfId="1"/>
    <xf numFmtId="0" fontId="4" fillId="0" borderId="0" pivotButton="0" quotePrefix="0" xfId="1"/>
    <xf numFmtId="0" fontId="6" fillId="5" borderId="1" applyAlignment="1" pivotButton="0" quotePrefix="0" xfId="1">
      <alignment vertical="center" wrapText="1"/>
    </xf>
    <xf numFmtId="0" fontId="0" fillId="5" borderId="1" applyAlignment="1" pivotButton="0" quotePrefix="0" xfId="1">
      <alignment vertical="center" wrapText="1"/>
    </xf>
    <xf numFmtId="0" fontId="0" fillId="5" borderId="0" pivotButton="0" quotePrefix="0" xfId="0"/>
    <xf numFmtId="0" fontId="0" fillId="6" borderId="1" pivotButton="0" quotePrefix="0" xfId="1"/>
    <xf numFmtId="0" fontId="5" fillId="6" borderId="1" applyAlignment="1" pivotButton="0" quotePrefix="0" xfId="1">
      <alignment horizontal="center"/>
    </xf>
    <xf numFmtId="0" fontId="5" fillId="6" borderId="1" applyAlignment="1" pivotButton="0" quotePrefix="0" xfId="1">
      <alignment horizontal="center" vertical="center" wrapText="1"/>
    </xf>
    <xf numFmtId="0" fontId="10" fillId="6" borderId="1" applyAlignment="1" pivotButton="0" quotePrefix="0" xfId="1">
      <alignment horizontal="center" vertical="center" wrapText="1"/>
    </xf>
    <xf numFmtId="0" fontId="12" fillId="0" borderId="0" pivotButton="0" quotePrefix="0" xfId="1"/>
    <xf numFmtId="0" fontId="5" fillId="6" borderId="2" applyAlignment="1" pivotButton="0" quotePrefix="0" xfId="1">
      <alignment horizontal="center" vertical="center" wrapText="1"/>
    </xf>
    <xf numFmtId="0" fontId="9" fillId="0" borderId="0" pivotButton="0" quotePrefix="0" xfId="1"/>
    <xf numFmtId="0" fontId="6" fillId="7" borderId="1" applyAlignment="1" pivotButton="0" quotePrefix="0" xfId="1">
      <alignment vertical="center" wrapText="1"/>
    </xf>
    <xf numFmtId="0" fontId="0" fillId="7" borderId="1" applyAlignment="1" pivotButton="0" quotePrefix="0" xfId="1">
      <alignment vertical="center" wrapText="1"/>
    </xf>
    <xf numFmtId="0" fontId="13" fillId="6" borderId="1" applyAlignment="1" pivotButton="0" quotePrefix="0" xfId="1">
      <alignment horizontal="center" vertical="center" wrapText="1"/>
    </xf>
    <xf numFmtId="0" fontId="5" fillId="0" borderId="0" applyAlignment="1" pivotButton="0" quotePrefix="0" xfId="1">
      <alignment vertical="center"/>
    </xf>
    <xf numFmtId="0" fontId="0" fillId="0" borderId="0" applyAlignment="1" pivotButton="0" quotePrefix="0" xfId="1">
      <alignment vertical="center"/>
    </xf>
    <xf numFmtId="0" fontId="6" fillId="3" borderId="5" applyAlignment="1" pivotButton="0" quotePrefix="0" xfId="1">
      <alignment vertical="center" wrapText="1"/>
    </xf>
    <xf numFmtId="0" fontId="6" fillId="2" borderId="5" applyAlignment="1" pivotButton="0" quotePrefix="0" xfId="1">
      <alignment vertical="center" wrapText="1"/>
    </xf>
    <xf numFmtId="0" fontId="4" fillId="0" borderId="0" applyAlignment="1" pivotButton="0" quotePrefix="0" xfId="1">
      <alignment vertical="center"/>
    </xf>
    <xf numFmtId="0" fontId="15" fillId="0" borderId="0" pivotButton="0" quotePrefix="0" xfId="1"/>
    <xf numFmtId="0" fontId="5" fillId="6" borderId="5" applyAlignment="1" pivotButton="0" quotePrefix="0" xfId="1">
      <alignment horizontal="center" vertical="center" wrapText="1"/>
    </xf>
    <xf numFmtId="0" fontId="10" fillId="6" borderId="5" applyAlignment="1" pivotButton="0" quotePrefix="0" xfId="1">
      <alignment horizontal="center" vertical="center" wrapText="1"/>
    </xf>
    <xf numFmtId="0" fontId="13" fillId="6" borderId="5" applyAlignment="1" pivotButton="0" quotePrefix="0" xfId="1">
      <alignment horizontal="center" vertical="center" wrapText="1"/>
    </xf>
    <xf numFmtId="0" fontId="0" fillId="0" borderId="0" applyAlignment="1" pivotButton="0" quotePrefix="0" xfId="1">
      <alignment vertical="center" wrapText="1"/>
    </xf>
    <xf numFmtId="0" fontId="0" fillId="3" borderId="5" applyAlignment="1" pivotButton="0" quotePrefix="0" xfId="1">
      <alignment vertical="center" wrapText="1"/>
    </xf>
    <xf numFmtId="164" fontId="0" fillId="2" borderId="5" applyAlignment="1" pivotButton="0" quotePrefix="0" xfId="1">
      <alignment vertical="center" wrapText="1"/>
    </xf>
    <xf numFmtId="0" fontId="5" fillId="6" borderId="5" applyAlignment="1" pivotButton="0" quotePrefix="0" xfId="1">
      <alignment horizontal="center" vertical="center"/>
    </xf>
    <xf numFmtId="2" fontId="0" fillId="0" borderId="5" applyAlignment="1" pivotButton="0" quotePrefix="0" xfId="1">
      <alignment vertical="center" wrapText="1"/>
    </xf>
    <xf numFmtId="0" fontId="13" fillId="6" borderId="5" applyAlignment="1" pivotButton="0" quotePrefix="0" xfId="1">
      <alignment horizontal="center" vertical="center"/>
    </xf>
    <xf numFmtId="164" fontId="0" fillId="7" borderId="5" applyAlignment="1" pivotButton="0" quotePrefix="0" xfId="1">
      <alignment vertical="center" wrapText="1"/>
    </xf>
    <xf numFmtId="0" fontId="17" fillId="9" borderId="0" pivotButton="0" quotePrefix="0" xfId="1"/>
    <xf numFmtId="0" fontId="16" fillId="8" borderId="8" applyAlignment="1" pivotButton="0" quotePrefix="0" xfId="0">
      <alignment vertical="top" wrapText="1"/>
    </xf>
    <xf numFmtId="0" fontId="16" fillId="10" borderId="0" pivotButton="0" quotePrefix="0" xfId="0"/>
    <xf numFmtId="0" fontId="17" fillId="9" borderId="8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16" fillId="11" borderId="0" applyAlignment="1" pivotButton="0" quotePrefix="0" xfId="0">
      <alignment horizontal="center" vertical="center"/>
    </xf>
    <xf numFmtId="0" fontId="18" fillId="0" borderId="0" pivotButton="0" quotePrefix="0" xfId="0"/>
    <xf numFmtId="0" fontId="16" fillId="12" borderId="0" pivotButton="0" quotePrefix="0" xfId="0"/>
    <xf numFmtId="0" fontId="11" fillId="0" borderId="0" pivotButton="0" quotePrefix="0" xfId="1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7" fillId="6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0" pivotButton="0" quotePrefix="0" xfId="0"/>
    <xf numFmtId="0" fontId="5" fillId="6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5" fillId="6" borderId="1" applyAlignment="1" pivotButton="0" quotePrefix="0" xfId="1">
      <alignment horizontal="center"/>
    </xf>
    <xf numFmtId="0" fontId="0" fillId="0" borderId="6" pivotButton="0" quotePrefix="0" xfId="0"/>
    <xf numFmtId="0" fontId="0" fillId="0" borderId="3" pivotButton="0" quotePrefix="0" xfId="0"/>
    <xf numFmtId="0" fontId="5" fillId="6" borderId="7" applyAlignment="1" pivotButton="0" quotePrefix="0" xfId="1">
      <alignment horizontal="center" vertical="center" wrapText="1"/>
    </xf>
    <xf numFmtId="0" fontId="0" fillId="0" borderId="4" pivotButton="0" quotePrefix="0" xfId="0"/>
    <xf numFmtId="0" fontId="10" fillId="6" borderId="1" applyAlignment="1" pivotButton="0" quotePrefix="0" xfId="1">
      <alignment horizontal="center" vertical="center" wrapText="1"/>
    </xf>
    <xf numFmtId="0" fontId="13" fillId="6" borderId="1" applyAlignment="1" pivotButton="0" quotePrefix="0" xfId="1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1">
      <alignment vertical="center"/>
    </xf>
    <xf numFmtId="0" fontId="0" fillId="0" borderId="0" pivotButton="0" quotePrefix="0" xfId="0"/>
    <xf numFmtId="0" fontId="14" fillId="0" borderId="0" applyAlignment="1" pivotButton="0" quotePrefix="0" xfId="1">
      <alignment vertical="center" wrapText="1"/>
    </xf>
    <xf numFmtId="0" fontId="0" fillId="0" borderId="0" applyAlignment="1" pivotButton="0" quotePrefix="0" xfId="1">
      <alignment vertical="center" wrapText="1"/>
    </xf>
    <xf numFmtId="0" fontId="15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16" fillId="10" borderId="0" pivotButton="0" quotePrefix="0" xfId="0"/>
    <xf numFmtId="0" fontId="19" fillId="0" borderId="0" applyAlignment="1" pivotButton="0" quotePrefix="0" xfId="0">
      <alignment wrapText="1"/>
    </xf>
    <xf numFmtId="164" fontId="0" fillId="7" borderId="5" applyAlignment="1" pivotButton="0" quotePrefix="0" xfId="1">
      <alignment vertical="center" wrapText="1"/>
    </xf>
    <xf numFmtId="164" fontId="0" fillId="2" borderId="5" applyAlignment="1" pivotButton="0" quotePrefix="0" xfId="1">
      <alignment vertical="center" wrapText="1"/>
    </xf>
    <xf numFmtId="0" fontId="7" fillId="0" borderId="8" applyAlignment="1" pivotButton="0" quotePrefix="0" xfId="0">
      <alignment vertical="top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7"/>
  <sheetViews>
    <sheetView workbookViewId="0">
      <selection activeCell="C8" sqref="C8"/>
    </sheetView>
  </sheetViews>
  <sheetFormatPr baseColWidth="8" defaultRowHeight="14.25"/>
  <cols>
    <col width="16" customWidth="1" style="71" min="2" max="3"/>
    <col width="70" customWidth="1" style="71" min="4" max="4"/>
    <col width="22" customWidth="1" style="71" min="5" max="5"/>
  </cols>
  <sheetData>
    <row r="1">
      <c r="E1" s="69" t="inlineStr">
        <is>
          <t>회사 목록(관리용)</t>
        </is>
      </c>
    </row>
    <row r="2" ht="20.25" customHeight="1" s="71">
      <c r="B2" s="51" t="inlineStr">
        <is>
          <t>Scope 3 배출량 산정 템플릿</t>
        </is>
      </c>
      <c r="E2" t="inlineStr">
        <is>
          <t>공연공</t>
        </is>
      </c>
    </row>
    <row r="4">
      <c r="B4" s="52" t="inlineStr">
        <is>
          <t>기업 정보 입력</t>
        </is>
      </c>
    </row>
    <row r="5">
      <c r="B5" s="53" t="inlineStr">
        <is>
          <t>- 아래에 적용 기업명을 선택하면, 각 카테고리 시트(C5 폐기물 종류 등) 상단의 '*적용 기업명' 칸과 상세명 자동 매칭에 함께 반영됩니다.</t>
        </is>
      </c>
    </row>
    <row r="7" ht="15" customHeight="1" s="71">
      <c r="B7" s="69" t="inlineStr">
        <is>
          <t>*적용 기업명</t>
        </is>
      </c>
      <c r="C7" s="55" t="inlineStr">
        <is>
          <t>공연공</t>
        </is>
      </c>
      <c r="D7" s="56" t="inlineStr">
        <is>
          <t>※ 새 회사를 추가하려면 이 시트 E열에 회사명을 한 줄 추가한 뒤 여기서 선택하세요. 그 회사의 실제 매핑 데이터는 '회사별_폐기물매핑'·'회사별_교통수단매핑' 시트 A~C열에 별도로 추가해야 자동 매칭이 동작합니다.</t>
        </is>
      </c>
    </row>
  </sheetData>
  <dataValidations count="1">
    <dataValidation sqref="C7" showDropDown="0" showInputMessage="0" showErrorMessage="0" allowBlank="1" type="list">
      <formula1>DD_APPLIED_COMPANY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W55"/>
  <sheetViews>
    <sheetView topLeftCell="A3" workbookViewId="0">
      <selection activeCell="B17" sqref="B17"/>
    </sheetView>
  </sheetViews>
  <sheetFormatPr baseColWidth="8" defaultRowHeight="14.25"/>
  <cols>
    <col width="10" customWidth="1" style="71" min="2" max="2"/>
    <col width="16" customWidth="1" style="71" min="3" max="3"/>
    <col width="18" customWidth="1" style="71" min="4" max="4"/>
    <col width="24" customWidth="1" style="71" min="5" max="5"/>
    <col width="16" customWidth="1" style="71" min="6" max="8"/>
    <col width="8" customWidth="1" style="71" min="9" max="20"/>
    <col width="18" customWidth="1" style="71" min="21" max="21"/>
    <col width="20.75" bestFit="1" customWidth="1" style="71" min="22" max="22"/>
    <col width="16" customWidth="1" style="71" min="23" max="23"/>
  </cols>
  <sheetData>
    <row r="2" ht="20.25" customHeight="1" s="71">
      <c r="B2" s="1" t="inlineStr">
        <is>
          <t>C1. 구매품 및 서비스</t>
        </is>
      </c>
    </row>
    <row r="4">
      <c r="B4" s="2" t="inlineStr">
        <is>
          <t>카테고리 정의</t>
        </is>
      </c>
    </row>
    <row r="5">
      <c r="B5" s="11" t="inlineStr">
        <is>
          <t>- 보고년도에 회사가 구매한 원재료, 부자재, 포장재, 소모품, 사무용품, 외주가공, 서비스/용역 등에서 발생하는 온실가스 배출량</t>
        </is>
      </c>
    </row>
    <row r="6">
      <c r="B6" s="11" t="inlineStr">
        <is>
          <t>- 자산으로 회계 처리된 설비, 장비, 차량, 건물 등은 C2 자본재에 작성</t>
        </is>
      </c>
    </row>
    <row r="9">
      <c r="B9" s="2" t="inlineStr">
        <is>
          <t>작성 기준</t>
        </is>
      </c>
    </row>
    <row r="10">
      <c r="B10" s="11" t="inlineStr">
        <is>
          <t>1) 온실가스 산정 식: Σ(구매금액 × 품목/서비스별 배출계수)</t>
        </is>
      </c>
    </row>
    <row r="11">
      <c r="B11" s="11" t="inlineStr">
        <is>
          <t>- 배출계수는 US EPA Supply Chain Greenhouse Gas Emission Factors v1.3 등 지출기반 배출계수 활용</t>
        </is>
      </c>
    </row>
    <row r="12">
      <c r="B12" s="11" t="inlineStr">
        <is>
          <t>2) 품목군은 최종 배출계수 매핑 분류로 사용하므로 가장 가까운 항목을 선택</t>
        </is>
      </c>
    </row>
    <row r="13">
      <c r="B13" s="11" t="inlineStr">
        <is>
          <t>3) 상세 품목명/서비스명은 ERP 품목명, 세금계산서, 거래명세서 기준으로 작성</t>
        </is>
      </c>
    </row>
    <row r="15">
      <c r="B15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6">
      <c r="B16" s="20" t="inlineStr">
        <is>
          <t>※ 주황색으로 표시된 필수 입력칸은 반드시 작성해야 합니다.</t>
        </is>
      </c>
    </row>
    <row r="17">
      <c r="B17" s="50" t="inlineStr">
        <is>
          <t>※ 회색으로 표시된 입력란(배출계수, 배출량)은 자동으로 산출되므로 별도로 입력하지 않으셔도 됩니다.</t>
        </is>
      </c>
    </row>
    <row r="18" ht="15" customHeight="1" s="71">
      <c r="B18" s="60" t="inlineStr">
        <is>
          <t>*국가</t>
        </is>
      </c>
      <c r="C18" s="60" t="inlineStr">
        <is>
          <t>*사업장</t>
        </is>
      </c>
      <c r="D18" s="60" t="inlineStr">
        <is>
          <t>*품목군</t>
        </is>
      </c>
      <c r="E18" s="60" t="inlineStr">
        <is>
          <t>*상세 품목명/서비스명</t>
        </is>
      </c>
      <c r="F18" s="60" t="inlineStr">
        <is>
          <t>계정과목(선택)</t>
        </is>
      </c>
      <c r="G18" s="60" t="inlineStr">
        <is>
          <t>거래처명(선택)</t>
        </is>
      </c>
      <c r="H18" s="62" t="inlineStr">
        <is>
          <t>연간 입력</t>
        </is>
      </c>
      <c r="I18" s="62" t="inlineStr">
        <is>
          <t>월별 지출금액</t>
        </is>
      </c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4" t="n"/>
      <c r="U18" s="60" t="inlineStr">
        <is>
          <t>비고(선택)</t>
        </is>
      </c>
      <c r="V18" s="60" t="inlineStr">
        <is>
          <t>배출계수(kgCO2e/원)</t>
        </is>
      </c>
      <c r="W18" s="60" t="inlineStr">
        <is>
          <t>배출량(tCO2e)</t>
        </is>
      </c>
    </row>
    <row r="19" ht="14.25" customHeight="1" s="71">
      <c r="B19" s="61" t="n"/>
      <c r="C19" s="61" t="n"/>
      <c r="D19" s="61" t="n"/>
      <c r="E19" s="61" t="n"/>
      <c r="F19" s="61" t="n"/>
      <c r="G19" s="61" t="n"/>
      <c r="H19" s="60" t="inlineStr">
        <is>
          <t>연간지출금액(원)</t>
        </is>
      </c>
      <c r="I19" s="60" t="inlineStr">
        <is>
          <t>1월</t>
        </is>
      </c>
      <c r="J19" s="60" t="inlineStr">
        <is>
          <t>2월</t>
        </is>
      </c>
      <c r="K19" s="60" t="inlineStr">
        <is>
          <t>3월</t>
        </is>
      </c>
      <c r="L19" s="60" t="inlineStr">
        <is>
          <t>4월</t>
        </is>
      </c>
      <c r="M19" s="60" t="inlineStr">
        <is>
          <t>5월</t>
        </is>
      </c>
      <c r="N19" s="60" t="inlineStr">
        <is>
          <t>6월</t>
        </is>
      </c>
      <c r="O19" s="60" t="inlineStr">
        <is>
          <t>7월</t>
        </is>
      </c>
      <c r="P19" s="60" t="inlineStr">
        <is>
          <t>8월</t>
        </is>
      </c>
      <c r="Q19" s="60" t="inlineStr">
        <is>
          <t>9월</t>
        </is>
      </c>
      <c r="R19" s="60" t="inlineStr">
        <is>
          <t>10월</t>
        </is>
      </c>
      <c r="S19" s="60" t="inlineStr">
        <is>
          <t>11월</t>
        </is>
      </c>
      <c r="T19" s="60" t="inlineStr">
        <is>
          <t>12월</t>
        </is>
      </c>
      <c r="U19" s="61" t="n"/>
      <c r="V19" s="61" t="n"/>
      <c r="W19" s="61" t="n"/>
    </row>
    <row r="20">
      <c r="B20" s="3" t="inlineStr">
        <is>
          <t>대한민국</t>
        </is>
      </c>
      <c r="C20" s="3" t="inlineStr">
        <is>
          <t>본사</t>
        </is>
      </c>
      <c r="D20" s="3" t="inlineStr">
        <is>
          <t>사무용품</t>
        </is>
      </c>
      <c r="E20" s="3" t="inlineStr">
        <is>
          <t>A4 복사용지</t>
        </is>
      </c>
      <c r="F20" s="4" t="inlineStr">
        <is>
          <t>소모품비</t>
        </is>
      </c>
      <c r="G20" s="4" t="inlineStr">
        <is>
          <t>문구업체</t>
        </is>
      </c>
      <c r="H20" s="3">
        <f>IF(SUM(I20:T20)=0,"",SUM(I20:T20))</f>
        <v/>
      </c>
      <c r="I20" s="3" t="n">
        <v>100000</v>
      </c>
      <c r="J20" s="3" t="n">
        <v>100000</v>
      </c>
      <c r="K20" s="3" t="n">
        <v>100000</v>
      </c>
      <c r="L20" s="3" t="n">
        <v>100000</v>
      </c>
      <c r="M20" s="3" t="n">
        <v>100000</v>
      </c>
      <c r="N20" s="3" t="n">
        <v>100000</v>
      </c>
      <c r="O20" s="3" t="n">
        <v>100000</v>
      </c>
      <c r="P20" s="3" t="n">
        <v>100000</v>
      </c>
      <c r="Q20" s="3" t="n">
        <v>100000</v>
      </c>
      <c r="R20" s="3" t="n">
        <v>100000</v>
      </c>
      <c r="S20" s="3" t="n">
        <v>100000</v>
      </c>
      <c r="T20" s="3" t="n">
        <v>100000</v>
      </c>
      <c r="U20" s="4" t="inlineStr">
        <is>
          <t>사무실 복사용지</t>
        </is>
      </c>
      <c r="V20" s="5" t="inlineStr">
        <is>
          <t>AI 추천</t>
        </is>
      </c>
      <c r="W20" s="5" t="inlineStr">
        <is>
          <t>AI 자동산정</t>
        </is>
      </c>
    </row>
    <row r="21">
      <c r="B21" s="6" t="n"/>
      <c r="C21" s="6" t="n"/>
      <c r="D21" s="6" t="n"/>
      <c r="E21" s="6" t="n"/>
      <c r="F21" s="7" t="n"/>
      <c r="G21" s="7" t="n"/>
      <c r="H21" s="6">
        <f>IF(SUM(I21:T21)=0,"",SUM(I21:T21))</f>
        <v/>
      </c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7" t="n"/>
      <c r="V21" s="8" t="n"/>
      <c r="W21" s="8" t="n"/>
    </row>
    <row r="22">
      <c r="B22" s="6" t="n"/>
      <c r="C22" s="6" t="n"/>
      <c r="D22" s="6" t="n"/>
      <c r="E22" s="6" t="n"/>
      <c r="F22" s="7" t="n"/>
      <c r="G22" s="7" t="n"/>
      <c r="H22" s="6">
        <f>IF(SUM(I22:T22)=0,"",SUM(I22:T22))</f>
        <v/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7" t="n"/>
      <c r="V22" s="8" t="n"/>
      <c r="W22" s="8" t="n"/>
    </row>
    <row r="23">
      <c r="B23" s="6" t="n"/>
      <c r="C23" s="6" t="n"/>
      <c r="D23" s="6" t="n"/>
      <c r="E23" s="6" t="n"/>
      <c r="F23" s="7" t="n"/>
      <c r="G23" s="7" t="n"/>
      <c r="H23" s="6">
        <f>IF(SUM(I23:T23)=0,"",SUM(I23:T23))</f>
        <v/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7" t="n"/>
      <c r="V23" s="8" t="n"/>
      <c r="W23" s="8" t="n"/>
    </row>
    <row r="24">
      <c r="B24" s="6" t="n"/>
      <c r="C24" s="6" t="n"/>
      <c r="D24" s="6" t="n"/>
      <c r="E24" s="6" t="n"/>
      <c r="F24" s="7" t="n"/>
      <c r="G24" s="7" t="n"/>
      <c r="H24" s="6">
        <f>IF(SUM(I24:T24)=0,"",SUM(I24:T24))</f>
        <v/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7" t="n"/>
      <c r="V24" s="8" t="n"/>
      <c r="W24" s="8" t="n"/>
    </row>
    <row r="25">
      <c r="B25" s="6" t="n"/>
      <c r="C25" s="6" t="n"/>
      <c r="D25" s="6" t="n"/>
      <c r="E25" s="6" t="n"/>
      <c r="F25" s="7" t="n"/>
      <c r="G25" s="7" t="n"/>
      <c r="H25" s="6">
        <f>IF(SUM(I25:T25)=0,"",SUM(I25:T25))</f>
        <v/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7" t="n"/>
      <c r="V25" s="8" t="n"/>
      <c r="W25" s="8" t="n"/>
    </row>
    <row r="26">
      <c r="B26" s="6" t="n"/>
      <c r="C26" s="6" t="n"/>
      <c r="D26" s="6" t="n"/>
      <c r="E26" s="6" t="n"/>
      <c r="F26" s="7" t="n"/>
      <c r="G26" s="7" t="n"/>
      <c r="H26" s="6">
        <f>IF(SUM(I26:T26)=0,"",SUM(I26:T26))</f>
        <v/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7" t="n"/>
      <c r="V26" s="8" t="n"/>
      <c r="W26" s="8" t="n"/>
    </row>
    <row r="27">
      <c r="B27" s="6" t="n"/>
      <c r="C27" s="6" t="n"/>
      <c r="D27" s="6" t="n"/>
      <c r="E27" s="6" t="n"/>
      <c r="F27" s="7" t="n"/>
      <c r="G27" s="7" t="n"/>
      <c r="H27" s="6">
        <f>IF(SUM(I27:T27)=0,"",SUM(I27:T27))</f>
        <v/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7" t="n"/>
      <c r="V27" s="8" t="n"/>
      <c r="W27" s="8" t="n"/>
    </row>
    <row r="28">
      <c r="B28" s="6" t="n"/>
      <c r="C28" s="6" t="n"/>
      <c r="D28" s="6" t="n"/>
      <c r="E28" s="6" t="n"/>
      <c r="F28" s="7" t="n"/>
      <c r="G28" s="7" t="n"/>
      <c r="H28" s="6">
        <f>IF(SUM(I28:T28)=0,"",SUM(I28:T28))</f>
        <v/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7" t="n"/>
      <c r="V28" s="8" t="n"/>
      <c r="W28" s="8" t="n"/>
    </row>
    <row r="29">
      <c r="B29" s="6" t="n"/>
      <c r="C29" s="6" t="n"/>
      <c r="D29" s="6" t="n"/>
      <c r="E29" s="6" t="n"/>
      <c r="F29" s="7" t="n"/>
      <c r="G29" s="7" t="n"/>
      <c r="H29" s="6">
        <f>IF(SUM(I29:T29)=0,"",SUM(I29:T29))</f>
        <v/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7" t="n"/>
      <c r="V29" s="8" t="n"/>
      <c r="W29" s="8" t="n"/>
    </row>
    <row r="30">
      <c r="B30" s="6" t="n"/>
      <c r="C30" s="6" t="n"/>
      <c r="D30" s="6" t="n"/>
      <c r="E30" s="6" t="n"/>
      <c r="F30" s="7" t="n"/>
      <c r="G30" s="7" t="n"/>
      <c r="H30" s="6">
        <f>IF(SUM(I30:T30)=0,"",SUM(I30:T30))</f>
        <v/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7" t="n"/>
      <c r="V30" s="8" t="n"/>
      <c r="W30" s="8" t="n"/>
    </row>
    <row r="31">
      <c r="B31" s="6" t="n"/>
      <c r="C31" s="6" t="n"/>
      <c r="D31" s="6" t="n"/>
      <c r="E31" s="6" t="n"/>
      <c r="F31" s="7" t="n"/>
      <c r="G31" s="7" t="n"/>
      <c r="H31" s="6">
        <f>IF(SUM(I31:T31)=0,"",SUM(I31:T31))</f>
        <v/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7" t="n"/>
      <c r="V31" s="8" t="n"/>
      <c r="W31" s="8" t="n"/>
    </row>
    <row r="32">
      <c r="B32" s="6" t="n"/>
      <c r="C32" s="6" t="n"/>
      <c r="D32" s="6" t="n"/>
      <c r="E32" s="6" t="n"/>
      <c r="F32" s="7" t="n"/>
      <c r="G32" s="7" t="n"/>
      <c r="H32" s="6">
        <f>IF(SUM(I32:T32)=0,"",SUM(I32:T32))</f>
        <v/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7" t="n"/>
      <c r="V32" s="8" t="n"/>
      <c r="W32" s="8" t="n"/>
    </row>
    <row r="33">
      <c r="B33" s="6" t="n"/>
      <c r="C33" s="6" t="n"/>
      <c r="D33" s="6" t="n"/>
      <c r="E33" s="6" t="n"/>
      <c r="F33" s="7" t="n"/>
      <c r="G33" s="7" t="n"/>
      <c r="H33" s="6">
        <f>IF(SUM(I33:T33)=0,"",SUM(I33:T33))</f>
        <v/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7" t="n"/>
      <c r="V33" s="8" t="n"/>
      <c r="W33" s="8" t="n"/>
    </row>
    <row r="34">
      <c r="B34" s="6" t="n"/>
      <c r="C34" s="6" t="n"/>
      <c r="D34" s="6" t="n"/>
      <c r="E34" s="6" t="n"/>
      <c r="F34" s="7" t="n"/>
      <c r="G34" s="7" t="n"/>
      <c r="H34" s="6">
        <f>IF(SUM(I34:T34)=0,"",SUM(I34:T34))</f>
        <v/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7" t="n"/>
      <c r="V34" s="8" t="n"/>
      <c r="W34" s="8" t="n"/>
    </row>
    <row r="35">
      <c r="B35" s="6" t="n"/>
      <c r="C35" s="6" t="n"/>
      <c r="D35" s="6" t="n"/>
      <c r="E35" s="6" t="n"/>
      <c r="F35" s="7" t="n"/>
      <c r="G35" s="7" t="n"/>
      <c r="H35" s="6">
        <f>IF(SUM(I35:T35)=0,"",SUM(I35:T35))</f>
        <v/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7" t="n"/>
      <c r="V35" s="8" t="n"/>
      <c r="W35" s="8" t="n"/>
    </row>
    <row r="36">
      <c r="B36" s="6" t="n"/>
      <c r="C36" s="6" t="n"/>
      <c r="D36" s="6" t="n"/>
      <c r="E36" s="6" t="n"/>
      <c r="F36" s="7" t="n"/>
      <c r="G36" s="7" t="n"/>
      <c r="H36" s="6">
        <f>IF(SUM(I36:T36)=0,"",SUM(I36:T36))</f>
        <v/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7" t="n"/>
      <c r="V36" s="8" t="n"/>
      <c r="W36" s="8" t="n"/>
    </row>
    <row r="37">
      <c r="B37" s="6" t="n"/>
      <c r="C37" s="6" t="n"/>
      <c r="D37" s="6" t="n"/>
      <c r="E37" s="6" t="n"/>
      <c r="F37" s="7" t="n"/>
      <c r="G37" s="7" t="n"/>
      <c r="H37" s="6">
        <f>IF(SUM(I37:T37)=0,"",SUM(I37:T37))</f>
        <v/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7" t="n"/>
      <c r="V37" s="8" t="n"/>
      <c r="W37" s="8" t="n"/>
    </row>
    <row r="38">
      <c r="B38" s="6" t="n"/>
      <c r="C38" s="6" t="n"/>
      <c r="D38" s="6" t="n"/>
      <c r="E38" s="6" t="n"/>
      <c r="F38" s="7" t="n"/>
      <c r="G38" s="7" t="n"/>
      <c r="H38" s="6">
        <f>IF(SUM(I38:T38)=0,"",SUM(I38:T38))</f>
        <v/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7" t="n"/>
      <c r="V38" s="8" t="n"/>
      <c r="W38" s="8" t="n"/>
    </row>
    <row r="39">
      <c r="B39" s="6" t="n"/>
      <c r="C39" s="6" t="n"/>
      <c r="D39" s="6" t="n"/>
      <c r="E39" s="6" t="n"/>
      <c r="F39" s="7" t="n"/>
      <c r="G39" s="7" t="n"/>
      <c r="H39" s="6">
        <f>IF(SUM(I39:T39)=0,"",SUM(I39:T39))</f>
        <v/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7" t="n"/>
      <c r="V39" s="8" t="n"/>
      <c r="W39" s="8" t="n"/>
    </row>
    <row r="40">
      <c r="B40" s="6" t="n"/>
      <c r="C40" s="6" t="n"/>
      <c r="D40" s="6" t="n"/>
      <c r="E40" s="6" t="n"/>
      <c r="F40" s="7" t="n"/>
      <c r="G40" s="7" t="n"/>
      <c r="H40" s="6">
        <f>IF(SUM(I40:T40)=0,"",SUM(I40:T40))</f>
        <v/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7" t="n"/>
      <c r="V40" s="8" t="n"/>
      <c r="W40" s="8" t="n"/>
    </row>
    <row r="41">
      <c r="B41" s="6" t="n"/>
      <c r="C41" s="6" t="n"/>
      <c r="D41" s="6" t="n"/>
      <c r="E41" s="6" t="n"/>
      <c r="F41" s="7" t="n"/>
      <c r="G41" s="7" t="n"/>
      <c r="H41" s="6">
        <f>IF(SUM(I41:T41)=0,"",SUM(I41:T41))</f>
        <v/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7" t="n"/>
      <c r="V41" s="8" t="n"/>
      <c r="W41" s="8" t="n"/>
    </row>
    <row r="42">
      <c r="B42" s="6" t="n"/>
      <c r="C42" s="6" t="n"/>
      <c r="D42" s="6" t="n"/>
      <c r="E42" s="6" t="n"/>
      <c r="F42" s="7" t="n"/>
      <c r="G42" s="7" t="n"/>
      <c r="H42" s="6">
        <f>IF(SUM(I42:T42)=0,"",SUM(I42:T42))</f>
        <v/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7" t="n"/>
      <c r="V42" s="8" t="n"/>
      <c r="W42" s="8" t="n"/>
    </row>
    <row r="43">
      <c r="B43" s="6" t="n"/>
      <c r="C43" s="6" t="n"/>
      <c r="D43" s="6" t="n"/>
      <c r="E43" s="6" t="n"/>
      <c r="F43" s="7" t="n"/>
      <c r="G43" s="7" t="n"/>
      <c r="H43" s="6">
        <f>IF(SUM(I43:T43)=0,"",SUM(I43:T43))</f>
        <v/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7" t="n"/>
      <c r="V43" s="8" t="n"/>
      <c r="W43" s="8" t="n"/>
    </row>
    <row r="44">
      <c r="B44" s="6" t="n"/>
      <c r="C44" s="6" t="n"/>
      <c r="D44" s="6" t="n"/>
      <c r="E44" s="6" t="n"/>
      <c r="F44" s="7" t="n"/>
      <c r="G44" s="7" t="n"/>
      <c r="H44" s="6">
        <f>IF(SUM(I44:T44)=0,"",SUM(I44:T44))</f>
        <v/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7" t="n"/>
      <c r="V44" s="8" t="n"/>
      <c r="W44" s="8" t="n"/>
    </row>
    <row r="45">
      <c r="B45" s="6" t="n"/>
      <c r="C45" s="6" t="n"/>
      <c r="D45" s="6" t="n"/>
      <c r="E45" s="6" t="n"/>
      <c r="F45" s="7" t="n"/>
      <c r="G45" s="7" t="n"/>
      <c r="H45" s="6">
        <f>IF(SUM(I45:T45)=0,"",SUM(I45:T45))</f>
        <v/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7" t="n"/>
      <c r="V45" s="8" t="n"/>
      <c r="W45" s="8" t="n"/>
    </row>
    <row r="46">
      <c r="B46" s="6" t="n"/>
      <c r="C46" s="6" t="n"/>
      <c r="D46" s="6" t="n"/>
      <c r="E46" s="6" t="n"/>
      <c r="F46" s="7" t="n"/>
      <c r="G46" s="7" t="n"/>
      <c r="H46" s="6">
        <f>IF(SUM(I46:T46)=0,"",SUM(I46:T46))</f>
        <v/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7" t="n"/>
      <c r="V46" s="8" t="n"/>
      <c r="W46" s="8" t="n"/>
    </row>
    <row r="47">
      <c r="B47" s="6" t="n"/>
      <c r="C47" s="6" t="n"/>
      <c r="D47" s="6" t="n"/>
      <c r="E47" s="6" t="n"/>
      <c r="F47" s="7" t="n"/>
      <c r="G47" s="7" t="n"/>
      <c r="H47" s="6">
        <f>IF(SUM(I47:T47)=0,"",SUM(I47:T47))</f>
        <v/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7" t="n"/>
      <c r="V47" s="8" t="n"/>
      <c r="W47" s="8" t="n"/>
    </row>
    <row r="48">
      <c r="B48" s="6" t="n"/>
      <c r="C48" s="6" t="n"/>
      <c r="D48" s="6" t="n"/>
      <c r="E48" s="6" t="n"/>
      <c r="F48" s="7" t="n"/>
      <c r="G48" s="7" t="n"/>
      <c r="H48" s="6">
        <f>IF(SUM(I48:T48)=0,"",SUM(I48:T48))</f>
        <v/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7" t="n"/>
      <c r="V48" s="8" t="n"/>
      <c r="W48" s="8" t="n"/>
    </row>
    <row r="49">
      <c r="B49" s="6" t="n"/>
      <c r="C49" s="6" t="n"/>
      <c r="D49" s="6" t="n"/>
      <c r="E49" s="6" t="n"/>
      <c r="F49" s="7" t="n"/>
      <c r="G49" s="7" t="n"/>
      <c r="H49" s="6">
        <f>IF(SUM(I49:T49)=0,"",SUM(I49:T49))</f>
        <v/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7" t="n"/>
      <c r="V49" s="8" t="n"/>
      <c r="W49" s="8" t="n"/>
    </row>
    <row r="50">
      <c r="B50" s="6" t="n"/>
      <c r="C50" s="6" t="n"/>
      <c r="D50" s="6" t="n"/>
      <c r="E50" s="6" t="n"/>
      <c r="F50" s="7" t="n"/>
      <c r="G50" s="7" t="n"/>
      <c r="H50" s="6">
        <f>IF(SUM(I50:T50)=0,"",SUM(I50:T50))</f>
        <v/>
      </c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7" t="n"/>
      <c r="V50" s="8" t="n"/>
      <c r="W50" s="8" t="n"/>
    </row>
    <row r="51">
      <c r="B51" s="6" t="n"/>
      <c r="C51" s="6" t="n"/>
      <c r="D51" s="6" t="n"/>
      <c r="E51" s="6" t="n"/>
      <c r="F51" s="7" t="n"/>
      <c r="G51" s="7" t="n"/>
      <c r="H51" s="6">
        <f>IF(SUM(I51:T51)=0,"",SUM(I51:T51))</f>
        <v/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7" t="n"/>
      <c r="V51" s="8" t="n"/>
      <c r="W51" s="8" t="n"/>
    </row>
    <row r="52">
      <c r="B52" s="6" t="n"/>
      <c r="C52" s="6" t="n"/>
      <c r="D52" s="6" t="n"/>
      <c r="E52" s="6" t="n"/>
      <c r="F52" s="7" t="n"/>
      <c r="G52" s="7" t="n"/>
      <c r="H52" s="6">
        <f>IF(SUM(I52:T52)=0,"",SUM(I52:T52))</f>
        <v/>
      </c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7" t="n"/>
      <c r="V52" s="8" t="n"/>
      <c r="W52" s="8" t="n"/>
    </row>
    <row r="53">
      <c r="B53" s="6" t="n"/>
      <c r="C53" s="6" t="n"/>
      <c r="D53" s="6" t="n"/>
      <c r="E53" s="6" t="n"/>
      <c r="F53" s="7" t="n"/>
      <c r="G53" s="7" t="n"/>
      <c r="H53" s="6">
        <f>IF(SUM(I53:T53)=0,"",SUM(I53:T53))</f>
        <v/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7" t="n"/>
      <c r="V53" s="8" t="n"/>
      <c r="W53" s="8" t="n"/>
    </row>
    <row r="54">
      <c r="B54" s="6" t="n"/>
      <c r="C54" s="6" t="n"/>
      <c r="D54" s="6" t="n"/>
      <c r="E54" s="6" t="n"/>
      <c r="F54" s="7" t="n"/>
      <c r="G54" s="7" t="n"/>
      <c r="H54" s="6">
        <f>IF(SUM(I54:T54)=0,"",SUM(I54:T54))</f>
        <v/>
      </c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7" t="n"/>
      <c r="V54" s="8" t="n"/>
      <c r="W54" s="8" t="n"/>
    </row>
    <row r="55">
      <c r="B55" s="6" t="n"/>
      <c r="C55" s="6" t="n"/>
      <c r="D55" s="6" t="n"/>
      <c r="E55" s="6" t="n"/>
      <c r="F55" s="7" t="n"/>
      <c r="G55" s="7" t="n"/>
      <c r="H55" s="6">
        <f>IF(SUM(I55:T55)=0,"",SUM(I55:T55))</f>
        <v/>
      </c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7" t="n"/>
      <c r="V55" s="8" t="n"/>
      <c r="W55" s="8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1">
    <dataValidation sqref="D21:D220" showDropDown="0" showInputMessage="0" showErrorMessage="1" allowBlank="1" errorTitle="드롭다운 값 확인" error="배출계수 DB 기준 드롭다운 목록에서 선택해 주세요." type="list">
      <formula1>DD_PURCHASE_GROUP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X55"/>
  <sheetViews>
    <sheetView workbookViewId="0">
      <selection activeCell="B17" sqref="B17"/>
    </sheetView>
  </sheetViews>
  <sheetFormatPr baseColWidth="8" defaultRowHeight="14.25"/>
  <cols>
    <col width="10" customWidth="1" style="71" min="2" max="2"/>
    <col width="16" customWidth="1" style="71" min="3" max="3"/>
    <col width="18" customWidth="1" style="71" min="4" max="4"/>
    <col width="24" customWidth="1" style="71" min="5" max="5"/>
    <col width="16" customWidth="1" style="71" min="6" max="9"/>
    <col width="8" customWidth="1" style="71" min="10" max="21"/>
    <col width="18" customWidth="1" style="71" min="22" max="22"/>
    <col width="20.75" bestFit="1" customWidth="1" style="71" min="23" max="23"/>
    <col width="16" customWidth="1" style="71" min="24" max="24"/>
  </cols>
  <sheetData>
    <row r="2" ht="20.25" customHeight="1" s="71">
      <c r="B2" s="1" t="inlineStr">
        <is>
          <t>C2. 자본재</t>
        </is>
      </c>
    </row>
    <row r="4">
      <c r="B4" s="2" t="inlineStr">
        <is>
          <t>카테고리 정의</t>
        </is>
      </c>
    </row>
    <row r="5">
      <c r="B5" s="11" t="inlineStr">
        <is>
          <t>- 보고년도에 회사가 취득한 건물, 구축물, 기계장치, 생산설비, 차량, IT장비 등 자본재 생산 과정에서 발생하는 온실가스 배출량</t>
        </is>
      </c>
    </row>
    <row r="6">
      <c r="B6" s="11" t="inlineStr">
        <is>
          <t>- 비용 처리된 일반 소모품, 수리비, 용역비 등은 C1 구매품 및 서비스에 작성</t>
        </is>
      </c>
    </row>
    <row r="9">
      <c r="B9" s="2" t="inlineStr">
        <is>
          <t>작성 기준</t>
        </is>
      </c>
    </row>
    <row r="10">
      <c r="B10" s="11" t="inlineStr">
        <is>
          <t>1) 온실가스 산정 식: Σ(자본재 취득금액 × 자본재별 배출계수)</t>
        </is>
      </c>
    </row>
    <row r="11">
      <c r="B11" s="11" t="inlineStr">
        <is>
          <t>- 배출계수는 US EPA Supply Chain Greenhouse Gas Emission Factors v1.3 등 지출기반 배출계수 활용</t>
        </is>
      </c>
    </row>
    <row r="12">
      <c r="B12" s="11" t="inlineStr">
        <is>
          <t>2) 취득금액은 회계상 자산 취득가액 기준으로 작성</t>
        </is>
      </c>
    </row>
    <row r="13">
      <c r="B13" s="11" t="inlineStr">
        <is>
          <t>3) 자산분류는 최종 배출계수 매핑 분류로 사용하므로 가장 가까운 항목을 선택</t>
        </is>
      </c>
    </row>
    <row r="15">
      <c r="B15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6">
      <c r="B16" s="20" t="inlineStr">
        <is>
          <t>※ 주황색으로 표시된 필수 입력칸은 반드시 작성해야 합니다.</t>
        </is>
      </c>
    </row>
    <row r="17">
      <c r="B17" s="50" t="inlineStr">
        <is>
          <t>※ 회색으로 표시된 입력란(배출계수, 배출량)은 자동으로 산출되므로 별도로 입력하지 않으셔도 됩니다.</t>
        </is>
      </c>
    </row>
    <row r="18" ht="15" customHeight="1" s="71">
      <c r="B18" s="60" t="inlineStr">
        <is>
          <t>*국가</t>
        </is>
      </c>
      <c r="C18" s="60" t="inlineStr">
        <is>
          <t>*사업장</t>
        </is>
      </c>
      <c r="D18" s="60" t="inlineStr">
        <is>
          <t>*자산분류</t>
        </is>
      </c>
      <c r="E18" s="60" t="inlineStr">
        <is>
          <t>*상세 자산명</t>
        </is>
      </c>
      <c r="F18" s="60" t="inlineStr">
        <is>
          <t>자산번호(선택)</t>
        </is>
      </c>
      <c r="G18" s="60" t="inlineStr">
        <is>
          <t>계정과목(선택)</t>
        </is>
      </c>
      <c r="H18" s="60" t="inlineStr">
        <is>
          <t>거래처명(선택)</t>
        </is>
      </c>
      <c r="I18" s="62" t="inlineStr">
        <is>
          <t>연간 입력</t>
        </is>
      </c>
      <c r="J18" s="62" t="inlineStr">
        <is>
          <t>월별 취득금액</t>
        </is>
      </c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4" t="n"/>
      <c r="V18" s="60" t="inlineStr">
        <is>
          <t>비고(선택)</t>
        </is>
      </c>
      <c r="W18" s="60" t="inlineStr">
        <is>
          <t>배출계수(kgCO2e/원)</t>
        </is>
      </c>
      <c r="X18" s="60" t="inlineStr">
        <is>
          <t>배출량(tCO2e)</t>
        </is>
      </c>
    </row>
    <row r="19" ht="14.25" customHeight="1" s="71">
      <c r="B19" s="61" t="n"/>
      <c r="C19" s="61" t="n"/>
      <c r="D19" s="61" t="n"/>
      <c r="E19" s="61" t="n"/>
      <c r="F19" s="61" t="n"/>
      <c r="G19" s="61" t="n"/>
      <c r="H19" s="61" t="n"/>
      <c r="I19" s="60" t="inlineStr">
        <is>
          <t>연간취득금액(원)</t>
        </is>
      </c>
      <c r="J19" s="60" t="inlineStr">
        <is>
          <t>1월</t>
        </is>
      </c>
      <c r="K19" s="60" t="inlineStr">
        <is>
          <t>2월</t>
        </is>
      </c>
      <c r="L19" s="60" t="inlineStr">
        <is>
          <t>3월</t>
        </is>
      </c>
      <c r="M19" s="60" t="inlineStr">
        <is>
          <t>4월</t>
        </is>
      </c>
      <c r="N19" s="60" t="inlineStr">
        <is>
          <t>5월</t>
        </is>
      </c>
      <c r="O19" s="60" t="inlineStr">
        <is>
          <t>6월</t>
        </is>
      </c>
      <c r="P19" s="60" t="inlineStr">
        <is>
          <t>7월</t>
        </is>
      </c>
      <c r="Q19" s="60" t="inlineStr">
        <is>
          <t>8월</t>
        </is>
      </c>
      <c r="R19" s="60" t="inlineStr">
        <is>
          <t>9월</t>
        </is>
      </c>
      <c r="S19" s="60" t="inlineStr">
        <is>
          <t>10월</t>
        </is>
      </c>
      <c r="T19" s="60" t="inlineStr">
        <is>
          <t>11월</t>
        </is>
      </c>
      <c r="U19" s="60" t="inlineStr">
        <is>
          <t>12월</t>
        </is>
      </c>
      <c r="V19" s="61" t="n"/>
      <c r="W19" s="61" t="n"/>
      <c r="X19" s="61" t="n"/>
    </row>
    <row r="20">
      <c r="B20" s="3" t="inlineStr">
        <is>
          <t>대한민국</t>
        </is>
      </c>
      <c r="C20" s="3" t="inlineStr">
        <is>
          <t>본사</t>
        </is>
      </c>
      <c r="D20" s="3" t="inlineStr">
        <is>
          <t>IT장비</t>
        </is>
      </c>
      <c r="E20" s="3" t="inlineStr">
        <is>
          <t>노트북</t>
        </is>
      </c>
      <c r="F20" s="4" t="inlineStr">
        <is>
          <t>FA-2025-001</t>
        </is>
      </c>
      <c r="G20" s="4" t="inlineStr">
        <is>
          <t>비품</t>
        </is>
      </c>
      <c r="H20" s="4" t="inlineStr">
        <is>
          <t>전자업체</t>
        </is>
      </c>
      <c r="I20" s="3">
        <f>IF(SUM(J20:U20)=0,"",SUM(J20:U20))</f>
        <v/>
      </c>
      <c r="J20" s="3" t="n"/>
      <c r="K20" s="3" t="n"/>
      <c r="L20" s="3" t="n">
        <v>15000000</v>
      </c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inlineStr">
        <is>
          <t>업무용 노트북</t>
        </is>
      </c>
      <c r="W20" s="5" t="n"/>
      <c r="X20" s="5" t="n"/>
    </row>
    <row r="21">
      <c r="B21" s="6" t="n"/>
      <c r="C21" s="6" t="n"/>
      <c r="D21" s="6" t="n"/>
      <c r="E21" s="6" t="n"/>
      <c r="F21" s="7" t="n"/>
      <c r="G21" s="7" t="n"/>
      <c r="H21" s="7" t="n"/>
      <c r="I21" s="6">
        <f>IF(SUM(J21:U21)=0,"",SUM(J21:U21))</f>
        <v/>
      </c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7" t="n"/>
      <c r="W21" s="8" t="n"/>
      <c r="X21" s="8" t="n"/>
    </row>
    <row r="22">
      <c r="B22" s="6" t="n"/>
      <c r="C22" s="6" t="n"/>
      <c r="D22" s="6" t="n"/>
      <c r="E22" s="6" t="n"/>
      <c r="F22" s="7" t="n"/>
      <c r="G22" s="7" t="n"/>
      <c r="H22" s="7" t="n"/>
      <c r="I22" s="6">
        <f>IF(SUM(J22:U22)=0,"",SUM(J22:U22))</f>
        <v/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7" t="n"/>
      <c r="W22" s="8" t="n"/>
      <c r="X22" s="8" t="n"/>
    </row>
    <row r="23">
      <c r="B23" s="6" t="n"/>
      <c r="C23" s="6" t="n"/>
      <c r="D23" s="6" t="n"/>
      <c r="E23" s="6" t="n"/>
      <c r="F23" s="7" t="n"/>
      <c r="G23" s="7" t="n"/>
      <c r="H23" s="7" t="n"/>
      <c r="I23" s="6">
        <f>IF(SUM(J23:U23)=0,"",SUM(J23:U23))</f>
        <v/>
      </c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7" t="n"/>
      <c r="W23" s="8" t="n"/>
      <c r="X23" s="8" t="n"/>
    </row>
    <row r="24">
      <c r="B24" s="6" t="n"/>
      <c r="C24" s="6" t="n"/>
      <c r="D24" s="6" t="n"/>
      <c r="E24" s="6" t="n"/>
      <c r="F24" s="7" t="n"/>
      <c r="G24" s="7" t="n"/>
      <c r="H24" s="7" t="n"/>
      <c r="I24" s="6">
        <f>IF(SUM(J24:U24)=0,"",SUM(J24:U24))</f>
        <v/>
      </c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7" t="n"/>
      <c r="W24" s="8" t="n"/>
      <c r="X24" s="8" t="n"/>
    </row>
    <row r="25">
      <c r="B25" s="6" t="n"/>
      <c r="C25" s="6" t="n"/>
      <c r="D25" s="6" t="n"/>
      <c r="E25" s="6" t="n"/>
      <c r="F25" s="7" t="n"/>
      <c r="G25" s="7" t="n"/>
      <c r="H25" s="7" t="n"/>
      <c r="I25" s="6">
        <f>IF(SUM(J25:U25)=0,"",SUM(J25:U25))</f>
        <v/>
      </c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7" t="n"/>
      <c r="W25" s="8" t="n"/>
      <c r="X25" s="8" t="n"/>
    </row>
    <row r="26">
      <c r="B26" s="6" t="n"/>
      <c r="C26" s="6" t="n"/>
      <c r="D26" s="6" t="n"/>
      <c r="E26" s="6" t="n"/>
      <c r="F26" s="7" t="n"/>
      <c r="G26" s="7" t="n"/>
      <c r="H26" s="7" t="n"/>
      <c r="I26" s="6">
        <f>IF(SUM(J26:U26)=0,"",SUM(J26:U26))</f>
        <v/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7" t="n"/>
      <c r="W26" s="8" t="n"/>
      <c r="X26" s="8" t="n"/>
    </row>
    <row r="27">
      <c r="B27" s="6" t="n"/>
      <c r="C27" s="6" t="n"/>
      <c r="D27" s="6" t="n"/>
      <c r="E27" s="6" t="n"/>
      <c r="F27" s="7" t="n"/>
      <c r="G27" s="7" t="n"/>
      <c r="H27" s="7" t="n"/>
      <c r="I27" s="6">
        <f>IF(SUM(J27:U27)=0,"",SUM(J27:U27))</f>
        <v/>
      </c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7" t="n"/>
      <c r="W27" s="8" t="n"/>
      <c r="X27" s="8" t="n"/>
    </row>
    <row r="28">
      <c r="B28" s="6" t="n"/>
      <c r="C28" s="6" t="n"/>
      <c r="D28" s="6" t="n"/>
      <c r="E28" s="6" t="n"/>
      <c r="F28" s="7" t="n"/>
      <c r="G28" s="7" t="n"/>
      <c r="H28" s="7" t="n"/>
      <c r="I28" s="6">
        <f>IF(SUM(J28:U28)=0,"",SUM(J28:U28))</f>
        <v/>
      </c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7" t="n"/>
      <c r="W28" s="8" t="n"/>
      <c r="X28" s="8" t="n"/>
    </row>
    <row r="29">
      <c r="B29" s="6" t="n"/>
      <c r="C29" s="6" t="n"/>
      <c r="D29" s="6" t="n"/>
      <c r="E29" s="6" t="n"/>
      <c r="F29" s="7" t="n"/>
      <c r="G29" s="7" t="n"/>
      <c r="H29" s="7" t="n"/>
      <c r="I29" s="6">
        <f>IF(SUM(J29:U29)=0,"",SUM(J29:U29))</f>
        <v/>
      </c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7" t="n"/>
      <c r="W29" s="8" t="n"/>
      <c r="X29" s="8" t="n"/>
    </row>
    <row r="30">
      <c r="B30" s="6" t="n"/>
      <c r="C30" s="6" t="n"/>
      <c r="D30" s="6" t="n"/>
      <c r="E30" s="6" t="n"/>
      <c r="F30" s="7" t="n"/>
      <c r="G30" s="7" t="n"/>
      <c r="H30" s="7" t="n"/>
      <c r="I30" s="6">
        <f>IF(SUM(J30:U30)=0,"",SUM(J30:U30))</f>
        <v/>
      </c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7" t="n"/>
      <c r="W30" s="8" t="n"/>
      <c r="X30" s="8" t="n"/>
    </row>
    <row r="31">
      <c r="B31" s="6" t="n"/>
      <c r="C31" s="6" t="n"/>
      <c r="D31" s="6" t="n"/>
      <c r="E31" s="6" t="n"/>
      <c r="F31" s="7" t="n"/>
      <c r="G31" s="7" t="n"/>
      <c r="H31" s="7" t="n"/>
      <c r="I31" s="6">
        <f>IF(SUM(J31:U31)=0,"",SUM(J31:U31))</f>
        <v/>
      </c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7" t="n"/>
      <c r="W31" s="8" t="n"/>
      <c r="X31" s="8" t="n"/>
    </row>
    <row r="32">
      <c r="B32" s="6" t="n"/>
      <c r="C32" s="6" t="n"/>
      <c r="D32" s="6" t="n"/>
      <c r="E32" s="6" t="n"/>
      <c r="F32" s="7" t="n"/>
      <c r="G32" s="7" t="n"/>
      <c r="H32" s="7" t="n"/>
      <c r="I32" s="6">
        <f>IF(SUM(J32:U32)=0,"",SUM(J32:U32))</f>
        <v/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7" t="n"/>
      <c r="W32" s="8" t="n"/>
      <c r="X32" s="8" t="n"/>
    </row>
    <row r="33">
      <c r="B33" s="6" t="n"/>
      <c r="C33" s="6" t="n"/>
      <c r="D33" s="6" t="n"/>
      <c r="E33" s="6" t="n"/>
      <c r="F33" s="7" t="n"/>
      <c r="G33" s="7" t="n"/>
      <c r="H33" s="7" t="n"/>
      <c r="I33" s="6">
        <f>IF(SUM(J33:U33)=0,"",SUM(J33:U33))</f>
        <v/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7" t="n"/>
      <c r="W33" s="8" t="n"/>
      <c r="X33" s="8" t="n"/>
    </row>
    <row r="34">
      <c r="B34" s="6" t="n"/>
      <c r="C34" s="6" t="n"/>
      <c r="D34" s="6" t="n"/>
      <c r="E34" s="6" t="n"/>
      <c r="F34" s="7" t="n"/>
      <c r="G34" s="7" t="n"/>
      <c r="H34" s="7" t="n"/>
      <c r="I34" s="6">
        <f>IF(SUM(J34:U34)=0,"",SUM(J34:U34))</f>
        <v/>
      </c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7" t="n"/>
      <c r="W34" s="8" t="n"/>
      <c r="X34" s="8" t="n"/>
    </row>
    <row r="35">
      <c r="B35" s="6" t="n"/>
      <c r="C35" s="6" t="n"/>
      <c r="D35" s="6" t="n"/>
      <c r="E35" s="6" t="n"/>
      <c r="F35" s="7" t="n"/>
      <c r="G35" s="7" t="n"/>
      <c r="H35" s="7" t="n"/>
      <c r="I35" s="6">
        <f>IF(SUM(J35:U35)=0,"",SUM(J35:U35))</f>
        <v/>
      </c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7" t="n"/>
      <c r="W35" s="8" t="n"/>
      <c r="X35" s="8" t="n"/>
    </row>
    <row r="36">
      <c r="B36" s="6" t="n"/>
      <c r="C36" s="6" t="n"/>
      <c r="D36" s="6" t="n"/>
      <c r="E36" s="6" t="n"/>
      <c r="F36" s="7" t="n"/>
      <c r="G36" s="7" t="n"/>
      <c r="H36" s="7" t="n"/>
      <c r="I36" s="6">
        <f>IF(SUM(J36:U36)=0,"",SUM(J36:U36))</f>
        <v/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7" t="n"/>
      <c r="W36" s="8" t="n"/>
      <c r="X36" s="8" t="n"/>
    </row>
    <row r="37">
      <c r="B37" s="6" t="n"/>
      <c r="C37" s="6" t="n"/>
      <c r="D37" s="6" t="n"/>
      <c r="E37" s="6" t="n"/>
      <c r="F37" s="7" t="n"/>
      <c r="G37" s="7" t="n"/>
      <c r="H37" s="7" t="n"/>
      <c r="I37" s="6">
        <f>IF(SUM(J37:U37)=0,"",SUM(J37:U37))</f>
        <v/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7" t="n"/>
      <c r="W37" s="8" t="n"/>
      <c r="X37" s="8" t="n"/>
    </row>
    <row r="38">
      <c r="B38" s="6" t="n"/>
      <c r="C38" s="6" t="n"/>
      <c r="D38" s="6" t="n"/>
      <c r="E38" s="6" t="n"/>
      <c r="F38" s="7" t="n"/>
      <c r="G38" s="7" t="n"/>
      <c r="H38" s="7" t="n"/>
      <c r="I38" s="6">
        <f>IF(SUM(J38:U38)=0,"",SUM(J38:U38))</f>
        <v/>
      </c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7" t="n"/>
      <c r="W38" s="8" t="n"/>
      <c r="X38" s="8" t="n"/>
    </row>
    <row r="39">
      <c r="B39" s="6" t="n"/>
      <c r="C39" s="6" t="n"/>
      <c r="D39" s="6" t="n"/>
      <c r="E39" s="6" t="n"/>
      <c r="F39" s="7" t="n"/>
      <c r="G39" s="7" t="n"/>
      <c r="H39" s="7" t="n"/>
      <c r="I39" s="6">
        <f>IF(SUM(J39:U39)=0,"",SUM(J39:U39))</f>
        <v/>
      </c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7" t="n"/>
      <c r="W39" s="8" t="n"/>
      <c r="X39" s="8" t="n"/>
    </row>
    <row r="40">
      <c r="B40" s="6" t="n"/>
      <c r="C40" s="6" t="n"/>
      <c r="D40" s="6" t="n"/>
      <c r="E40" s="6" t="n"/>
      <c r="F40" s="7" t="n"/>
      <c r="G40" s="7" t="n"/>
      <c r="H40" s="7" t="n"/>
      <c r="I40" s="6">
        <f>IF(SUM(J40:U40)=0,"",SUM(J40:U40))</f>
        <v/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7" t="n"/>
      <c r="W40" s="8" t="n"/>
      <c r="X40" s="8" t="n"/>
    </row>
    <row r="41">
      <c r="B41" s="6" t="n"/>
      <c r="C41" s="6" t="n"/>
      <c r="D41" s="6" t="n"/>
      <c r="E41" s="6" t="n"/>
      <c r="F41" s="7" t="n"/>
      <c r="G41" s="7" t="n"/>
      <c r="H41" s="7" t="n"/>
      <c r="I41" s="6">
        <f>IF(SUM(J41:U41)=0,"",SUM(J41:U41))</f>
        <v/>
      </c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7" t="n"/>
      <c r="W41" s="8" t="n"/>
      <c r="X41" s="8" t="n"/>
    </row>
    <row r="42">
      <c r="B42" s="6" t="n"/>
      <c r="C42" s="6" t="n"/>
      <c r="D42" s="6" t="n"/>
      <c r="E42" s="6" t="n"/>
      <c r="F42" s="7" t="n"/>
      <c r="G42" s="7" t="n"/>
      <c r="H42" s="7" t="n"/>
      <c r="I42" s="6">
        <f>IF(SUM(J42:U42)=0,"",SUM(J42:U42))</f>
        <v/>
      </c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7" t="n"/>
      <c r="W42" s="8" t="n"/>
      <c r="X42" s="8" t="n"/>
    </row>
    <row r="43">
      <c r="B43" s="6" t="n"/>
      <c r="C43" s="6" t="n"/>
      <c r="D43" s="6" t="n"/>
      <c r="E43" s="6" t="n"/>
      <c r="F43" s="7" t="n"/>
      <c r="G43" s="7" t="n"/>
      <c r="H43" s="7" t="n"/>
      <c r="I43" s="6">
        <f>IF(SUM(J43:U43)=0,"",SUM(J43:U43))</f>
        <v/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7" t="n"/>
      <c r="W43" s="8" t="n"/>
      <c r="X43" s="8" t="n"/>
    </row>
    <row r="44">
      <c r="B44" s="6" t="n"/>
      <c r="C44" s="6" t="n"/>
      <c r="D44" s="6" t="n"/>
      <c r="E44" s="6" t="n"/>
      <c r="F44" s="7" t="n"/>
      <c r="G44" s="7" t="n"/>
      <c r="H44" s="7" t="n"/>
      <c r="I44" s="6">
        <f>IF(SUM(J44:U44)=0,"",SUM(J44:U44))</f>
        <v/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7" t="n"/>
      <c r="W44" s="8" t="n"/>
      <c r="X44" s="8" t="n"/>
    </row>
    <row r="45">
      <c r="B45" s="6" t="n"/>
      <c r="C45" s="6" t="n"/>
      <c r="D45" s="6" t="n"/>
      <c r="E45" s="6" t="n"/>
      <c r="F45" s="7" t="n"/>
      <c r="G45" s="7" t="n"/>
      <c r="H45" s="7" t="n"/>
      <c r="I45" s="6">
        <f>IF(SUM(J45:U45)=0,"",SUM(J45:U45))</f>
        <v/>
      </c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7" t="n"/>
      <c r="W45" s="8" t="n"/>
      <c r="X45" s="8" t="n"/>
    </row>
    <row r="46">
      <c r="B46" s="6" t="n"/>
      <c r="C46" s="6" t="n"/>
      <c r="D46" s="6" t="n"/>
      <c r="E46" s="6" t="n"/>
      <c r="F46" s="7" t="n"/>
      <c r="G46" s="7" t="n"/>
      <c r="H46" s="7" t="n"/>
      <c r="I46" s="6">
        <f>IF(SUM(J46:U46)=0,"",SUM(J46:U46))</f>
        <v/>
      </c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7" t="n"/>
      <c r="W46" s="8" t="n"/>
      <c r="X46" s="8" t="n"/>
    </row>
    <row r="47">
      <c r="B47" s="6" t="n"/>
      <c r="C47" s="6" t="n"/>
      <c r="D47" s="6" t="n"/>
      <c r="E47" s="6" t="n"/>
      <c r="F47" s="7" t="n"/>
      <c r="G47" s="7" t="n"/>
      <c r="H47" s="7" t="n"/>
      <c r="I47" s="6">
        <f>IF(SUM(J47:U47)=0,"",SUM(J47:U47))</f>
        <v/>
      </c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7" t="n"/>
      <c r="W47" s="8" t="n"/>
      <c r="X47" s="8" t="n"/>
    </row>
    <row r="48">
      <c r="B48" s="6" t="n"/>
      <c r="C48" s="6" t="n"/>
      <c r="D48" s="6" t="n"/>
      <c r="E48" s="6" t="n"/>
      <c r="F48" s="7" t="n"/>
      <c r="G48" s="7" t="n"/>
      <c r="H48" s="7" t="n"/>
      <c r="I48" s="6">
        <f>IF(SUM(J48:U48)=0,"",SUM(J48:U48))</f>
        <v/>
      </c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7" t="n"/>
      <c r="W48" s="8" t="n"/>
      <c r="X48" s="8" t="n"/>
    </row>
    <row r="49">
      <c r="B49" s="6" t="n"/>
      <c r="C49" s="6" t="n"/>
      <c r="D49" s="6" t="n"/>
      <c r="E49" s="6" t="n"/>
      <c r="F49" s="7" t="n"/>
      <c r="G49" s="7" t="n"/>
      <c r="H49" s="7" t="n"/>
      <c r="I49" s="6">
        <f>IF(SUM(J49:U49)=0,"",SUM(J49:U49))</f>
        <v/>
      </c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7" t="n"/>
      <c r="W49" s="8" t="n"/>
      <c r="X49" s="8" t="n"/>
    </row>
    <row r="50">
      <c r="B50" s="6" t="n"/>
      <c r="C50" s="6" t="n"/>
      <c r="D50" s="6" t="n"/>
      <c r="E50" s="6" t="n"/>
      <c r="F50" s="7" t="n"/>
      <c r="G50" s="7" t="n"/>
      <c r="H50" s="7" t="n"/>
      <c r="I50" s="6">
        <f>IF(SUM(J50:U50)=0,"",SUM(J50:U50))</f>
        <v/>
      </c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7" t="n"/>
      <c r="W50" s="8" t="n"/>
      <c r="X50" s="8" t="n"/>
    </row>
    <row r="51">
      <c r="B51" s="6" t="n"/>
      <c r="C51" s="6" t="n"/>
      <c r="D51" s="6" t="n"/>
      <c r="E51" s="6" t="n"/>
      <c r="F51" s="7" t="n"/>
      <c r="G51" s="7" t="n"/>
      <c r="H51" s="7" t="n"/>
      <c r="I51" s="6">
        <f>IF(SUM(J51:U51)=0,"",SUM(J51:U51))</f>
        <v/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7" t="n"/>
      <c r="W51" s="8" t="n"/>
      <c r="X51" s="8" t="n"/>
    </row>
    <row r="52">
      <c r="B52" s="6" t="n"/>
      <c r="C52" s="6" t="n"/>
      <c r="D52" s="6" t="n"/>
      <c r="E52" s="6" t="n"/>
      <c r="F52" s="7" t="n"/>
      <c r="G52" s="7" t="n"/>
      <c r="H52" s="7" t="n"/>
      <c r="I52" s="6">
        <f>IF(SUM(J52:U52)=0,"",SUM(J52:U52))</f>
        <v/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7" t="n"/>
      <c r="W52" s="8" t="n"/>
      <c r="X52" s="8" t="n"/>
    </row>
    <row r="53">
      <c r="B53" s="6" t="n"/>
      <c r="C53" s="6" t="n"/>
      <c r="D53" s="6" t="n"/>
      <c r="E53" s="6" t="n"/>
      <c r="F53" s="7" t="n"/>
      <c r="G53" s="7" t="n"/>
      <c r="H53" s="7" t="n"/>
      <c r="I53" s="6">
        <f>IF(SUM(J53:U53)=0,"",SUM(J53:U53))</f>
        <v/>
      </c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7" t="n"/>
      <c r="W53" s="8" t="n"/>
      <c r="X53" s="8" t="n"/>
    </row>
    <row r="54">
      <c r="B54" s="6" t="n"/>
      <c r="C54" s="6" t="n"/>
      <c r="D54" s="6" t="n"/>
      <c r="E54" s="6" t="n"/>
      <c r="F54" s="7" t="n"/>
      <c r="G54" s="7" t="n"/>
      <c r="H54" s="7" t="n"/>
      <c r="I54" s="6">
        <f>IF(SUM(J54:U54)=0,"",SUM(J54:U54))</f>
        <v/>
      </c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7" t="n"/>
      <c r="W54" s="8" t="n"/>
      <c r="X54" s="8" t="n"/>
    </row>
    <row r="55">
      <c r="B55" s="6" t="n"/>
      <c r="C55" s="6" t="n"/>
      <c r="D55" s="6" t="n"/>
      <c r="E55" s="6" t="n"/>
      <c r="F55" s="7" t="n"/>
      <c r="G55" s="7" t="n"/>
      <c r="H55" s="7" t="n"/>
      <c r="I55" s="6">
        <f>IF(SUM(J55:U55)=0,"",SUM(J55:U55))</f>
        <v/>
      </c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7" t="n"/>
      <c r="W55" s="8" t="n"/>
      <c r="X55" s="8" t="n"/>
    </row>
  </sheetData>
  <mergeCells count="11">
    <mergeCell ref="X18:X19"/>
    <mergeCell ref="W18:W19"/>
    <mergeCell ref="D18:D19"/>
    <mergeCell ref="B18:B19"/>
    <mergeCell ref="E18:E19"/>
    <mergeCell ref="J18:U18"/>
    <mergeCell ref="C18:C19"/>
    <mergeCell ref="G18:G19"/>
    <mergeCell ref="V18:V19"/>
    <mergeCell ref="H18:H19"/>
    <mergeCell ref="F18:F19"/>
  </mergeCells>
  <dataValidations count="1">
    <dataValidation sqref="D21:D220" showDropDown="0" showInputMessage="0" showErrorMessage="1" allowBlank="1" errorTitle="드롭다운 값 확인" error="배출계수 DB 기준 드롭다운 목록에서 선택해 주세요." type="list">
      <formula1>DD_PURCHASE_GROUP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U56"/>
  <sheetViews>
    <sheetView workbookViewId="0">
      <selection activeCell="B17" sqref="B17"/>
    </sheetView>
  </sheetViews>
  <sheetFormatPr baseColWidth="8" defaultRowHeight="14.25"/>
  <cols>
    <col width="10" customWidth="1" style="71" min="2" max="2"/>
    <col width="16" customWidth="1" style="71" min="3" max="3"/>
    <col width="18" customWidth="1" style="71" min="4" max="4"/>
    <col width="10" customWidth="1" style="71" min="5" max="5"/>
    <col width="16" customWidth="1" style="71" min="6" max="6"/>
    <col width="8" customWidth="1" style="71" min="7" max="18"/>
    <col width="18" customWidth="1" style="71" min="19" max="19"/>
    <col width="20" customWidth="1" style="71" min="20" max="20"/>
    <col width="16" customWidth="1" style="71" min="21" max="21"/>
  </cols>
  <sheetData>
    <row r="2" ht="20.25" customHeight="1" s="71">
      <c r="B2" s="1" t="inlineStr">
        <is>
          <t>C3. 연료 및 에너지 관련 활동</t>
        </is>
      </c>
    </row>
    <row r="4">
      <c r="B4" s="2" t="inlineStr">
        <is>
          <t>카테고리 정의</t>
        </is>
      </c>
    </row>
    <row r="5">
      <c r="B5" s="11" t="inlineStr">
        <is>
          <t>- Scope 1, Scope 2에 포함되지 않은 연료 및 에너지의 업스트림 배출량과 송전·배전 손실에서 발생하는 온실가스 배출량</t>
        </is>
      </c>
    </row>
    <row r="6">
      <c r="B6" s="11" t="inlineStr">
        <is>
          <t>- 직접 연소 배출량 또는 전력 사용 배출량 자체가 아니라 연료 생산·운송 및 전력 손실 등 간접 배출량에 해당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Σ(연료/에너지 사용량 × 연료/에너지별 업스트림 또는 손실 배출계수)</t>
        </is>
      </c>
    </row>
    <row r="11">
      <c r="B11" s="22" t="inlineStr">
        <is>
          <t xml:space="preserve"> - 온실가스 배출계수는 환경부-환경성적표지(EPD) 평가계수, 국립환경과학원_Scope3 가이드라인를 활용</t>
        </is>
      </c>
    </row>
    <row r="12">
      <c r="B12" s="11" t="inlineStr">
        <is>
          <t>2) 원지출금액이 아니라 실제 사용량을 기준으로 작성</t>
        </is>
      </c>
    </row>
    <row r="13">
      <c r="B13" s="11" t="inlineStr">
        <is>
          <t>3) 연료/에너지명과 단위는 실제 사용한 항목 기준으로 선택</t>
        </is>
      </c>
    </row>
    <row r="14">
      <c r="B14" s="11" t="inlineStr">
        <is>
          <t>4) 동일한 연료라도 사업장, 단위, 사용 목적이 다르면 행을 나누어 작성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5" customHeight="1" s="71">
      <c r="B19" s="60" t="inlineStr">
        <is>
          <t>*국가</t>
        </is>
      </c>
      <c r="C19" s="60" t="inlineStr">
        <is>
          <t>*사업장</t>
        </is>
      </c>
      <c r="D19" s="60" t="inlineStr">
        <is>
          <t>*연료/에너지명</t>
        </is>
      </c>
      <c r="E19" s="60" t="inlineStr">
        <is>
          <t>*단위</t>
        </is>
      </c>
      <c r="F19" s="62" t="inlineStr">
        <is>
          <t>연간 입력</t>
        </is>
      </c>
      <c r="G19" s="62" t="inlineStr">
        <is>
          <t>월별 사용량</t>
        </is>
      </c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4" t="n"/>
      <c r="S19" s="60" t="inlineStr">
        <is>
          <t>비고(선택)</t>
        </is>
      </c>
      <c r="T19" s="60" t="inlineStr">
        <is>
          <t>배출계수(tCO2e/단위)</t>
        </is>
      </c>
      <c r="U19" s="60" t="inlineStr">
        <is>
          <t>배출량(tCO2e)</t>
        </is>
      </c>
    </row>
    <row r="20" ht="15.75" customHeight="1" s="71">
      <c r="B20" s="61" t="n"/>
      <c r="C20" s="61" t="n"/>
      <c r="D20" s="61" t="n"/>
      <c r="E20" s="61" t="n"/>
      <c r="F20" s="60" t="inlineStr">
        <is>
          <t>연간사용량</t>
        </is>
      </c>
      <c r="G20" s="60" t="inlineStr">
        <is>
          <t>1월</t>
        </is>
      </c>
      <c r="H20" s="60" t="inlineStr">
        <is>
          <t>2월</t>
        </is>
      </c>
      <c r="I20" s="60" t="inlineStr">
        <is>
          <t>3월</t>
        </is>
      </c>
      <c r="J20" s="60" t="inlineStr">
        <is>
          <t>4월</t>
        </is>
      </c>
      <c r="K20" s="60" t="inlineStr">
        <is>
          <t>5월</t>
        </is>
      </c>
      <c r="L20" s="60" t="inlineStr">
        <is>
          <t>6월</t>
        </is>
      </c>
      <c r="M20" s="60" t="inlineStr">
        <is>
          <t>7월</t>
        </is>
      </c>
      <c r="N20" s="60" t="inlineStr">
        <is>
          <t>8월</t>
        </is>
      </c>
      <c r="O20" s="60" t="inlineStr">
        <is>
          <t>9월</t>
        </is>
      </c>
      <c r="P20" s="60" t="inlineStr">
        <is>
          <t>10월</t>
        </is>
      </c>
      <c r="Q20" s="60" t="inlineStr">
        <is>
          <t>11월</t>
        </is>
      </c>
      <c r="R20" s="60" t="inlineStr">
        <is>
          <t>12월</t>
        </is>
      </c>
      <c r="S20" s="61" t="n"/>
      <c r="T20" s="61" t="n"/>
      <c r="U20" s="61" t="n"/>
    </row>
    <row r="21">
      <c r="B21" s="3" t="inlineStr">
        <is>
          <t>대한민국</t>
        </is>
      </c>
      <c r="C21" s="3" t="inlineStr">
        <is>
          <t>본사</t>
        </is>
      </c>
      <c r="D21" s="3" t="inlineStr">
        <is>
          <t>전력</t>
        </is>
      </c>
      <c r="E21" s="3" t="inlineStr">
        <is>
          <t>kWh</t>
        </is>
      </c>
      <c r="F21" s="3">
        <f>IF(SUM(G21:R21)=0,"",SUM(G21:R21))</f>
        <v/>
      </c>
      <c r="G21" s="3" t="n">
        <v>10000</v>
      </c>
      <c r="H21" s="3" t="n">
        <v>10000</v>
      </c>
      <c r="I21" s="3" t="n">
        <v>10000</v>
      </c>
      <c r="J21" s="3" t="n">
        <v>10000</v>
      </c>
      <c r="K21" s="3" t="n">
        <v>10000</v>
      </c>
      <c r="L21" s="3" t="n">
        <v>10000</v>
      </c>
      <c r="M21" s="3" t="n">
        <v>10000</v>
      </c>
      <c r="N21" s="3" t="n">
        <v>10000</v>
      </c>
      <c r="O21" s="3" t="n">
        <v>10000</v>
      </c>
      <c r="P21" s="3" t="n">
        <v>10000</v>
      </c>
      <c r="Q21" s="3" t="n">
        <v>10000</v>
      </c>
      <c r="R21" s="3" t="n">
        <v>10000</v>
      </c>
      <c r="S21" s="4" t="inlineStr">
        <is>
          <t>전력 사용량</t>
        </is>
      </c>
      <c r="T21" s="5" t="n"/>
      <c r="U21" s="5" t="n"/>
    </row>
    <row r="22">
      <c r="B22" s="6" t="n"/>
      <c r="C22" s="6" t="n"/>
      <c r="D22" s="6" t="n"/>
      <c r="E22" s="6" t="n"/>
      <c r="F22" s="6">
        <f>IF(SUM(G22:R22)=0,"",SUM(G22:R22))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7" t="n"/>
      <c r="T22" s="8" t="n"/>
      <c r="U22" s="8" t="n"/>
    </row>
    <row r="23">
      <c r="B23" s="6" t="n"/>
      <c r="C23" s="6" t="n"/>
      <c r="D23" s="6" t="n"/>
      <c r="E23" s="6" t="n"/>
      <c r="F23" s="6">
        <f>IF(SUM(G23:R23)=0,"",SUM(G23:R23))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7" t="n"/>
      <c r="T23" s="8" t="n"/>
      <c r="U23" s="8" t="n"/>
    </row>
    <row r="24">
      <c r="B24" s="6" t="n"/>
      <c r="C24" s="6" t="n"/>
      <c r="D24" s="6" t="n"/>
      <c r="E24" s="6" t="n"/>
      <c r="F24" s="6">
        <f>IF(SUM(G24:R24)=0,"",SUM(G24:R24))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7" t="n"/>
      <c r="T24" s="8" t="n"/>
      <c r="U24" s="8" t="n"/>
    </row>
    <row r="25">
      <c r="B25" s="6" t="n"/>
      <c r="C25" s="6" t="n"/>
      <c r="D25" s="6" t="n"/>
      <c r="E25" s="6" t="n"/>
      <c r="F25" s="6">
        <f>IF(SUM(G25:R25)=0,"",SUM(G25:R25))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7" t="n"/>
      <c r="T25" s="8" t="n"/>
      <c r="U25" s="8" t="n"/>
    </row>
    <row r="26">
      <c r="B26" s="6" t="n"/>
      <c r="C26" s="6" t="n"/>
      <c r="D26" s="6" t="n"/>
      <c r="E26" s="6" t="n"/>
      <c r="F26" s="6">
        <f>IF(SUM(G26:R26)=0,"",SUM(G26:R26))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7" t="n"/>
      <c r="T26" s="8" t="n"/>
      <c r="U26" s="8" t="n"/>
    </row>
    <row r="27">
      <c r="B27" s="6" t="n"/>
      <c r="C27" s="6" t="n"/>
      <c r="D27" s="6" t="n"/>
      <c r="E27" s="6" t="n"/>
      <c r="F27" s="6">
        <f>IF(SUM(G27:R27)=0,"",SUM(G27:R27))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7" t="n"/>
      <c r="T27" s="8" t="n"/>
      <c r="U27" s="8" t="n"/>
    </row>
    <row r="28">
      <c r="B28" s="6" t="n"/>
      <c r="C28" s="6" t="n"/>
      <c r="D28" s="6" t="n"/>
      <c r="E28" s="6" t="n"/>
      <c r="F28" s="6">
        <f>IF(SUM(G28:R28)=0,"",SUM(G28:R28))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7" t="n"/>
      <c r="T28" s="8" t="n"/>
      <c r="U28" s="8" t="n"/>
    </row>
    <row r="29">
      <c r="B29" s="6" t="n"/>
      <c r="C29" s="6" t="n"/>
      <c r="D29" s="6" t="n"/>
      <c r="E29" s="6" t="n"/>
      <c r="F29" s="6">
        <f>IF(SUM(G29:R29)=0,"",SUM(G29:R29))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7" t="n"/>
      <c r="T29" s="8" t="n"/>
      <c r="U29" s="8" t="n"/>
    </row>
    <row r="30">
      <c r="B30" s="6" t="n"/>
      <c r="C30" s="6" t="n"/>
      <c r="D30" s="6" t="n"/>
      <c r="E30" s="6" t="n"/>
      <c r="F30" s="6">
        <f>IF(SUM(G30:R30)=0,"",SUM(G30:R30))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7" t="n"/>
      <c r="T30" s="8" t="n"/>
      <c r="U30" s="8" t="n"/>
    </row>
    <row r="31">
      <c r="B31" s="6" t="n"/>
      <c r="C31" s="6" t="n"/>
      <c r="D31" s="6" t="n"/>
      <c r="E31" s="6" t="n"/>
      <c r="F31" s="6">
        <f>IF(SUM(G31:R31)=0,"",SUM(G31:R31))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7" t="n"/>
      <c r="T31" s="8" t="n"/>
      <c r="U31" s="8" t="n"/>
    </row>
    <row r="32">
      <c r="B32" s="6" t="n"/>
      <c r="C32" s="6" t="n"/>
      <c r="D32" s="6" t="n"/>
      <c r="E32" s="6" t="n"/>
      <c r="F32" s="6">
        <f>IF(SUM(G32:R32)=0,"",SUM(G32:R32))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7" t="n"/>
      <c r="T32" s="8" t="n"/>
      <c r="U32" s="8" t="n"/>
    </row>
    <row r="33">
      <c r="B33" s="6" t="n"/>
      <c r="C33" s="6" t="n"/>
      <c r="D33" s="6" t="n"/>
      <c r="E33" s="6" t="n"/>
      <c r="F33" s="6">
        <f>IF(SUM(G33:R33)=0,"",SUM(G33:R33))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7" t="n"/>
      <c r="T33" s="8" t="n"/>
      <c r="U33" s="8" t="n"/>
    </row>
    <row r="34">
      <c r="B34" s="6" t="n"/>
      <c r="C34" s="6" t="n"/>
      <c r="D34" s="6" t="n"/>
      <c r="E34" s="6" t="n"/>
      <c r="F34" s="6">
        <f>IF(SUM(G34:R34)=0,"",SUM(G34:R34))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7" t="n"/>
      <c r="T34" s="8" t="n"/>
      <c r="U34" s="8" t="n"/>
    </row>
    <row r="35">
      <c r="B35" s="6" t="n"/>
      <c r="C35" s="6" t="n"/>
      <c r="D35" s="6" t="n"/>
      <c r="E35" s="6" t="n"/>
      <c r="F35" s="6">
        <f>IF(SUM(G35:R35)=0,"",SUM(G35:R35))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7" t="n"/>
      <c r="T35" s="8" t="n"/>
      <c r="U35" s="8" t="n"/>
    </row>
    <row r="36">
      <c r="B36" s="6" t="n"/>
      <c r="C36" s="6" t="n"/>
      <c r="D36" s="6" t="n"/>
      <c r="E36" s="6" t="n"/>
      <c r="F36" s="6">
        <f>IF(SUM(G36:R36)=0,"",SUM(G36:R36))</f>
        <v/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7" t="n"/>
      <c r="T36" s="8" t="n"/>
      <c r="U36" s="8" t="n"/>
    </row>
    <row r="37">
      <c r="B37" s="6" t="n"/>
      <c r="C37" s="6" t="n"/>
      <c r="D37" s="6" t="n"/>
      <c r="E37" s="6" t="n"/>
      <c r="F37" s="6">
        <f>IF(SUM(G37:R37)=0,"",SUM(G37:R37))</f>
        <v/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7" t="n"/>
      <c r="T37" s="8" t="n"/>
      <c r="U37" s="8" t="n"/>
    </row>
    <row r="38">
      <c r="B38" s="6" t="n"/>
      <c r="C38" s="6" t="n"/>
      <c r="D38" s="6" t="n"/>
      <c r="E38" s="6" t="n"/>
      <c r="F38" s="6">
        <f>IF(SUM(G38:R38)=0,"",SUM(G38:R38))</f>
        <v/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7" t="n"/>
      <c r="T38" s="8" t="n"/>
      <c r="U38" s="8" t="n"/>
    </row>
    <row r="39">
      <c r="B39" s="6" t="n"/>
      <c r="C39" s="6" t="n"/>
      <c r="D39" s="6" t="n"/>
      <c r="E39" s="6" t="n"/>
      <c r="F39" s="6">
        <f>IF(SUM(G39:R39)=0,"",SUM(G39:R39))</f>
        <v/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7" t="n"/>
      <c r="T39" s="8" t="n"/>
      <c r="U39" s="8" t="n"/>
    </row>
    <row r="40">
      <c r="B40" s="6" t="n"/>
      <c r="C40" s="6" t="n"/>
      <c r="D40" s="6" t="n"/>
      <c r="E40" s="6" t="n"/>
      <c r="F40" s="6">
        <f>IF(SUM(G40:R40)=0,"",SUM(G40:R40))</f>
        <v/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7" t="n"/>
      <c r="T40" s="8" t="n"/>
      <c r="U40" s="8" t="n"/>
    </row>
    <row r="41">
      <c r="B41" s="6" t="n"/>
      <c r="C41" s="6" t="n"/>
      <c r="D41" s="6" t="n"/>
      <c r="E41" s="6" t="n"/>
      <c r="F41" s="6">
        <f>IF(SUM(G41:R41)=0,"",SUM(G41:R41))</f>
        <v/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7" t="n"/>
      <c r="T41" s="8" t="n"/>
      <c r="U41" s="8" t="n"/>
    </row>
    <row r="42">
      <c r="B42" s="6" t="n"/>
      <c r="C42" s="6" t="n"/>
      <c r="D42" s="6" t="n"/>
      <c r="E42" s="6" t="n"/>
      <c r="F42" s="6">
        <f>IF(SUM(G42:R42)=0,"",SUM(G42:R42))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7" t="n"/>
      <c r="T42" s="8" t="n"/>
      <c r="U42" s="8" t="n"/>
    </row>
    <row r="43">
      <c r="B43" s="6" t="n"/>
      <c r="C43" s="6" t="n"/>
      <c r="D43" s="6" t="n"/>
      <c r="E43" s="6" t="n"/>
      <c r="F43" s="6">
        <f>IF(SUM(G43:R43)=0,"",SUM(G43:R43))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7" t="n"/>
      <c r="T43" s="8" t="n"/>
      <c r="U43" s="8" t="n"/>
    </row>
    <row r="44">
      <c r="B44" s="6" t="n"/>
      <c r="C44" s="6" t="n"/>
      <c r="D44" s="6" t="n"/>
      <c r="E44" s="6" t="n"/>
      <c r="F44" s="6">
        <f>IF(SUM(G44:R44)=0,"",SUM(G44:R44))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7" t="n"/>
      <c r="T44" s="8" t="n"/>
      <c r="U44" s="8" t="n"/>
    </row>
    <row r="45">
      <c r="B45" s="6" t="n"/>
      <c r="C45" s="6" t="n"/>
      <c r="D45" s="6" t="n"/>
      <c r="E45" s="6" t="n"/>
      <c r="F45" s="6">
        <f>IF(SUM(G45:R45)=0,"",SUM(G45:R45))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7" t="n"/>
      <c r="T45" s="8" t="n"/>
      <c r="U45" s="8" t="n"/>
    </row>
    <row r="46">
      <c r="B46" s="6" t="n"/>
      <c r="C46" s="6" t="n"/>
      <c r="D46" s="6" t="n"/>
      <c r="E46" s="6" t="n"/>
      <c r="F46" s="6">
        <f>IF(SUM(G46:R46)=0,"",SUM(G46:R46))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7" t="n"/>
      <c r="T46" s="8" t="n"/>
      <c r="U46" s="8" t="n"/>
    </row>
    <row r="47">
      <c r="B47" s="6" t="n"/>
      <c r="C47" s="6" t="n"/>
      <c r="D47" s="6" t="n"/>
      <c r="E47" s="6" t="n"/>
      <c r="F47" s="6">
        <f>IF(SUM(G47:R47)=0,"",SUM(G47:R47))</f>
        <v/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7" t="n"/>
      <c r="T47" s="8" t="n"/>
      <c r="U47" s="8" t="n"/>
    </row>
    <row r="48">
      <c r="B48" s="6" t="n"/>
      <c r="C48" s="6" t="n"/>
      <c r="D48" s="6" t="n"/>
      <c r="E48" s="6" t="n"/>
      <c r="F48" s="6">
        <f>IF(SUM(G48:R48)=0,"",SUM(G48:R48))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7" t="n"/>
      <c r="T48" s="8" t="n"/>
      <c r="U48" s="8" t="n"/>
    </row>
    <row r="49">
      <c r="B49" s="6" t="n"/>
      <c r="C49" s="6" t="n"/>
      <c r="D49" s="6" t="n"/>
      <c r="E49" s="6" t="n"/>
      <c r="F49" s="6">
        <f>IF(SUM(G49:R49)=0,"",SUM(G49:R49))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7" t="n"/>
      <c r="T49" s="8" t="n"/>
      <c r="U49" s="8" t="n"/>
    </row>
    <row r="50">
      <c r="B50" s="6" t="n"/>
      <c r="C50" s="6" t="n"/>
      <c r="D50" s="6" t="n"/>
      <c r="E50" s="6" t="n"/>
      <c r="F50" s="6">
        <f>IF(SUM(G50:R50)=0,"",SUM(G50:R50))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7" t="n"/>
      <c r="T50" s="8" t="n"/>
      <c r="U50" s="8" t="n"/>
    </row>
    <row r="51">
      <c r="B51" s="6" t="n"/>
      <c r="C51" s="6" t="n"/>
      <c r="D51" s="6" t="n"/>
      <c r="E51" s="6" t="n"/>
      <c r="F51" s="6">
        <f>IF(SUM(G51:R51)=0,"",SUM(G51:R51))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7" t="n"/>
      <c r="T51" s="8" t="n"/>
      <c r="U51" s="8" t="n"/>
    </row>
    <row r="52">
      <c r="B52" s="6" t="n"/>
      <c r="C52" s="6" t="n"/>
      <c r="D52" s="6" t="n"/>
      <c r="E52" s="6" t="n"/>
      <c r="F52" s="6">
        <f>IF(SUM(G52:R52)=0,"",SUM(G52:R52))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7" t="n"/>
      <c r="T52" s="8" t="n"/>
      <c r="U52" s="8" t="n"/>
    </row>
    <row r="53">
      <c r="B53" s="6" t="n"/>
      <c r="C53" s="6" t="n"/>
      <c r="D53" s="6" t="n"/>
      <c r="E53" s="6" t="n"/>
      <c r="F53" s="6">
        <f>IF(SUM(G53:R53)=0,"",SUM(G53:R53))</f>
        <v/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7" t="n"/>
      <c r="T53" s="8" t="n"/>
      <c r="U53" s="8" t="n"/>
    </row>
    <row r="54">
      <c r="B54" s="6" t="n"/>
      <c r="C54" s="6" t="n"/>
      <c r="D54" s="6" t="n"/>
      <c r="E54" s="6" t="n"/>
      <c r="F54" s="6">
        <f>IF(SUM(G54:R54)=0,"",SUM(G54:R54))</f>
        <v/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7" t="n"/>
      <c r="T54" s="8" t="n"/>
      <c r="U54" s="8" t="n"/>
    </row>
    <row r="55">
      <c r="B55" s="6" t="n"/>
      <c r="C55" s="6" t="n"/>
      <c r="D55" s="6" t="n"/>
      <c r="E55" s="6" t="n"/>
      <c r="F55" s="6">
        <f>IF(SUM(G55:R55)=0,"",SUM(G55:R55))</f>
        <v/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7" t="n"/>
      <c r="T55" s="8" t="n"/>
      <c r="U55" s="8" t="n"/>
    </row>
    <row r="56">
      <c r="B56" s="6" t="n"/>
      <c r="C56" s="6" t="n"/>
      <c r="D56" s="6" t="n"/>
      <c r="E56" s="6" t="n"/>
      <c r="F56" s="6">
        <f>IF(SUM(G56:R56)=0,"",SUM(G56:R56))</f>
        <v/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7" t="n"/>
      <c r="T56" s="8" t="n"/>
      <c r="U56" s="8" t="n"/>
    </row>
  </sheetData>
  <mergeCells count="8">
    <mergeCell ref="U19:U20"/>
    <mergeCell ref="S19:S20"/>
    <mergeCell ref="D19:D20"/>
    <mergeCell ref="G19:R19"/>
    <mergeCell ref="E19:E20"/>
    <mergeCell ref="T19:T20"/>
    <mergeCell ref="B19:B20"/>
    <mergeCell ref="C19:C20"/>
  </mergeCells>
  <dataValidations count="2">
    <dataValidation sqref="D22:D221" showDropDown="0" showInputMessage="0" showErrorMessage="1" allowBlank="1" errorTitle="드롭다운 값 확인" error="배출계수 DB 기준 드롭다운 목록에서 선택해 주세요." type="list">
      <formula1>DD_ENERGY</formula1>
    </dataValidation>
    <dataValidation sqref="E22:E221" showDropDown="0" showInputMessage="0" showErrorMessage="1" allowBlank="1" errorTitle="드롭다운 값 확인" error="배출계수 DB 기준 드롭다운 목록에서 선택해 주세요." type="list">
      <formula1>DD_ENERGY_UNIT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Y56"/>
  <sheetViews>
    <sheetView workbookViewId="0">
      <selection activeCell="D22" sqref="D22"/>
    </sheetView>
  </sheetViews>
  <sheetFormatPr baseColWidth="8" defaultRowHeight="14.25"/>
  <cols>
    <col width="10" customWidth="1" style="71" min="2" max="2"/>
    <col width="16" customWidth="1" style="71" min="3" max="3"/>
    <col width="14.25" customWidth="1" style="71" min="4" max="4"/>
    <col width="20" customWidth="1" style="71" min="5" max="5"/>
    <col width="10" customWidth="1" style="71" min="6" max="6"/>
    <col width="22" customWidth="1" style="71" min="7" max="8"/>
    <col width="18.75" customWidth="1" style="71" min="9" max="9"/>
    <col width="16" customWidth="1" style="71" min="10" max="10"/>
    <col width="8" customWidth="1" style="71" min="11" max="22"/>
    <col width="18" customWidth="1" style="71" min="23" max="23"/>
    <col width="22" customWidth="1" style="71" min="24" max="24"/>
    <col width="16" customWidth="1" style="71" min="25" max="25"/>
  </cols>
  <sheetData>
    <row r="2" ht="20.25" customHeight="1" s="71">
      <c r="B2" s="1" t="inlineStr">
        <is>
          <t>C4. 업스트림 운송·배송 1안. 출발지·도착지 기반</t>
        </is>
      </c>
    </row>
    <row r="4">
      <c r="B4" s="2" t="inlineStr">
        <is>
          <t>카테고리 정의</t>
        </is>
      </c>
    </row>
    <row r="5">
      <c r="B5" s="11" t="inlineStr">
        <is>
          <t>- 보고년도에 회사가 구매한 원재료, 제품, 자재 등의 운송·배송 과정에서 발생하는 온실가스 배출량</t>
        </is>
      </c>
    </row>
    <row r="6">
      <c r="B6" s="11" t="inlineStr">
        <is>
          <t>- 출발지와 도착지 또는 운송거리를 알고 있는 경우 작성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Σ(화물중량 × 운송거리 × 운송수단별 배출계수)</t>
        </is>
      </c>
    </row>
    <row r="11">
      <c r="B11" s="22" t="inlineStr">
        <is>
          <t xml:space="preserve"> - 온실가스 배출계수는 환경부-환경성적표지(EPD) 평가계수를 활용</t>
        </is>
      </c>
    </row>
    <row r="12">
      <c r="B12" s="11" t="inlineStr">
        <is>
          <t>2) 운송수단은 도로, 해상, 항공, 철도 중 실제 주요 운송수단을 선택</t>
        </is>
      </c>
    </row>
    <row r="13">
      <c r="B13" s="11" t="inlineStr">
        <is>
          <t>3) 운송수단을 모르는 경우 출발지·도착지를 기준으로 AI가 운송수단 추정</t>
        </is>
      </c>
    </row>
    <row r="14">
      <c r="B14" s="11" t="inlineStr">
        <is>
          <t>4) 운송거리를 모르는 경우 출발지·도착지를 기준으로 AI가 거리 추정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5" customHeight="1" s="71">
      <c r="B19" s="60" t="inlineStr">
        <is>
          <t>*국가</t>
        </is>
      </c>
      <c r="C19" s="60" t="inlineStr">
        <is>
          <t>*사업장</t>
        </is>
      </c>
      <c r="D19" s="60" t="inlineStr">
        <is>
          <t>*운송수단(선택)</t>
        </is>
      </c>
      <c r="E19" s="60" t="inlineStr">
        <is>
          <t>*자재명/품목명</t>
        </is>
      </c>
      <c r="F19" s="60" t="inlineStr">
        <is>
          <t>*중량단위</t>
        </is>
      </c>
      <c r="G19" s="65" t="inlineStr">
        <is>
          <t>*출도착지</t>
        </is>
      </c>
      <c r="H19" s="66" t="n"/>
      <c r="I19" s="60" t="inlineStr">
        <is>
          <t>운송거리(km)(선택)</t>
        </is>
      </c>
      <c r="J19" s="62" t="inlineStr">
        <is>
          <t>연간 입력</t>
        </is>
      </c>
      <c r="K19" s="62" t="inlineStr">
        <is>
          <t>월별 운송량</t>
        </is>
      </c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4" t="n"/>
      <c r="W19" s="60" t="inlineStr">
        <is>
          <t>비고(선택)</t>
        </is>
      </c>
      <c r="X19" s="60" t="inlineStr">
        <is>
          <t>배출계수(tCO2e/ton-km)</t>
        </is>
      </c>
      <c r="Y19" s="60" t="inlineStr">
        <is>
          <t>배출량(tCO2e)</t>
        </is>
      </c>
    </row>
    <row r="20" ht="14.25" customHeight="1" s="71">
      <c r="B20" s="61" t="n"/>
      <c r="C20" s="61" t="n"/>
      <c r="D20" s="61" t="n"/>
      <c r="E20" s="61" t="n"/>
      <c r="F20" s="61" t="n"/>
      <c r="G20" s="21" t="inlineStr">
        <is>
          <t>*출발지</t>
        </is>
      </c>
      <c r="H20" s="21" t="inlineStr">
        <is>
          <t>*도착지</t>
        </is>
      </c>
      <c r="I20" s="61" t="n"/>
      <c r="J20" s="60" t="inlineStr">
        <is>
          <t>연간운송량</t>
        </is>
      </c>
      <c r="K20" s="60" t="inlineStr">
        <is>
          <t>1월</t>
        </is>
      </c>
      <c r="L20" s="60" t="inlineStr">
        <is>
          <t>2월</t>
        </is>
      </c>
      <c r="M20" s="60" t="inlineStr">
        <is>
          <t>3월</t>
        </is>
      </c>
      <c r="N20" s="60" t="inlineStr">
        <is>
          <t>4월</t>
        </is>
      </c>
      <c r="O20" s="60" t="inlineStr">
        <is>
          <t>5월</t>
        </is>
      </c>
      <c r="P20" s="60" t="inlineStr">
        <is>
          <t>6월</t>
        </is>
      </c>
      <c r="Q20" s="60" t="inlineStr">
        <is>
          <t>7월</t>
        </is>
      </c>
      <c r="R20" s="60" t="inlineStr">
        <is>
          <t>8월</t>
        </is>
      </c>
      <c r="S20" s="60" t="inlineStr">
        <is>
          <t>9월</t>
        </is>
      </c>
      <c r="T20" s="60" t="inlineStr">
        <is>
          <t>10월</t>
        </is>
      </c>
      <c r="U20" s="60" t="inlineStr">
        <is>
          <t>11월</t>
        </is>
      </c>
      <c r="V20" s="60" t="inlineStr">
        <is>
          <t>12월</t>
        </is>
      </c>
      <c r="W20" s="61" t="n"/>
      <c r="X20" s="61" t="n"/>
      <c r="Y20" s="61" t="n"/>
    </row>
    <row r="21" ht="28.5" customHeight="1" s="71">
      <c r="B21" s="3" t="inlineStr">
        <is>
          <t>대한민국</t>
        </is>
      </c>
      <c r="C21" s="3" t="inlineStr">
        <is>
          <t>평택공장</t>
        </is>
      </c>
      <c r="D21" s="4" t="inlineStr">
        <is>
          <t>도로 운송 (일반화물트럭)</t>
        </is>
      </c>
      <c r="E21" s="3" t="inlineStr">
        <is>
          <t>원재료 A</t>
        </is>
      </c>
      <c r="F21" s="3" t="inlineStr">
        <is>
          <t>ton</t>
        </is>
      </c>
      <c r="G21" s="23" t="inlineStr">
        <is>
          <t>부산항</t>
        </is>
      </c>
      <c r="H21" s="23" t="inlineStr">
        <is>
          <t>평택공장</t>
        </is>
      </c>
      <c r="I21" s="4" t="n">
        <v>380</v>
      </c>
      <c r="J21" s="3">
        <f>IF(SUM(K21:V21)=0,"",SUM(K21:V21))</f>
        <v/>
      </c>
      <c r="K21" s="3" t="n">
        <v>20</v>
      </c>
      <c r="L21" s="3" t="n">
        <v>20</v>
      </c>
      <c r="M21" s="3" t="n">
        <v>20</v>
      </c>
      <c r="N21" s="3" t="n">
        <v>20</v>
      </c>
      <c r="O21" s="3" t="n">
        <v>20</v>
      </c>
      <c r="P21" s="3" t="n">
        <v>20</v>
      </c>
      <c r="Q21" s="3" t="n">
        <v>20</v>
      </c>
      <c r="R21" s="3" t="n">
        <v>20</v>
      </c>
      <c r="S21" s="3" t="n">
        <v>20</v>
      </c>
      <c r="T21" s="3" t="n">
        <v>20</v>
      </c>
      <c r="U21" s="3" t="n">
        <v>20</v>
      </c>
      <c r="V21" s="3" t="n">
        <v>20</v>
      </c>
      <c r="W21" s="4" t="inlineStr">
        <is>
          <t>입고 물류</t>
        </is>
      </c>
      <c r="X21" s="5" t="n"/>
      <c r="Y21" s="5" t="n"/>
    </row>
    <row r="22">
      <c r="B22" s="6" t="n"/>
      <c r="C22" s="6" t="n"/>
      <c r="D22" s="7" t="n"/>
      <c r="E22" s="6" t="n"/>
      <c r="F22" s="6" t="n"/>
      <c r="G22" s="24" t="n"/>
      <c r="H22" s="24" t="n"/>
      <c r="I22" s="7" t="n"/>
      <c r="J22" s="6">
        <f>IF(SUM(K22:V22)=0,"",SUM(K22:V22))</f>
        <v/>
      </c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7" t="n"/>
      <c r="X22" s="8" t="n"/>
      <c r="Y22" s="8" t="n"/>
    </row>
    <row r="23">
      <c r="B23" s="6" t="n"/>
      <c r="C23" s="6" t="n"/>
      <c r="D23" s="7" t="n"/>
      <c r="E23" s="6" t="n"/>
      <c r="F23" s="6" t="n"/>
      <c r="G23" s="24" t="n"/>
      <c r="H23" s="24" t="n"/>
      <c r="I23" s="7" t="n"/>
      <c r="J23" s="6">
        <f>IF(SUM(K23:V23)=0,"",SUM(K23:V23))</f>
        <v/>
      </c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7" t="n"/>
      <c r="X23" s="8" t="n"/>
      <c r="Y23" s="8" t="n"/>
    </row>
    <row r="24">
      <c r="B24" s="6" t="n"/>
      <c r="C24" s="6" t="n"/>
      <c r="D24" s="7" t="n"/>
      <c r="E24" s="6" t="n"/>
      <c r="F24" s="6" t="n"/>
      <c r="G24" s="24" t="n"/>
      <c r="H24" s="24" t="n"/>
      <c r="I24" s="7" t="n"/>
      <c r="J24" s="6">
        <f>IF(SUM(K24:V24)=0,"",SUM(K24:V24))</f>
        <v/>
      </c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7" t="n"/>
      <c r="X24" s="8" t="n"/>
      <c r="Y24" s="8" t="n"/>
    </row>
    <row r="25">
      <c r="B25" s="6" t="n"/>
      <c r="C25" s="6" t="n"/>
      <c r="D25" s="7" t="n"/>
      <c r="E25" s="6" t="n"/>
      <c r="F25" s="6" t="n"/>
      <c r="G25" s="24" t="n"/>
      <c r="H25" s="24" t="n"/>
      <c r="I25" s="7" t="n"/>
      <c r="J25" s="6">
        <f>IF(SUM(K25:V25)=0,"",SUM(K25:V25))</f>
        <v/>
      </c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7" t="n"/>
      <c r="X25" s="8" t="n"/>
      <c r="Y25" s="8" t="n"/>
    </row>
    <row r="26">
      <c r="B26" s="6" t="n"/>
      <c r="C26" s="6" t="n"/>
      <c r="D26" s="7" t="n"/>
      <c r="E26" s="6" t="n"/>
      <c r="F26" s="6" t="n"/>
      <c r="G26" s="24" t="n"/>
      <c r="H26" s="24" t="n"/>
      <c r="I26" s="7" t="n"/>
      <c r="J26" s="6">
        <f>IF(SUM(K26:V26)=0,"",SUM(K26:V26))</f>
        <v/>
      </c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7" t="n"/>
      <c r="X26" s="8" t="n"/>
      <c r="Y26" s="8" t="n"/>
    </row>
    <row r="27">
      <c r="B27" s="6" t="n"/>
      <c r="C27" s="6" t="n"/>
      <c r="D27" s="7" t="n"/>
      <c r="E27" s="6" t="n"/>
      <c r="F27" s="6" t="n"/>
      <c r="G27" s="24" t="n"/>
      <c r="H27" s="24" t="n"/>
      <c r="I27" s="7" t="n"/>
      <c r="J27" s="6">
        <f>IF(SUM(K27:V27)=0,"",SUM(K27:V27))</f>
        <v/>
      </c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7" t="n"/>
      <c r="X27" s="8" t="n"/>
      <c r="Y27" s="8" t="n"/>
    </row>
    <row r="28">
      <c r="B28" s="6" t="n"/>
      <c r="C28" s="6" t="n"/>
      <c r="D28" s="7" t="n"/>
      <c r="E28" s="6" t="n"/>
      <c r="F28" s="6" t="n"/>
      <c r="G28" s="24" t="n"/>
      <c r="H28" s="24" t="n"/>
      <c r="I28" s="7" t="n"/>
      <c r="J28" s="6">
        <f>IF(SUM(K28:V28)=0,"",SUM(K28:V28))</f>
        <v/>
      </c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7" t="n"/>
      <c r="X28" s="8" t="n"/>
      <c r="Y28" s="8" t="n"/>
    </row>
    <row r="29">
      <c r="B29" s="6" t="n"/>
      <c r="C29" s="6" t="n"/>
      <c r="D29" s="7" t="n"/>
      <c r="E29" s="6" t="n"/>
      <c r="F29" s="6" t="n"/>
      <c r="G29" s="24" t="n"/>
      <c r="H29" s="24" t="n"/>
      <c r="I29" s="7" t="n"/>
      <c r="J29" s="6">
        <f>IF(SUM(K29:V29)=0,"",SUM(K29:V29))</f>
        <v/>
      </c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7" t="n"/>
      <c r="X29" s="8" t="n"/>
      <c r="Y29" s="8" t="n"/>
    </row>
    <row r="30">
      <c r="B30" s="6" t="n"/>
      <c r="C30" s="6" t="n"/>
      <c r="D30" s="7" t="n"/>
      <c r="E30" s="6" t="n"/>
      <c r="F30" s="6" t="n"/>
      <c r="G30" s="24" t="n"/>
      <c r="H30" s="24" t="n"/>
      <c r="I30" s="7" t="n"/>
      <c r="J30" s="6">
        <f>IF(SUM(K30:V30)=0,"",SUM(K30:V30))</f>
        <v/>
      </c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7" t="n"/>
      <c r="X30" s="8" t="n"/>
      <c r="Y30" s="8" t="n"/>
    </row>
    <row r="31">
      <c r="B31" s="6" t="n"/>
      <c r="C31" s="6" t="n"/>
      <c r="D31" s="7" t="n"/>
      <c r="E31" s="6" t="n"/>
      <c r="F31" s="6" t="n"/>
      <c r="G31" s="24" t="n"/>
      <c r="H31" s="24" t="n"/>
      <c r="I31" s="7" t="n"/>
      <c r="J31" s="6">
        <f>IF(SUM(K31:V31)=0,"",SUM(K31:V31))</f>
        <v/>
      </c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7" t="n"/>
      <c r="X31" s="8" t="n"/>
      <c r="Y31" s="8" t="n"/>
    </row>
    <row r="32">
      <c r="B32" s="6" t="n"/>
      <c r="C32" s="6" t="n"/>
      <c r="D32" s="7" t="n"/>
      <c r="E32" s="6" t="n"/>
      <c r="F32" s="6" t="n"/>
      <c r="G32" s="24" t="n"/>
      <c r="H32" s="24" t="n"/>
      <c r="I32" s="7" t="n"/>
      <c r="J32" s="6">
        <f>IF(SUM(K32:V32)=0,"",SUM(K32:V32))</f>
        <v/>
      </c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7" t="n"/>
      <c r="X32" s="8" t="n"/>
      <c r="Y32" s="8" t="n"/>
    </row>
    <row r="33">
      <c r="B33" s="6" t="n"/>
      <c r="C33" s="6" t="n"/>
      <c r="D33" s="7" t="n"/>
      <c r="E33" s="6" t="n"/>
      <c r="F33" s="6" t="n"/>
      <c r="G33" s="24" t="n"/>
      <c r="H33" s="24" t="n"/>
      <c r="I33" s="7" t="n"/>
      <c r="J33" s="6">
        <f>IF(SUM(K33:V33)=0,"",SUM(K33:V33))</f>
        <v/>
      </c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7" t="n"/>
      <c r="X33" s="8" t="n"/>
      <c r="Y33" s="8" t="n"/>
    </row>
    <row r="34">
      <c r="B34" s="6" t="n"/>
      <c r="C34" s="6" t="n"/>
      <c r="D34" s="7" t="n"/>
      <c r="E34" s="6" t="n"/>
      <c r="F34" s="6" t="n"/>
      <c r="G34" s="24" t="n"/>
      <c r="H34" s="24" t="n"/>
      <c r="I34" s="7" t="n"/>
      <c r="J34" s="6">
        <f>IF(SUM(K34:V34)=0,"",SUM(K34:V34))</f>
        <v/>
      </c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7" t="n"/>
      <c r="X34" s="8" t="n"/>
      <c r="Y34" s="8" t="n"/>
    </row>
    <row r="35">
      <c r="B35" s="6" t="n"/>
      <c r="C35" s="6" t="n"/>
      <c r="D35" s="7" t="n"/>
      <c r="E35" s="6" t="n"/>
      <c r="F35" s="6" t="n"/>
      <c r="G35" s="24" t="n"/>
      <c r="H35" s="24" t="n"/>
      <c r="I35" s="7" t="n"/>
      <c r="J35" s="6">
        <f>IF(SUM(K35:V35)=0,"",SUM(K35:V35))</f>
        <v/>
      </c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7" t="n"/>
      <c r="X35" s="8" t="n"/>
      <c r="Y35" s="8" t="n"/>
    </row>
    <row r="36">
      <c r="B36" s="6" t="n"/>
      <c r="C36" s="6" t="n"/>
      <c r="D36" s="7" t="n"/>
      <c r="E36" s="6" t="n"/>
      <c r="F36" s="6" t="n"/>
      <c r="G36" s="24" t="n"/>
      <c r="H36" s="24" t="n"/>
      <c r="I36" s="7" t="n"/>
      <c r="J36" s="6">
        <f>IF(SUM(K36:V36)=0,"",SUM(K36:V36))</f>
        <v/>
      </c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7" t="n"/>
      <c r="X36" s="8" t="n"/>
      <c r="Y36" s="8" t="n"/>
    </row>
    <row r="37">
      <c r="B37" s="6" t="n"/>
      <c r="C37" s="6" t="n"/>
      <c r="D37" s="7" t="n"/>
      <c r="E37" s="6" t="n"/>
      <c r="F37" s="6" t="n"/>
      <c r="G37" s="24" t="n"/>
      <c r="H37" s="24" t="n"/>
      <c r="I37" s="7" t="n"/>
      <c r="J37" s="6">
        <f>IF(SUM(K37:V37)=0,"",SUM(K37:V37))</f>
        <v/>
      </c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7" t="n"/>
      <c r="X37" s="8" t="n"/>
      <c r="Y37" s="8" t="n"/>
    </row>
    <row r="38">
      <c r="B38" s="6" t="n"/>
      <c r="C38" s="6" t="n"/>
      <c r="D38" s="7" t="n"/>
      <c r="E38" s="6" t="n"/>
      <c r="F38" s="6" t="n"/>
      <c r="G38" s="24" t="n"/>
      <c r="H38" s="24" t="n"/>
      <c r="I38" s="7" t="n"/>
      <c r="J38" s="6">
        <f>IF(SUM(K38:V38)=0,"",SUM(K38:V38))</f>
        <v/>
      </c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7" t="n"/>
      <c r="X38" s="8" t="n"/>
      <c r="Y38" s="8" t="n"/>
    </row>
    <row r="39">
      <c r="B39" s="6" t="n"/>
      <c r="C39" s="6" t="n"/>
      <c r="D39" s="7" t="n"/>
      <c r="E39" s="6" t="n"/>
      <c r="F39" s="6" t="n"/>
      <c r="G39" s="24" t="n"/>
      <c r="H39" s="24" t="n"/>
      <c r="I39" s="7" t="n"/>
      <c r="J39" s="6">
        <f>IF(SUM(K39:V39)=0,"",SUM(K39:V39))</f>
        <v/>
      </c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7" t="n"/>
      <c r="X39" s="8" t="n"/>
      <c r="Y39" s="8" t="n"/>
    </row>
    <row r="40">
      <c r="B40" s="6" t="n"/>
      <c r="C40" s="6" t="n"/>
      <c r="D40" s="7" t="n"/>
      <c r="E40" s="6" t="n"/>
      <c r="F40" s="6" t="n"/>
      <c r="G40" s="24" t="n"/>
      <c r="H40" s="24" t="n"/>
      <c r="I40" s="7" t="n"/>
      <c r="J40" s="6">
        <f>IF(SUM(K40:V40)=0,"",SUM(K40:V40))</f>
        <v/>
      </c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7" t="n"/>
      <c r="X40" s="8" t="n"/>
      <c r="Y40" s="8" t="n"/>
    </row>
    <row r="41">
      <c r="B41" s="6" t="n"/>
      <c r="C41" s="6" t="n"/>
      <c r="D41" s="7" t="n"/>
      <c r="E41" s="6" t="n"/>
      <c r="F41" s="6" t="n"/>
      <c r="G41" s="24" t="n"/>
      <c r="H41" s="24" t="n"/>
      <c r="I41" s="7" t="n"/>
      <c r="J41" s="6">
        <f>IF(SUM(K41:V41)=0,"",SUM(K41:V41))</f>
        <v/>
      </c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7" t="n"/>
      <c r="X41" s="8" t="n"/>
      <c r="Y41" s="8" t="n"/>
    </row>
    <row r="42">
      <c r="B42" s="6" t="n"/>
      <c r="C42" s="6" t="n"/>
      <c r="D42" s="7" t="n"/>
      <c r="E42" s="6" t="n"/>
      <c r="F42" s="6" t="n"/>
      <c r="G42" s="24" t="n"/>
      <c r="H42" s="24" t="n"/>
      <c r="I42" s="7" t="n"/>
      <c r="J42" s="6">
        <f>IF(SUM(K42:V42)=0,"",SUM(K42:V42))</f>
        <v/>
      </c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7" t="n"/>
      <c r="X42" s="8" t="n"/>
      <c r="Y42" s="8" t="n"/>
    </row>
    <row r="43">
      <c r="B43" s="6" t="n"/>
      <c r="C43" s="6" t="n"/>
      <c r="D43" s="7" t="n"/>
      <c r="E43" s="6" t="n"/>
      <c r="F43" s="6" t="n"/>
      <c r="G43" s="24" t="n"/>
      <c r="H43" s="24" t="n"/>
      <c r="I43" s="7" t="n"/>
      <c r="J43" s="6">
        <f>IF(SUM(K43:V43)=0,"",SUM(K43:V43))</f>
        <v/>
      </c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7" t="n"/>
      <c r="X43" s="8" t="n"/>
      <c r="Y43" s="8" t="n"/>
    </row>
    <row r="44">
      <c r="B44" s="6" t="n"/>
      <c r="C44" s="6" t="n"/>
      <c r="D44" s="7" t="n"/>
      <c r="E44" s="6" t="n"/>
      <c r="F44" s="6" t="n"/>
      <c r="G44" s="24" t="n"/>
      <c r="H44" s="24" t="n"/>
      <c r="I44" s="7" t="n"/>
      <c r="J44" s="6">
        <f>IF(SUM(K44:V44)=0,"",SUM(K44:V44))</f>
        <v/>
      </c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7" t="n"/>
      <c r="X44" s="8" t="n"/>
      <c r="Y44" s="8" t="n"/>
    </row>
    <row r="45">
      <c r="B45" s="6" t="n"/>
      <c r="C45" s="6" t="n"/>
      <c r="D45" s="7" t="n"/>
      <c r="E45" s="6" t="n"/>
      <c r="F45" s="6" t="n"/>
      <c r="G45" s="24" t="n"/>
      <c r="H45" s="24" t="n"/>
      <c r="I45" s="7" t="n"/>
      <c r="J45" s="6">
        <f>IF(SUM(K45:V45)=0,"",SUM(K45:V45))</f>
        <v/>
      </c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7" t="n"/>
      <c r="X45" s="8" t="n"/>
      <c r="Y45" s="8" t="n"/>
    </row>
    <row r="46">
      <c r="B46" s="6" t="n"/>
      <c r="C46" s="6" t="n"/>
      <c r="D46" s="7" t="n"/>
      <c r="E46" s="6" t="n"/>
      <c r="F46" s="6" t="n"/>
      <c r="G46" s="24" t="n"/>
      <c r="H46" s="24" t="n"/>
      <c r="I46" s="7" t="n"/>
      <c r="J46" s="6">
        <f>IF(SUM(K46:V46)=0,"",SUM(K46:V46))</f>
        <v/>
      </c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7" t="n"/>
      <c r="X46" s="8" t="n"/>
      <c r="Y46" s="8" t="n"/>
    </row>
    <row r="47">
      <c r="B47" s="6" t="n"/>
      <c r="C47" s="6" t="n"/>
      <c r="D47" s="7" t="n"/>
      <c r="E47" s="6" t="n"/>
      <c r="F47" s="6" t="n"/>
      <c r="G47" s="24" t="n"/>
      <c r="H47" s="24" t="n"/>
      <c r="I47" s="7" t="n"/>
      <c r="J47" s="6">
        <f>IF(SUM(K47:V47)=0,"",SUM(K47:V47))</f>
        <v/>
      </c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7" t="n"/>
      <c r="X47" s="8" t="n"/>
      <c r="Y47" s="8" t="n"/>
    </row>
    <row r="48">
      <c r="B48" s="6" t="n"/>
      <c r="C48" s="6" t="n"/>
      <c r="D48" s="7" t="n"/>
      <c r="E48" s="6" t="n"/>
      <c r="F48" s="6" t="n"/>
      <c r="G48" s="24" t="n"/>
      <c r="H48" s="24" t="n"/>
      <c r="I48" s="7" t="n"/>
      <c r="J48" s="6">
        <f>IF(SUM(K48:V48)=0,"",SUM(K48:V48))</f>
        <v/>
      </c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7" t="n"/>
      <c r="X48" s="8" t="n"/>
      <c r="Y48" s="8" t="n"/>
    </row>
    <row r="49">
      <c r="B49" s="6" t="n"/>
      <c r="C49" s="6" t="n"/>
      <c r="D49" s="7" t="n"/>
      <c r="E49" s="6" t="n"/>
      <c r="F49" s="6" t="n"/>
      <c r="G49" s="24" t="n"/>
      <c r="H49" s="24" t="n"/>
      <c r="I49" s="7" t="n"/>
      <c r="J49" s="6">
        <f>IF(SUM(K49:V49)=0,"",SUM(K49:V49))</f>
        <v/>
      </c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7" t="n"/>
      <c r="X49" s="8" t="n"/>
      <c r="Y49" s="8" t="n"/>
    </row>
    <row r="50">
      <c r="B50" s="6" t="n"/>
      <c r="C50" s="6" t="n"/>
      <c r="D50" s="7" t="n"/>
      <c r="E50" s="6" t="n"/>
      <c r="F50" s="6" t="n"/>
      <c r="G50" s="24" t="n"/>
      <c r="H50" s="24" t="n"/>
      <c r="I50" s="7" t="n"/>
      <c r="J50" s="6">
        <f>IF(SUM(K50:V50)=0,"",SUM(K50:V50))</f>
        <v/>
      </c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7" t="n"/>
      <c r="X50" s="8" t="n"/>
      <c r="Y50" s="8" t="n"/>
    </row>
    <row r="51">
      <c r="B51" s="6" t="n"/>
      <c r="C51" s="6" t="n"/>
      <c r="D51" s="7" t="n"/>
      <c r="E51" s="6" t="n"/>
      <c r="F51" s="6" t="n"/>
      <c r="G51" s="24" t="n"/>
      <c r="H51" s="24" t="n"/>
      <c r="I51" s="7" t="n"/>
      <c r="J51" s="6">
        <f>IF(SUM(K51:V51)=0,"",SUM(K51:V51))</f>
        <v/>
      </c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7" t="n"/>
      <c r="X51" s="8" t="n"/>
      <c r="Y51" s="8" t="n"/>
    </row>
    <row r="52">
      <c r="B52" s="6" t="n"/>
      <c r="C52" s="6" t="n"/>
      <c r="D52" s="7" t="n"/>
      <c r="E52" s="6" t="n"/>
      <c r="F52" s="6" t="n"/>
      <c r="G52" s="24" t="n"/>
      <c r="H52" s="24" t="n"/>
      <c r="I52" s="7" t="n"/>
      <c r="J52" s="6">
        <f>IF(SUM(K52:V52)=0,"",SUM(K52:V52))</f>
        <v/>
      </c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7" t="n"/>
      <c r="X52" s="8" t="n"/>
      <c r="Y52" s="8" t="n"/>
    </row>
    <row r="53">
      <c r="B53" s="6" t="n"/>
      <c r="C53" s="6" t="n"/>
      <c r="D53" s="7" t="n"/>
      <c r="E53" s="6" t="n"/>
      <c r="F53" s="6" t="n"/>
      <c r="G53" s="24" t="n"/>
      <c r="H53" s="24" t="n"/>
      <c r="I53" s="7" t="n"/>
      <c r="J53" s="6">
        <f>IF(SUM(K53:V53)=0,"",SUM(K53:V53))</f>
        <v/>
      </c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7" t="n"/>
      <c r="X53" s="8" t="n"/>
      <c r="Y53" s="8" t="n"/>
    </row>
    <row r="54">
      <c r="B54" s="6" t="n"/>
      <c r="C54" s="6" t="n"/>
      <c r="D54" s="7" t="n"/>
      <c r="E54" s="6" t="n"/>
      <c r="F54" s="6" t="n"/>
      <c r="G54" s="24" t="n"/>
      <c r="H54" s="24" t="n"/>
      <c r="I54" s="7" t="n"/>
      <c r="J54" s="6">
        <f>IF(SUM(K54:V54)=0,"",SUM(K54:V54))</f>
        <v/>
      </c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7" t="n"/>
      <c r="X54" s="8" t="n"/>
      <c r="Y54" s="8" t="n"/>
    </row>
    <row r="55">
      <c r="B55" s="6" t="n"/>
      <c r="C55" s="6" t="n"/>
      <c r="D55" s="7" t="n"/>
      <c r="E55" s="6" t="n"/>
      <c r="F55" s="6" t="n"/>
      <c r="G55" s="24" t="n"/>
      <c r="H55" s="24" t="n"/>
      <c r="I55" s="7" t="n"/>
      <c r="J55" s="6">
        <f>IF(SUM(K55:V55)=0,"",SUM(K55:V55))</f>
        <v/>
      </c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7" t="n"/>
      <c r="X55" s="8" t="n"/>
      <c r="Y55" s="8" t="n"/>
    </row>
    <row r="56">
      <c r="B56" s="6" t="n"/>
      <c r="C56" s="6" t="n"/>
      <c r="D56" s="7" t="n"/>
      <c r="E56" s="6" t="n"/>
      <c r="F56" s="6" t="n"/>
      <c r="G56" s="24" t="n"/>
      <c r="H56" s="24" t="n"/>
      <c r="I56" s="7" t="n"/>
      <c r="J56" s="6">
        <f>IF(SUM(K56:V56)=0,"",SUM(K56:V56))</f>
        <v/>
      </c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7" t="n"/>
      <c r="X56" s="8" t="n"/>
      <c r="Y56" s="8" t="n"/>
    </row>
  </sheetData>
  <mergeCells count="11">
    <mergeCell ref="D19:D20"/>
    <mergeCell ref="Y19:Y20"/>
    <mergeCell ref="F19:F20"/>
    <mergeCell ref="W19:W20"/>
    <mergeCell ref="G19:H19"/>
    <mergeCell ref="K19:V19"/>
    <mergeCell ref="E19:E20"/>
    <mergeCell ref="I19:I20"/>
    <mergeCell ref="X19:X20"/>
    <mergeCell ref="B19:B20"/>
    <mergeCell ref="C19:C20"/>
  </mergeCells>
  <dataValidations count="2">
    <dataValidation sqref="D22:D221" showDropDown="0" showInputMessage="0" showErrorMessage="1" allowBlank="1" errorTitle="드롭다운 값 확인" error="배출계수 DB 기준 드롭다운 목록에서 선택해 주세요." type="list">
      <formula1>DD_TRANSPORT_DISTANCE</formula1>
    </dataValidation>
    <dataValidation sqref="F22:F221" showDropDown="0" showInputMessage="0" showErrorMessage="1" allowBlank="1" errorTitle="드롭다운 값 확인" error="배출계수 DB 기준 드롭다운 목록에서 선택해 주세요." type="list">
      <formula1>DD_TRANSPORT_WEIGHT_UNIT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V57"/>
  <sheetViews>
    <sheetView workbookViewId="0">
      <selection activeCell="B19" sqref="B19"/>
    </sheetView>
  </sheetViews>
  <sheetFormatPr baseColWidth="8" defaultRowHeight="14.25"/>
  <cols>
    <col width="10" customWidth="1" style="71" min="2" max="2"/>
    <col width="16" customWidth="1" style="71" min="3" max="3"/>
    <col width="13.625" customWidth="1" style="71" min="4" max="4"/>
    <col width="20" customWidth="1" style="71" min="5" max="5"/>
    <col width="16" customWidth="1" style="71" min="6" max="7"/>
    <col width="8" customWidth="1" style="71" min="8" max="19"/>
    <col width="18" customWidth="1" style="71" min="20" max="20"/>
    <col width="20.75" bestFit="1" customWidth="1" style="71" min="21" max="21"/>
    <col width="16" customWidth="1" style="71" min="22" max="22"/>
  </cols>
  <sheetData>
    <row r="2" ht="20.25" customHeight="1" s="71">
      <c r="B2" s="1" t="inlineStr">
        <is>
          <t>C4. 업스트림 운송·배송 2안. 운송금액 기반</t>
        </is>
      </c>
    </row>
    <row r="4">
      <c r="B4" s="2" t="inlineStr">
        <is>
          <t>카테고리 정의</t>
        </is>
      </c>
    </row>
    <row r="5">
      <c r="B5" s="11" t="inlineStr">
        <is>
          <t>- 보고년도에 회사가 구매한 원재료, 제품, 자재 등의 운송·배송 비용을 기준으로 산정하는 온실가스 배출량</t>
        </is>
      </c>
    </row>
    <row r="6">
      <c r="B6" s="11" t="inlineStr">
        <is>
          <t>- 출발지, 도착지, 운송거리, 화물중량을 알 수 없고 운송비 또는 물류비만 확인 가능한 경우 작성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Σ(운송지출금액 × 운송/물류 지출기반 배출계수)</t>
        </is>
      </c>
    </row>
    <row r="11">
      <c r="B11" s="22" t="inlineStr">
        <is>
          <t xml:space="preserve"> - 배출계수는 US EPA Supply Chain Greenhouse Gas Emission Factors v1.3 등 지출기반 배출계수 활용</t>
        </is>
      </c>
    </row>
    <row r="12">
      <c r="B12" s="11" t="inlineStr">
        <is>
          <t>2) 운송수단은 도로, 해상, 항공, 철도 중 실제 주요 운송수단을 선택</t>
        </is>
      </c>
    </row>
    <row r="13">
      <c r="B13" s="11" t="inlineStr">
        <is>
          <t>3) 운송수단을 모르는 경우 출발지·도착지를 기준으로 AI가 운송수단 추정</t>
        </is>
      </c>
    </row>
    <row r="14">
      <c r="B14" s="11" t="inlineStr">
        <is>
          <t>4) 운송금액은 실제 운송비, 물류비, 배송비, 포워딩 비용 등을 기준으로 작성</t>
        </is>
      </c>
    </row>
    <row r="15">
      <c r="B15" s="11" t="inlineStr">
        <is>
          <t>5) 출발지·도착지와 화물중량을 알고 있는 경우 C4-1 시트에 작성</t>
        </is>
      </c>
    </row>
    <row r="17">
      <c r="B17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8">
      <c r="B18" s="20" t="inlineStr">
        <is>
          <t>※ 주황색으로 표시된 필수 입력칸은 반드시 작성해야 합니다.</t>
        </is>
      </c>
    </row>
    <row r="19">
      <c r="B19" s="50" t="inlineStr">
        <is>
          <t>※ 회색으로 표시된 입력란(배출계수, 배출량)은 자동으로 산출되므로 별도로 입력하지 않으셔도 됩니다.</t>
        </is>
      </c>
    </row>
    <row r="20" ht="15" customHeight="1" s="71">
      <c r="B20" s="60" t="inlineStr">
        <is>
          <t>*국가</t>
        </is>
      </c>
      <c r="C20" s="60" t="inlineStr">
        <is>
          <t>*사업장</t>
        </is>
      </c>
      <c r="D20" s="67" t="inlineStr">
        <is>
          <t>운송수단(선택)</t>
        </is>
      </c>
      <c r="E20" s="60" t="inlineStr">
        <is>
          <t>*자재명/품목명</t>
        </is>
      </c>
      <c r="F20" s="60" t="inlineStr">
        <is>
          <t>거래처명(선택)</t>
        </is>
      </c>
      <c r="G20" s="62" t="inlineStr">
        <is>
          <t>연간 입력</t>
        </is>
      </c>
      <c r="H20" s="62" t="inlineStr">
        <is>
          <t>월별 운송금액</t>
        </is>
      </c>
      <c r="I20" s="63" t="n"/>
      <c r="J20" s="63" t="n"/>
      <c r="K20" s="63" t="n"/>
      <c r="L20" s="63" t="n"/>
      <c r="M20" s="63" t="n"/>
      <c r="N20" s="63" t="n"/>
      <c r="O20" s="63" t="n"/>
      <c r="P20" s="63" t="n"/>
      <c r="Q20" s="63" t="n"/>
      <c r="R20" s="63" t="n"/>
      <c r="S20" s="64" t="n"/>
      <c r="T20" s="60" t="inlineStr">
        <is>
          <t>비고(선택)</t>
        </is>
      </c>
      <c r="U20" s="60" t="inlineStr">
        <is>
          <t>배출계수(kgCO2e/원)</t>
        </is>
      </c>
      <c r="V20" s="60" t="inlineStr">
        <is>
          <t>배출량(tCO2e)</t>
        </is>
      </c>
    </row>
    <row r="21" ht="15.75" customHeight="1" s="71">
      <c r="B21" s="61" t="n"/>
      <c r="C21" s="61" t="n"/>
      <c r="D21" s="61" t="n"/>
      <c r="E21" s="61" t="n"/>
      <c r="F21" s="61" t="n"/>
      <c r="G21" s="60" t="inlineStr">
        <is>
          <t>연간운송금액(원)</t>
        </is>
      </c>
      <c r="H21" s="60" t="inlineStr">
        <is>
          <t>1월</t>
        </is>
      </c>
      <c r="I21" s="60" t="inlineStr">
        <is>
          <t>2월</t>
        </is>
      </c>
      <c r="J21" s="60" t="inlineStr">
        <is>
          <t>3월</t>
        </is>
      </c>
      <c r="K21" s="60" t="inlineStr">
        <is>
          <t>4월</t>
        </is>
      </c>
      <c r="L21" s="60" t="inlineStr">
        <is>
          <t>5월</t>
        </is>
      </c>
      <c r="M21" s="60" t="inlineStr">
        <is>
          <t>6월</t>
        </is>
      </c>
      <c r="N21" s="60" t="inlineStr">
        <is>
          <t>7월</t>
        </is>
      </c>
      <c r="O21" s="60" t="inlineStr">
        <is>
          <t>8월</t>
        </is>
      </c>
      <c r="P21" s="60" t="inlineStr">
        <is>
          <t>9월</t>
        </is>
      </c>
      <c r="Q21" s="60" t="inlineStr">
        <is>
          <t>10월</t>
        </is>
      </c>
      <c r="R21" s="60" t="inlineStr">
        <is>
          <t>11월</t>
        </is>
      </c>
      <c r="S21" s="60" t="inlineStr">
        <is>
          <t>12월</t>
        </is>
      </c>
      <c r="T21" s="61" t="n"/>
      <c r="U21" s="61" t="n"/>
      <c r="V21" s="61" t="n"/>
    </row>
    <row r="22">
      <c r="B22" s="3" t="inlineStr">
        <is>
          <t>대한민국</t>
        </is>
      </c>
      <c r="C22" s="3" t="inlineStr">
        <is>
          <t>평택공장</t>
        </is>
      </c>
      <c r="D22" s="4" t="inlineStr">
        <is>
          <t>화물트럭 운송</t>
        </is>
      </c>
      <c r="E22" s="3" t="inlineStr">
        <is>
          <t>원재료 A</t>
        </is>
      </c>
      <c r="F22" s="4" t="inlineStr">
        <is>
          <t>물류업체</t>
        </is>
      </c>
      <c r="G22" s="3">
        <f>IF(SUM(H22:S22)=0,"",SUM(H22:S22))</f>
        <v/>
      </c>
      <c r="H22" s="3" t="n">
        <v>1000000</v>
      </c>
      <c r="I22" s="3" t="n">
        <v>1000000</v>
      </c>
      <c r="J22" s="3" t="n">
        <v>1000000</v>
      </c>
      <c r="K22" s="3" t="n">
        <v>1000000</v>
      </c>
      <c r="L22" s="3" t="n">
        <v>1000000</v>
      </c>
      <c r="M22" s="3" t="n">
        <v>1000000</v>
      </c>
      <c r="N22" s="3" t="n">
        <v>1000000</v>
      </c>
      <c r="O22" s="3" t="n">
        <v>1000000</v>
      </c>
      <c r="P22" s="3" t="n">
        <v>1000000</v>
      </c>
      <c r="Q22" s="3" t="n">
        <v>1000000</v>
      </c>
      <c r="R22" s="3" t="n">
        <v>1000000</v>
      </c>
      <c r="S22" s="3" t="n">
        <v>1000000</v>
      </c>
      <c r="T22" s="4" t="inlineStr">
        <is>
          <t>운송비 기준</t>
        </is>
      </c>
      <c r="U22" s="5" t="n"/>
      <c r="V22" s="5" t="n"/>
    </row>
    <row r="23">
      <c r="B23" s="6" t="n"/>
      <c r="C23" s="6" t="n"/>
      <c r="D23" s="7" t="n"/>
      <c r="E23" s="6" t="n"/>
      <c r="F23" s="7" t="n"/>
      <c r="G23" s="6">
        <f>IF(SUM(H23:S23)=0,"",SUM(H23:S23))</f>
        <v/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7" t="n"/>
      <c r="U23" s="8" t="n"/>
      <c r="V23" s="8" t="n"/>
    </row>
    <row r="24">
      <c r="B24" s="6" t="n"/>
      <c r="C24" s="6" t="n"/>
      <c r="D24" s="7" t="n"/>
      <c r="E24" s="6" t="n"/>
      <c r="F24" s="7" t="n"/>
      <c r="G24" s="6">
        <f>IF(SUM(H24:S24)=0,"",SUM(H24:S24))</f>
        <v/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7" t="n"/>
      <c r="U24" s="8" t="n"/>
      <c r="V24" s="8" t="n"/>
    </row>
    <row r="25">
      <c r="B25" s="6" t="n"/>
      <c r="C25" s="6" t="n"/>
      <c r="D25" s="7" t="n"/>
      <c r="E25" s="6" t="n"/>
      <c r="F25" s="7" t="n"/>
      <c r="G25" s="6">
        <f>IF(SUM(H25:S25)=0,"",SUM(H25:S25))</f>
        <v/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7" t="n"/>
      <c r="U25" s="8" t="n"/>
      <c r="V25" s="8" t="n"/>
    </row>
    <row r="26">
      <c r="B26" s="6" t="n"/>
      <c r="C26" s="6" t="n"/>
      <c r="D26" s="7" t="n"/>
      <c r="E26" s="6" t="n"/>
      <c r="F26" s="7" t="n"/>
      <c r="G26" s="6">
        <f>IF(SUM(H26:S26)=0,"",SUM(H26:S26))</f>
        <v/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7" t="n"/>
      <c r="U26" s="8" t="n"/>
      <c r="V26" s="8" t="n"/>
    </row>
    <row r="27">
      <c r="B27" s="6" t="n"/>
      <c r="C27" s="6" t="n"/>
      <c r="D27" s="7" t="n"/>
      <c r="E27" s="6" t="n"/>
      <c r="F27" s="7" t="n"/>
      <c r="G27" s="6">
        <f>IF(SUM(H27:S27)=0,"",SUM(H27:S27))</f>
        <v/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7" t="n"/>
      <c r="U27" s="8" t="n"/>
      <c r="V27" s="8" t="n"/>
    </row>
    <row r="28">
      <c r="B28" s="6" t="n"/>
      <c r="C28" s="6" t="n"/>
      <c r="D28" s="7" t="n"/>
      <c r="E28" s="6" t="n"/>
      <c r="F28" s="7" t="n"/>
      <c r="G28" s="6">
        <f>IF(SUM(H28:S28)=0,"",SUM(H28:S28))</f>
        <v/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7" t="n"/>
      <c r="U28" s="8" t="n"/>
      <c r="V28" s="8" t="n"/>
    </row>
    <row r="29">
      <c r="B29" s="6" t="n"/>
      <c r="C29" s="6" t="n"/>
      <c r="D29" s="7" t="n"/>
      <c r="E29" s="6" t="n"/>
      <c r="F29" s="7" t="n"/>
      <c r="G29" s="6">
        <f>IF(SUM(H29:S29)=0,"",SUM(H29:S29))</f>
        <v/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7" t="n"/>
      <c r="U29" s="8" t="n"/>
      <c r="V29" s="8" t="n"/>
    </row>
    <row r="30">
      <c r="B30" s="6" t="n"/>
      <c r="C30" s="6" t="n"/>
      <c r="D30" s="7" t="n"/>
      <c r="E30" s="6" t="n"/>
      <c r="F30" s="7" t="n"/>
      <c r="G30" s="6">
        <f>IF(SUM(H30:S30)=0,"",SUM(H30:S30))</f>
        <v/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7" t="n"/>
      <c r="U30" s="8" t="n"/>
      <c r="V30" s="8" t="n"/>
    </row>
    <row r="31">
      <c r="B31" s="6" t="n"/>
      <c r="C31" s="6" t="n"/>
      <c r="D31" s="7" t="n"/>
      <c r="E31" s="6" t="n"/>
      <c r="F31" s="7" t="n"/>
      <c r="G31" s="6">
        <f>IF(SUM(H31:S31)=0,"",SUM(H31:S31))</f>
        <v/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7" t="n"/>
      <c r="U31" s="8" t="n"/>
      <c r="V31" s="8" t="n"/>
    </row>
    <row r="32">
      <c r="B32" s="6" t="n"/>
      <c r="C32" s="6" t="n"/>
      <c r="D32" s="7" t="n"/>
      <c r="E32" s="6" t="n"/>
      <c r="F32" s="7" t="n"/>
      <c r="G32" s="6">
        <f>IF(SUM(H32:S32)=0,"",SUM(H32:S32))</f>
        <v/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7" t="n"/>
      <c r="U32" s="8" t="n"/>
      <c r="V32" s="8" t="n"/>
    </row>
    <row r="33">
      <c r="B33" s="6" t="n"/>
      <c r="C33" s="6" t="n"/>
      <c r="D33" s="7" t="n"/>
      <c r="E33" s="6" t="n"/>
      <c r="F33" s="7" t="n"/>
      <c r="G33" s="6">
        <f>IF(SUM(H33:S33)=0,"",SUM(H33:S33))</f>
        <v/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7" t="n"/>
      <c r="U33" s="8" t="n"/>
      <c r="V33" s="8" t="n"/>
    </row>
    <row r="34">
      <c r="B34" s="6" t="n"/>
      <c r="C34" s="6" t="n"/>
      <c r="D34" s="7" t="n"/>
      <c r="E34" s="6" t="n"/>
      <c r="F34" s="7" t="n"/>
      <c r="G34" s="6">
        <f>IF(SUM(H34:S34)=0,"",SUM(H34:S34))</f>
        <v/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7" t="n"/>
      <c r="U34" s="8" t="n"/>
      <c r="V34" s="8" t="n"/>
    </row>
    <row r="35">
      <c r="B35" s="6" t="n"/>
      <c r="C35" s="6" t="n"/>
      <c r="D35" s="7" t="n"/>
      <c r="E35" s="6" t="n"/>
      <c r="F35" s="7" t="n"/>
      <c r="G35" s="6">
        <f>IF(SUM(H35:S35)=0,"",SUM(H35:S35))</f>
        <v/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7" t="n"/>
      <c r="U35" s="8" t="n"/>
      <c r="V35" s="8" t="n"/>
    </row>
    <row r="36">
      <c r="B36" s="6" t="n"/>
      <c r="C36" s="6" t="n"/>
      <c r="D36" s="7" t="n"/>
      <c r="E36" s="6" t="n"/>
      <c r="F36" s="7" t="n"/>
      <c r="G36" s="6">
        <f>IF(SUM(H36:S36)=0,"",SUM(H36:S36))</f>
        <v/>
      </c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7" t="n"/>
      <c r="U36" s="8" t="n"/>
      <c r="V36" s="8" t="n"/>
    </row>
    <row r="37">
      <c r="B37" s="6" t="n"/>
      <c r="C37" s="6" t="n"/>
      <c r="D37" s="7" t="n"/>
      <c r="E37" s="6" t="n"/>
      <c r="F37" s="7" t="n"/>
      <c r="G37" s="6">
        <f>IF(SUM(H37:S37)=0,"",SUM(H37:S37))</f>
        <v/>
      </c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7" t="n"/>
      <c r="U37" s="8" t="n"/>
      <c r="V37" s="8" t="n"/>
    </row>
    <row r="38">
      <c r="B38" s="6" t="n"/>
      <c r="C38" s="6" t="n"/>
      <c r="D38" s="7" t="n"/>
      <c r="E38" s="6" t="n"/>
      <c r="F38" s="7" t="n"/>
      <c r="G38" s="6">
        <f>IF(SUM(H38:S38)=0,"",SUM(H38:S38))</f>
        <v/>
      </c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7" t="n"/>
      <c r="U38" s="8" t="n"/>
      <c r="V38" s="8" t="n"/>
    </row>
    <row r="39">
      <c r="B39" s="6" t="n"/>
      <c r="C39" s="6" t="n"/>
      <c r="D39" s="7" t="n"/>
      <c r="E39" s="6" t="n"/>
      <c r="F39" s="7" t="n"/>
      <c r="G39" s="6">
        <f>IF(SUM(H39:S39)=0,"",SUM(H39:S39))</f>
        <v/>
      </c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7" t="n"/>
      <c r="U39" s="8" t="n"/>
      <c r="V39" s="8" t="n"/>
    </row>
    <row r="40">
      <c r="B40" s="6" t="n"/>
      <c r="C40" s="6" t="n"/>
      <c r="D40" s="7" t="n"/>
      <c r="E40" s="6" t="n"/>
      <c r="F40" s="7" t="n"/>
      <c r="G40" s="6">
        <f>IF(SUM(H40:S40)=0,"",SUM(H40:S40))</f>
        <v/>
      </c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7" t="n"/>
      <c r="U40" s="8" t="n"/>
      <c r="V40" s="8" t="n"/>
    </row>
    <row r="41">
      <c r="B41" s="6" t="n"/>
      <c r="C41" s="6" t="n"/>
      <c r="D41" s="7" t="n"/>
      <c r="E41" s="6" t="n"/>
      <c r="F41" s="7" t="n"/>
      <c r="G41" s="6">
        <f>IF(SUM(H41:S41)=0,"",SUM(H41:S41))</f>
        <v/>
      </c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7" t="n"/>
      <c r="U41" s="8" t="n"/>
      <c r="V41" s="8" t="n"/>
    </row>
    <row r="42">
      <c r="B42" s="6" t="n"/>
      <c r="C42" s="6" t="n"/>
      <c r="D42" s="7" t="n"/>
      <c r="E42" s="6" t="n"/>
      <c r="F42" s="7" t="n"/>
      <c r="G42" s="6">
        <f>IF(SUM(H42:S42)=0,"",SUM(H42:S42))</f>
        <v/>
      </c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7" t="n"/>
      <c r="U42" s="8" t="n"/>
      <c r="V42" s="8" t="n"/>
    </row>
    <row r="43">
      <c r="B43" s="6" t="n"/>
      <c r="C43" s="6" t="n"/>
      <c r="D43" s="7" t="n"/>
      <c r="E43" s="6" t="n"/>
      <c r="F43" s="7" t="n"/>
      <c r="G43" s="6">
        <f>IF(SUM(H43:S43)=0,"",SUM(H43:S43))</f>
        <v/>
      </c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7" t="n"/>
      <c r="U43" s="8" t="n"/>
      <c r="V43" s="8" t="n"/>
    </row>
    <row r="44">
      <c r="B44" s="6" t="n"/>
      <c r="C44" s="6" t="n"/>
      <c r="D44" s="7" t="n"/>
      <c r="E44" s="6" t="n"/>
      <c r="F44" s="7" t="n"/>
      <c r="G44" s="6">
        <f>IF(SUM(H44:S44)=0,"",SUM(H44:S44))</f>
        <v/>
      </c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7" t="n"/>
      <c r="U44" s="8" t="n"/>
      <c r="V44" s="8" t="n"/>
    </row>
    <row r="45">
      <c r="B45" s="6" t="n"/>
      <c r="C45" s="6" t="n"/>
      <c r="D45" s="7" t="n"/>
      <c r="E45" s="6" t="n"/>
      <c r="F45" s="7" t="n"/>
      <c r="G45" s="6">
        <f>IF(SUM(H45:S45)=0,"",SUM(H45:S45))</f>
        <v/>
      </c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7" t="n"/>
      <c r="U45" s="8" t="n"/>
      <c r="V45" s="8" t="n"/>
    </row>
    <row r="46">
      <c r="B46" s="6" t="n"/>
      <c r="C46" s="6" t="n"/>
      <c r="D46" s="7" t="n"/>
      <c r="E46" s="6" t="n"/>
      <c r="F46" s="7" t="n"/>
      <c r="G46" s="6">
        <f>IF(SUM(H46:S46)=0,"",SUM(H46:S46))</f>
        <v/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7" t="n"/>
      <c r="U46" s="8" t="n"/>
      <c r="V46" s="8" t="n"/>
    </row>
    <row r="47">
      <c r="B47" s="6" t="n"/>
      <c r="C47" s="6" t="n"/>
      <c r="D47" s="7" t="n"/>
      <c r="E47" s="6" t="n"/>
      <c r="F47" s="7" t="n"/>
      <c r="G47" s="6">
        <f>IF(SUM(H47:S47)=0,"",SUM(H47:S47))</f>
        <v/>
      </c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7" t="n"/>
      <c r="U47" s="8" t="n"/>
      <c r="V47" s="8" t="n"/>
    </row>
    <row r="48">
      <c r="B48" s="6" t="n"/>
      <c r="C48" s="6" t="n"/>
      <c r="D48" s="7" t="n"/>
      <c r="E48" s="6" t="n"/>
      <c r="F48" s="7" t="n"/>
      <c r="G48" s="6">
        <f>IF(SUM(H48:S48)=0,"",SUM(H48:S48))</f>
        <v/>
      </c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7" t="n"/>
      <c r="U48" s="8" t="n"/>
      <c r="V48" s="8" t="n"/>
    </row>
    <row r="49">
      <c r="B49" s="6" t="n"/>
      <c r="C49" s="6" t="n"/>
      <c r="D49" s="7" t="n"/>
      <c r="E49" s="6" t="n"/>
      <c r="F49" s="7" t="n"/>
      <c r="G49" s="6">
        <f>IF(SUM(H49:S49)=0,"",SUM(H49:S49))</f>
        <v/>
      </c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7" t="n"/>
      <c r="U49" s="8" t="n"/>
      <c r="V49" s="8" t="n"/>
    </row>
    <row r="50">
      <c r="B50" s="6" t="n"/>
      <c r="C50" s="6" t="n"/>
      <c r="D50" s="7" t="n"/>
      <c r="E50" s="6" t="n"/>
      <c r="F50" s="7" t="n"/>
      <c r="G50" s="6">
        <f>IF(SUM(H50:S50)=0,"",SUM(H50:S50))</f>
        <v/>
      </c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7" t="n"/>
      <c r="U50" s="8" t="n"/>
      <c r="V50" s="8" t="n"/>
    </row>
    <row r="51">
      <c r="B51" s="6" t="n"/>
      <c r="C51" s="6" t="n"/>
      <c r="D51" s="7" t="n"/>
      <c r="E51" s="6" t="n"/>
      <c r="F51" s="7" t="n"/>
      <c r="G51" s="6">
        <f>IF(SUM(H51:S51)=0,"",SUM(H51:S51))</f>
        <v/>
      </c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7" t="n"/>
      <c r="U51" s="8" t="n"/>
      <c r="V51" s="8" t="n"/>
    </row>
    <row r="52">
      <c r="B52" s="6" t="n"/>
      <c r="C52" s="6" t="n"/>
      <c r="D52" s="7" t="n"/>
      <c r="E52" s="6" t="n"/>
      <c r="F52" s="7" t="n"/>
      <c r="G52" s="6">
        <f>IF(SUM(H52:S52)=0,"",SUM(H52:S52))</f>
        <v/>
      </c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7" t="n"/>
      <c r="U52" s="8" t="n"/>
      <c r="V52" s="8" t="n"/>
    </row>
    <row r="53">
      <c r="B53" s="6" t="n"/>
      <c r="C53" s="6" t="n"/>
      <c r="D53" s="7" t="n"/>
      <c r="E53" s="6" t="n"/>
      <c r="F53" s="7" t="n"/>
      <c r="G53" s="6">
        <f>IF(SUM(H53:S53)=0,"",SUM(H53:S53))</f>
        <v/>
      </c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7" t="n"/>
      <c r="U53" s="8" t="n"/>
      <c r="V53" s="8" t="n"/>
    </row>
    <row r="54">
      <c r="B54" s="6" t="n"/>
      <c r="C54" s="6" t="n"/>
      <c r="D54" s="7" t="n"/>
      <c r="E54" s="6" t="n"/>
      <c r="F54" s="7" t="n"/>
      <c r="G54" s="6">
        <f>IF(SUM(H54:S54)=0,"",SUM(H54:S54))</f>
        <v/>
      </c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7" t="n"/>
      <c r="U54" s="8" t="n"/>
      <c r="V54" s="8" t="n"/>
    </row>
    <row r="55">
      <c r="B55" s="6" t="n"/>
      <c r="C55" s="6" t="n"/>
      <c r="D55" s="7" t="n"/>
      <c r="E55" s="6" t="n"/>
      <c r="F55" s="7" t="n"/>
      <c r="G55" s="6">
        <f>IF(SUM(H55:S55)=0,"",SUM(H55:S55))</f>
        <v/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7" t="n"/>
      <c r="U55" s="8" t="n"/>
      <c r="V55" s="8" t="n"/>
    </row>
    <row r="56">
      <c r="B56" s="6" t="n"/>
      <c r="C56" s="6" t="n"/>
      <c r="D56" s="7" t="n"/>
      <c r="E56" s="6" t="n"/>
      <c r="F56" s="7" t="n"/>
      <c r="G56" s="6">
        <f>IF(SUM(H56:S56)=0,"",SUM(H56:S56))</f>
        <v/>
      </c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7" t="n"/>
      <c r="U56" s="8" t="n"/>
      <c r="V56" s="8" t="n"/>
    </row>
    <row r="57">
      <c r="B57" s="6" t="n"/>
      <c r="C57" s="6" t="n"/>
      <c r="D57" s="7" t="n"/>
      <c r="E57" s="6" t="n"/>
      <c r="F57" s="7" t="n"/>
      <c r="G57" s="6">
        <f>IF(SUM(H57:S57)=0,"",SUM(H57:S57))</f>
        <v/>
      </c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7" t="n"/>
      <c r="U57" s="8" t="n"/>
      <c r="V57" s="8" t="n"/>
    </row>
  </sheetData>
  <mergeCells count="9">
    <mergeCell ref="U20:U21"/>
    <mergeCell ref="H20:S20"/>
    <mergeCell ref="C20:C21"/>
    <mergeCell ref="E20:E21"/>
    <mergeCell ref="B20:B21"/>
    <mergeCell ref="T20:T21"/>
    <mergeCell ref="F20:F21"/>
    <mergeCell ref="D20:D21"/>
    <mergeCell ref="V20:V21"/>
  </mergeCells>
  <dataValidations count="1">
    <dataValidation sqref="D23:D222" showDropDown="0" showInputMessage="0" showErrorMessage="1" allowBlank="1" errorTitle="드롭다운 값 확인" error="배출계수 DB 기준 드롭다운 목록에서 선택해 주세요." type="list">
      <formula1>DD_TRANSPORT_SPEND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W221"/>
  <sheetViews>
    <sheetView workbookViewId="0">
      <selection activeCell="E25" sqref="E25"/>
    </sheetView>
  </sheetViews>
  <sheetFormatPr baseColWidth="8" defaultRowHeight="14.25"/>
  <cols>
    <col width="13.625" customWidth="1" style="71" min="2" max="2"/>
    <col width="16" customWidth="1" style="71" min="3" max="3"/>
    <col width="18" customWidth="1" style="71" min="4" max="4"/>
    <col width="22" customWidth="1" style="71" min="5" max="5"/>
    <col width="10" customWidth="1" style="71" min="6" max="6"/>
    <col width="12" customWidth="1" style="71" min="7" max="7"/>
    <col width="16" customWidth="1" style="71" min="8" max="8"/>
    <col width="8" customWidth="1" style="71" min="9" max="20"/>
    <col width="18" customWidth="1" style="71" min="21" max="21"/>
    <col width="20" customWidth="1" style="71" min="22" max="22"/>
    <col width="16" customWidth="1" style="71" min="23" max="23"/>
  </cols>
  <sheetData>
    <row r="2" ht="20.25" customHeight="1" s="71">
      <c r="B2" s="1" t="inlineStr">
        <is>
          <t>C5. 사업장 발생 폐기물</t>
        </is>
      </c>
    </row>
    <row r="4">
      <c r="B4" s="2" t="inlineStr">
        <is>
          <t>카테고리 정의</t>
        </is>
      </c>
    </row>
    <row r="5">
      <c r="B5" s="11" t="inlineStr">
        <is>
          <t>- 보고년도에 운영 과정에서 발생한 폐기물의 처리·반매립·소각 시 발생한 온실가스 배출량</t>
        </is>
      </c>
    </row>
    <row r="6">
      <c r="B6" s="11" t="inlineStr">
        <is>
          <t>- 본사, 지부, 복지시설 운영 과정의 일반 폐기물, 음식물 쓰레기 등도 포함</t>
        </is>
      </c>
    </row>
    <row r="9">
      <c r="B9" s="2" t="inlineStr">
        <is>
          <t>작성 기준</t>
        </is>
      </c>
    </row>
    <row r="10">
      <c r="B10" s="11" t="inlineStr">
        <is>
          <t>1) 온실가스 산정 식: Σ(폐기물 발생량 × 처리방법별 배출계수)</t>
        </is>
      </c>
    </row>
    <row r="11">
      <c r="B11" s="11" t="inlineStr">
        <is>
          <t>- 배출계수는 환경부 환경성적표지(EPD) 등 폐기물 처리 배출계수 활용</t>
        </is>
      </c>
    </row>
    <row r="12">
      <c r="B12" s="11" t="inlineStr">
        <is>
          <t>2) 상세 폐기물명은 실제 처리업체 자료, 올바로시스템 명칭 기준으로 작성</t>
        </is>
      </c>
    </row>
    <row r="13">
      <c r="B13" s="11" t="inlineStr">
        <is>
          <t>3) 동일한 폐기물이라도 처리방법이 다르면 행을 나누어 작성</t>
        </is>
      </c>
    </row>
    <row r="14" ht="15" customHeight="1" s="71">
      <c r="B14" s="69" t="inlineStr">
        <is>
          <t>*적용 기업명</t>
        </is>
      </c>
      <c r="C14" s="57">
        <f>기업정보!$C$7</f>
        <v/>
      </c>
    </row>
    <row r="15">
      <c r="B15" s="56" t="inlineStr">
        <is>
          <t>※ 이 값은 '기업정보' 시트에서 선택한 적용 기업명이 자동으로 반영된 것입니다. 상세 폐기물명(E열) 입력 시 폐기물 종류(D열)가 '회사별_폐기물매핑' 매핑표를 기준으로 자동 매칭됩니다.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5" customHeight="1" s="71">
      <c r="B19" s="60" t="inlineStr">
        <is>
          <t>*국가</t>
        </is>
      </c>
      <c r="C19" s="60" t="inlineStr">
        <is>
          <t>*사업장</t>
        </is>
      </c>
      <c r="D19" s="60" t="inlineStr">
        <is>
          <t>*폐기물 종류</t>
        </is>
      </c>
      <c r="E19" s="68" t="inlineStr">
        <is>
          <t>상세 폐기물명(선택)</t>
        </is>
      </c>
      <c r="F19" s="60" t="inlineStr">
        <is>
          <t>*단위</t>
        </is>
      </c>
      <c r="G19" s="60" t="inlineStr">
        <is>
          <t>*처리방법</t>
        </is>
      </c>
      <c r="H19" s="62" t="inlineStr">
        <is>
          <t>연간 입력</t>
        </is>
      </c>
      <c r="I19" s="62" t="inlineStr">
        <is>
          <t>월별 처리량</t>
        </is>
      </c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4" t="n"/>
      <c r="U19" s="60" t="inlineStr">
        <is>
          <t>비고(선택)</t>
        </is>
      </c>
      <c r="V19" s="60" t="inlineStr">
        <is>
          <t>배출계수(tCO2e/단위)</t>
        </is>
      </c>
      <c r="W19" s="60" t="inlineStr">
        <is>
          <t>배출량(tCO2e)</t>
        </is>
      </c>
    </row>
    <row r="20" ht="32.1" customHeight="1" s="71">
      <c r="B20" s="61" t="n"/>
      <c r="C20" s="61" t="n"/>
      <c r="D20" s="61" t="n"/>
      <c r="E20" s="61" t="n"/>
      <c r="F20" s="61" t="n"/>
      <c r="G20" s="61" t="n"/>
      <c r="H20" s="60" t="inlineStr">
        <is>
          <t>연간처리량</t>
        </is>
      </c>
      <c r="I20" s="60" t="inlineStr">
        <is>
          <t>1월</t>
        </is>
      </c>
      <c r="J20" s="60" t="inlineStr">
        <is>
          <t>2월</t>
        </is>
      </c>
      <c r="K20" s="60" t="inlineStr">
        <is>
          <t>3월</t>
        </is>
      </c>
      <c r="L20" s="60" t="inlineStr">
        <is>
          <t>4월</t>
        </is>
      </c>
      <c r="M20" s="60" t="inlineStr">
        <is>
          <t>5월</t>
        </is>
      </c>
      <c r="N20" s="60" t="inlineStr">
        <is>
          <t>6월</t>
        </is>
      </c>
      <c r="O20" s="60" t="inlineStr">
        <is>
          <t>7월</t>
        </is>
      </c>
      <c r="P20" s="60" t="inlineStr">
        <is>
          <t>8월</t>
        </is>
      </c>
      <c r="Q20" s="60" t="inlineStr">
        <is>
          <t>9월</t>
        </is>
      </c>
      <c r="R20" s="60" t="inlineStr">
        <is>
          <t>10월</t>
        </is>
      </c>
      <c r="S20" s="60" t="inlineStr">
        <is>
          <t>11월</t>
        </is>
      </c>
      <c r="T20" s="60" t="inlineStr">
        <is>
          <t>12월</t>
        </is>
      </c>
      <c r="U20" s="61" t="n"/>
      <c r="V20" s="61" t="n"/>
      <c r="W20" s="61" t="n"/>
    </row>
    <row r="21" ht="24" customHeight="1" s="71">
      <c r="B21" s="3" t="inlineStr">
        <is>
          <t>대한민국</t>
        </is>
      </c>
      <c r="C21" s="3" t="inlineStr">
        <is>
          <t>본사</t>
        </is>
      </c>
      <c r="D21" s="3" t="inlineStr">
        <is>
          <t>폐지류</t>
        </is>
      </c>
      <c r="E21" s="4" t="inlineStr">
        <is>
          <t>골판지 박스</t>
        </is>
      </c>
      <c r="F21" s="3" t="inlineStr">
        <is>
          <t>kg</t>
        </is>
      </c>
      <c r="G21" s="3" t="inlineStr">
        <is>
          <t>재활용</t>
        </is>
      </c>
      <c r="H21" s="3">
        <f>IF(SUM(I21:T21)=0,"",SUM(I21:T21))</f>
        <v/>
      </c>
      <c r="I21" s="3" t="n">
        <v>10</v>
      </c>
      <c r="J21" s="3" t="n">
        <v>10</v>
      </c>
      <c r="K21" s="3" t="n">
        <v>10</v>
      </c>
      <c r="L21" s="3" t="n">
        <v>10</v>
      </c>
      <c r="M21" s="3" t="n">
        <v>10</v>
      </c>
      <c r="N21" s="3" t="n">
        <v>10</v>
      </c>
      <c r="O21" s="3" t="n">
        <v>10</v>
      </c>
      <c r="P21" s="3" t="n">
        <v>10</v>
      </c>
      <c r="Q21" s="3" t="n">
        <v>10</v>
      </c>
      <c r="R21" s="3" t="n">
        <v>10</v>
      </c>
      <c r="S21" s="3" t="n">
        <v>10</v>
      </c>
      <c r="T21" s="3" t="n">
        <v>10</v>
      </c>
      <c r="U21" s="4" t="inlineStr">
        <is>
          <t>처리업체 자료 기준</t>
        </is>
      </c>
      <c r="V21" s="5" t="n"/>
      <c r="W21" s="5" t="n"/>
    </row>
    <row r="22">
      <c r="B22" s="6" t="n"/>
      <c r="C22" s="6" t="n"/>
      <c r="D22" s="6">
        <f>IFERROR(INDEX(회사별_폐기물매핑!$C$2:$C$1000,MATCH(1,INDEX(($C$14=회사별_폐기물매핑!$A$2:$A$1000)*($E22=회사별_폐기물매핑!$B$2:$B$1000),0),0)),"")</f>
        <v/>
      </c>
      <c r="E22" s="7" t="inlineStr">
        <is>
          <t>일반쓰레기</t>
        </is>
      </c>
      <c r="F22" s="6" t="n"/>
      <c r="G22" s="6" t="n"/>
      <c r="H22" s="6">
        <f>IF(SUM(I22:T22)=0,"",SUM(I22:T22))</f>
        <v/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7" t="n"/>
      <c r="V22" s="8" t="n"/>
      <c r="W22" s="8" t="n"/>
    </row>
    <row r="23">
      <c r="B23" s="6" t="n"/>
      <c r="C23" s="6" t="n"/>
      <c r="D23" s="6">
        <f>IFERROR(INDEX(회사별_폐기물매핑!$C$2:$C$1000,MATCH(1,INDEX(($C$14=회사별_폐기물매핑!$A$2:$A$1000)*($E23=회사별_폐기물매핑!$B$2:$B$1000),0),0)),"")</f>
        <v/>
      </c>
      <c r="E23" s="7" t="inlineStr">
        <is>
          <t>폐아스발트</t>
        </is>
      </c>
      <c r="F23" s="6" t="n"/>
      <c r="G23" s="6" t="n"/>
      <c r="H23" s="6">
        <f>IF(SUM(I23:T23)=0,"",SUM(I23:T23))</f>
        <v/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7" t="n"/>
      <c r="V23" s="8" t="n"/>
      <c r="W23" s="8" t="n"/>
    </row>
    <row r="24">
      <c r="B24" s="6" t="n"/>
      <c r="C24" s="6" t="n"/>
      <c r="D24" s="6">
        <f>IFERROR(INDEX(회사별_폐기물매핑!$C$2:$C$1000,MATCH(1,INDEX(($C$14=회사별_폐기물매핑!$A$2:$A$1000)*($E24=회사별_폐기물매핑!$B$2:$B$1000),0),0)),"")</f>
        <v/>
      </c>
      <c r="E24" s="7" t="n"/>
      <c r="F24" s="6" t="n"/>
      <c r="G24" s="6" t="n"/>
      <c r="H24" s="6">
        <f>IF(SUM(I24:T24)=0,"",SUM(I24:T24))</f>
        <v/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7" t="n"/>
      <c r="V24" s="8" t="n"/>
      <c r="W24" s="8" t="n"/>
    </row>
    <row r="25">
      <c r="B25" s="6" t="n"/>
      <c r="C25" s="6" t="n"/>
      <c r="D25" s="6">
        <f>IFERROR(INDEX(회사별_폐기물매핑!$C$2:$C$1000,MATCH(1,INDEX(($C$14=회사별_폐기물매핑!$A$2:$A$1000)*($E25=회사별_폐기물매핑!$B$2:$B$1000),0),0)),"")</f>
        <v/>
      </c>
      <c r="E25" s="7" t="n"/>
      <c r="F25" s="6" t="n"/>
      <c r="G25" s="6" t="n"/>
      <c r="H25" s="6">
        <f>IF(SUM(I25:T25)=0,"",SUM(I25:T25))</f>
        <v/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7" t="n"/>
      <c r="V25" s="8" t="n"/>
      <c r="W25" s="8" t="n"/>
    </row>
    <row r="26">
      <c r="B26" s="6" t="n"/>
      <c r="C26" s="6" t="n"/>
      <c r="D26" s="6">
        <f>IFERROR(INDEX(회사별_폐기물매핑!$C$2:$C$1000,MATCH(1,INDEX(($C$14=회사별_폐기물매핑!$A$2:$A$1000)*($E26=회사별_폐기물매핑!$B$2:$B$1000),0),0)),"")</f>
        <v/>
      </c>
      <c r="E26" s="7" t="n"/>
      <c r="F26" s="6" t="n"/>
      <c r="G26" s="6" t="n"/>
      <c r="H26" s="6">
        <f>IF(SUM(I26:T26)=0,"",SUM(I26:T26))</f>
        <v/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7" t="n"/>
      <c r="V26" s="8" t="n"/>
      <c r="W26" s="8" t="n"/>
    </row>
    <row r="27">
      <c r="B27" s="6" t="n"/>
      <c r="C27" s="6" t="n"/>
      <c r="D27" s="6">
        <f>IFERROR(INDEX(회사별_폐기물매핑!$C$2:$C$1000,MATCH(1,INDEX(($C$14=회사별_폐기물매핑!$A$2:$A$1000)*($E27=회사별_폐기물매핑!$B$2:$B$1000),0),0)),"")</f>
        <v/>
      </c>
      <c r="E27" s="7" t="n"/>
      <c r="F27" s="6" t="n"/>
      <c r="G27" s="6" t="n"/>
      <c r="H27" s="6">
        <f>IF(SUM(I27:T27)=0,"",SUM(I27:T27))</f>
        <v/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7" t="n"/>
      <c r="V27" s="8" t="n"/>
      <c r="W27" s="8" t="n"/>
    </row>
    <row r="28">
      <c r="B28" s="6" t="n"/>
      <c r="C28" s="6" t="n"/>
      <c r="D28" s="6">
        <f>IFERROR(INDEX(회사별_폐기물매핑!$C$2:$C$1000,MATCH(1,INDEX(($C$14=회사별_폐기물매핑!$A$2:$A$1000)*($E28=회사별_폐기물매핑!$B$2:$B$1000),0),0)),"")</f>
        <v/>
      </c>
      <c r="E28" s="7" t="n"/>
      <c r="F28" s="6" t="n"/>
      <c r="G28" s="6" t="n"/>
      <c r="H28" s="6">
        <f>IF(SUM(I28:T28)=0,"",SUM(I28:T28))</f>
        <v/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7" t="n"/>
      <c r="V28" s="8" t="n"/>
      <c r="W28" s="8" t="n"/>
    </row>
    <row r="29">
      <c r="B29" s="6" t="n"/>
      <c r="C29" s="6" t="n"/>
      <c r="D29" s="6">
        <f>IFERROR(INDEX(회사별_폐기물매핑!$C$2:$C$1000,MATCH(1,INDEX(($C$14=회사별_폐기물매핑!$A$2:$A$1000)*($E29=회사별_폐기물매핑!$B$2:$B$1000),0),0)),"")</f>
        <v/>
      </c>
      <c r="E29" s="7" t="n"/>
      <c r="F29" s="6" t="n"/>
      <c r="G29" s="6" t="n"/>
      <c r="H29" s="6">
        <f>IF(SUM(I29:T29)=0,"",SUM(I29:T29))</f>
        <v/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7" t="n"/>
      <c r="V29" s="8" t="n"/>
      <c r="W29" s="8" t="n"/>
    </row>
    <row r="30">
      <c r="B30" s="6" t="n"/>
      <c r="C30" s="6" t="n"/>
      <c r="D30" s="6">
        <f>IFERROR(INDEX(회사별_폐기물매핑!$C$2:$C$1000,MATCH(1,INDEX(($C$14=회사별_폐기물매핑!$A$2:$A$1000)*($E30=회사별_폐기물매핑!$B$2:$B$1000),0),0)),"")</f>
        <v/>
      </c>
      <c r="E30" s="7" t="n"/>
      <c r="F30" s="6" t="n"/>
      <c r="G30" s="6" t="n"/>
      <c r="H30" s="6">
        <f>IF(SUM(I30:T30)=0,"",SUM(I30:T30))</f>
        <v/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7" t="n"/>
      <c r="V30" s="8" t="n"/>
      <c r="W30" s="8" t="n"/>
    </row>
    <row r="31">
      <c r="B31" s="6" t="n"/>
      <c r="C31" s="6" t="n"/>
      <c r="D31" s="6">
        <f>IFERROR(INDEX(회사별_폐기물매핑!$C$2:$C$1000,MATCH(1,INDEX(($C$14=회사별_폐기물매핑!$A$2:$A$1000)*($E31=회사별_폐기물매핑!$B$2:$B$1000),0),0)),"")</f>
        <v/>
      </c>
      <c r="E31" s="7" t="n"/>
      <c r="F31" s="6" t="n"/>
      <c r="G31" s="6" t="n"/>
      <c r="H31" s="6">
        <f>IF(SUM(I31:T31)=0,"",SUM(I31:T31))</f>
        <v/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7" t="n"/>
      <c r="V31" s="8" t="n"/>
      <c r="W31" s="8" t="n"/>
    </row>
    <row r="32">
      <c r="B32" s="6" t="n"/>
      <c r="C32" s="6" t="n"/>
      <c r="D32" s="6">
        <f>IFERROR(INDEX(회사별_폐기물매핑!$C$2:$C$1000,MATCH(1,INDEX(($C$14=회사별_폐기물매핑!$A$2:$A$1000)*($E32=회사별_폐기물매핑!$B$2:$B$1000),0),0)),"")</f>
        <v/>
      </c>
      <c r="E32" s="7" t="n"/>
      <c r="F32" s="6" t="n"/>
      <c r="G32" s="6" t="n"/>
      <c r="H32" s="6">
        <f>IF(SUM(I32:T32)=0,"",SUM(I32:T32))</f>
        <v/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7" t="n"/>
      <c r="V32" s="8" t="n"/>
      <c r="W32" s="8" t="n"/>
    </row>
    <row r="33">
      <c r="B33" s="6" t="n"/>
      <c r="C33" s="6" t="n"/>
      <c r="D33" s="6">
        <f>IFERROR(INDEX(회사별_폐기물매핑!$C$2:$C$1000,MATCH(1,INDEX(($C$14=회사별_폐기물매핑!$A$2:$A$1000)*($E33=회사별_폐기물매핑!$B$2:$B$1000),0),0)),"")</f>
        <v/>
      </c>
      <c r="E33" s="7" t="n"/>
      <c r="F33" s="6" t="n"/>
      <c r="G33" s="6" t="n"/>
      <c r="H33" s="6">
        <f>IF(SUM(I33:T33)=0,"",SUM(I33:T33))</f>
        <v/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7" t="n"/>
      <c r="V33" s="8" t="n"/>
      <c r="W33" s="8" t="n"/>
    </row>
    <row r="34">
      <c r="B34" s="6" t="n"/>
      <c r="C34" s="6" t="n"/>
      <c r="D34" s="6">
        <f>IFERROR(INDEX(회사별_폐기물매핑!$C$2:$C$1000,MATCH(1,INDEX(($C$14=회사별_폐기물매핑!$A$2:$A$1000)*($E34=회사별_폐기물매핑!$B$2:$B$1000),0),0)),"")</f>
        <v/>
      </c>
      <c r="E34" s="7" t="n"/>
      <c r="F34" s="6" t="n"/>
      <c r="G34" s="6" t="n"/>
      <c r="H34" s="6">
        <f>IF(SUM(I34:T34)=0,"",SUM(I34:T34))</f>
        <v/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7" t="n"/>
      <c r="V34" s="8" t="n"/>
      <c r="W34" s="8" t="n"/>
    </row>
    <row r="35">
      <c r="B35" s="6" t="n"/>
      <c r="C35" s="6" t="n"/>
      <c r="D35" s="6">
        <f>IFERROR(INDEX(회사별_폐기물매핑!$C$2:$C$1000,MATCH(1,INDEX(($C$14=회사별_폐기물매핑!$A$2:$A$1000)*($E35=회사별_폐기물매핑!$B$2:$B$1000),0),0)),"")</f>
        <v/>
      </c>
      <c r="E35" s="7" t="n"/>
      <c r="F35" s="6" t="n"/>
      <c r="G35" s="6" t="n"/>
      <c r="H35" s="6">
        <f>IF(SUM(I35:T35)=0,"",SUM(I35:T35))</f>
        <v/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7" t="n"/>
      <c r="V35" s="8" t="n"/>
      <c r="W35" s="8" t="n"/>
    </row>
    <row r="36">
      <c r="B36" s="6" t="n"/>
      <c r="C36" s="6" t="n"/>
      <c r="D36" s="6">
        <f>IFERROR(INDEX(회사별_폐기물매핑!$C$2:$C$1000,MATCH(1,INDEX(($C$14=회사별_폐기물매핑!$A$2:$A$1000)*($E36=회사별_폐기물매핑!$B$2:$B$1000),0),0)),"")</f>
        <v/>
      </c>
      <c r="E36" s="7" t="n"/>
      <c r="F36" s="6" t="n"/>
      <c r="G36" s="6" t="n"/>
      <c r="H36" s="6">
        <f>IF(SUM(I36:T36)=0,"",SUM(I36:T36))</f>
        <v/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7" t="n"/>
      <c r="V36" s="8" t="n"/>
      <c r="W36" s="8" t="n"/>
    </row>
    <row r="37">
      <c r="B37" s="6" t="n"/>
      <c r="C37" s="6" t="n"/>
      <c r="D37" s="6">
        <f>IFERROR(INDEX(회사별_폐기물매핑!$C$2:$C$1000,MATCH(1,INDEX(($C$14=회사별_폐기물매핑!$A$2:$A$1000)*($E37=회사별_폐기물매핑!$B$2:$B$1000),0),0)),"")</f>
        <v/>
      </c>
      <c r="E37" s="7" t="n"/>
      <c r="F37" s="6" t="n"/>
      <c r="G37" s="6" t="n"/>
      <c r="H37" s="6">
        <f>IF(SUM(I37:T37)=0,"",SUM(I37:T37))</f>
        <v/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7" t="n"/>
      <c r="V37" s="8" t="n"/>
      <c r="W37" s="8" t="n"/>
    </row>
    <row r="38">
      <c r="B38" s="6" t="n"/>
      <c r="C38" s="6" t="n"/>
      <c r="D38" s="6">
        <f>IFERROR(INDEX(회사별_폐기물매핑!$C$2:$C$1000,MATCH(1,INDEX(($C$14=회사별_폐기물매핑!$A$2:$A$1000)*($E38=회사별_폐기물매핑!$B$2:$B$1000),0),0)),"")</f>
        <v/>
      </c>
      <c r="E38" s="7" t="n"/>
      <c r="F38" s="6" t="n"/>
      <c r="G38" s="6" t="n"/>
      <c r="H38" s="6">
        <f>IF(SUM(I38:T38)=0,"",SUM(I38:T38))</f>
        <v/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7" t="n"/>
      <c r="V38" s="8" t="n"/>
      <c r="W38" s="8" t="n"/>
    </row>
    <row r="39">
      <c r="B39" s="6" t="n"/>
      <c r="C39" s="6" t="n"/>
      <c r="D39" s="6">
        <f>IFERROR(INDEX(회사별_폐기물매핑!$C$2:$C$1000,MATCH(1,INDEX(($C$14=회사별_폐기물매핑!$A$2:$A$1000)*($E39=회사별_폐기물매핑!$B$2:$B$1000),0),0)),"")</f>
        <v/>
      </c>
      <c r="E39" s="7" t="n"/>
      <c r="F39" s="6" t="n"/>
      <c r="G39" s="6" t="n"/>
      <c r="H39" s="6">
        <f>IF(SUM(I39:T39)=0,"",SUM(I39:T39))</f>
        <v/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7" t="n"/>
      <c r="V39" s="8" t="n"/>
      <c r="W39" s="8" t="n"/>
    </row>
    <row r="40">
      <c r="B40" s="6" t="n"/>
      <c r="C40" s="6" t="n"/>
      <c r="D40" s="6">
        <f>IFERROR(INDEX(회사별_폐기물매핑!$C$2:$C$1000,MATCH(1,INDEX(($C$14=회사별_폐기물매핑!$A$2:$A$1000)*($E40=회사별_폐기물매핑!$B$2:$B$1000),0),0)),"")</f>
        <v/>
      </c>
      <c r="E40" s="7" t="n"/>
      <c r="F40" s="6" t="n"/>
      <c r="G40" s="6" t="n"/>
      <c r="H40" s="6">
        <f>IF(SUM(I40:T40)=0,"",SUM(I40:T40))</f>
        <v/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7" t="n"/>
      <c r="V40" s="8" t="n"/>
      <c r="W40" s="8" t="n"/>
    </row>
    <row r="41">
      <c r="B41" s="6" t="n"/>
      <c r="C41" s="6" t="n"/>
      <c r="D41" s="6">
        <f>IFERROR(INDEX(회사별_폐기물매핑!$C$2:$C$1000,MATCH(1,INDEX(($C$14=회사별_폐기물매핑!$A$2:$A$1000)*($E41=회사별_폐기물매핑!$B$2:$B$1000),0),0)),"")</f>
        <v/>
      </c>
      <c r="E41" s="7" t="n"/>
      <c r="F41" s="6" t="n"/>
      <c r="G41" s="6" t="n"/>
      <c r="H41" s="6">
        <f>IF(SUM(I41:T41)=0,"",SUM(I41:T41))</f>
        <v/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7" t="n"/>
      <c r="V41" s="8" t="n"/>
      <c r="W41" s="8" t="n"/>
    </row>
    <row r="42">
      <c r="B42" s="6" t="n"/>
      <c r="C42" s="6" t="n"/>
      <c r="D42" s="6">
        <f>IFERROR(INDEX(회사별_폐기물매핑!$C$2:$C$1000,MATCH(1,INDEX(($C$14=회사별_폐기물매핑!$A$2:$A$1000)*($E42=회사별_폐기물매핑!$B$2:$B$1000),0),0)),"")</f>
        <v/>
      </c>
      <c r="E42" s="7" t="n"/>
      <c r="F42" s="6" t="n"/>
      <c r="G42" s="6" t="n"/>
      <c r="H42" s="6">
        <f>IF(SUM(I42:T42)=0,"",SUM(I42:T42))</f>
        <v/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7" t="n"/>
      <c r="V42" s="8" t="n"/>
      <c r="W42" s="8" t="n"/>
    </row>
    <row r="43">
      <c r="B43" s="6" t="n"/>
      <c r="C43" s="6" t="n"/>
      <c r="D43" s="6">
        <f>IFERROR(INDEX(회사별_폐기물매핑!$C$2:$C$1000,MATCH(1,INDEX(($C$14=회사별_폐기물매핑!$A$2:$A$1000)*($E43=회사별_폐기물매핑!$B$2:$B$1000),0),0)),"")</f>
        <v/>
      </c>
      <c r="E43" s="7" t="n"/>
      <c r="F43" s="6" t="n"/>
      <c r="G43" s="6" t="n"/>
      <c r="H43" s="6">
        <f>IF(SUM(I43:T43)=0,"",SUM(I43:T43))</f>
        <v/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7" t="n"/>
      <c r="V43" s="8" t="n"/>
      <c r="W43" s="8" t="n"/>
    </row>
    <row r="44">
      <c r="B44" s="6" t="n"/>
      <c r="C44" s="6" t="n"/>
      <c r="D44" s="6">
        <f>IFERROR(INDEX(회사별_폐기물매핑!$C$2:$C$1000,MATCH(1,INDEX(($C$14=회사별_폐기물매핑!$A$2:$A$1000)*($E44=회사별_폐기물매핑!$B$2:$B$1000),0),0)),"")</f>
        <v/>
      </c>
      <c r="E44" s="7" t="n"/>
      <c r="F44" s="6" t="n"/>
      <c r="G44" s="6" t="n"/>
      <c r="H44" s="6">
        <f>IF(SUM(I44:T44)=0,"",SUM(I44:T44))</f>
        <v/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7" t="n"/>
      <c r="V44" s="8" t="n"/>
      <c r="W44" s="8" t="n"/>
    </row>
    <row r="45">
      <c r="B45" s="6" t="n"/>
      <c r="C45" s="6" t="n"/>
      <c r="D45" s="6">
        <f>IFERROR(INDEX(회사별_폐기물매핑!$C$2:$C$1000,MATCH(1,INDEX(($C$14=회사별_폐기물매핑!$A$2:$A$1000)*($E45=회사별_폐기물매핑!$B$2:$B$1000),0),0)),"")</f>
        <v/>
      </c>
      <c r="E45" s="7" t="n"/>
      <c r="F45" s="6" t="n"/>
      <c r="G45" s="6" t="n"/>
      <c r="H45" s="6">
        <f>IF(SUM(I45:T45)=0,"",SUM(I45:T45))</f>
        <v/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7" t="n"/>
      <c r="V45" s="8" t="n"/>
      <c r="W45" s="8" t="n"/>
    </row>
    <row r="46">
      <c r="B46" s="6" t="n"/>
      <c r="C46" s="6" t="n"/>
      <c r="D46" s="6">
        <f>IFERROR(INDEX(회사별_폐기물매핑!$C$2:$C$1000,MATCH(1,INDEX(($C$14=회사별_폐기물매핑!$A$2:$A$1000)*($E46=회사별_폐기물매핑!$B$2:$B$1000),0),0)),"")</f>
        <v/>
      </c>
      <c r="E46" s="7" t="n"/>
      <c r="F46" s="6" t="n"/>
      <c r="G46" s="6" t="n"/>
      <c r="H46" s="6">
        <f>IF(SUM(I46:T46)=0,"",SUM(I46:T46))</f>
        <v/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7" t="n"/>
      <c r="V46" s="8" t="n"/>
      <c r="W46" s="8" t="n"/>
    </row>
    <row r="47">
      <c r="B47" s="6" t="n"/>
      <c r="C47" s="6" t="n"/>
      <c r="D47" s="6">
        <f>IFERROR(INDEX(회사별_폐기물매핑!$C$2:$C$1000,MATCH(1,INDEX(($C$14=회사별_폐기물매핑!$A$2:$A$1000)*($E47=회사별_폐기물매핑!$B$2:$B$1000),0),0)),"")</f>
        <v/>
      </c>
      <c r="E47" s="7" t="n"/>
      <c r="F47" s="6" t="n"/>
      <c r="G47" s="6" t="n"/>
      <c r="H47" s="6">
        <f>IF(SUM(I47:T47)=0,"",SUM(I47:T47))</f>
        <v/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7" t="n"/>
      <c r="V47" s="8" t="n"/>
      <c r="W47" s="8" t="n"/>
    </row>
    <row r="48">
      <c r="B48" s="6" t="n"/>
      <c r="C48" s="6" t="n"/>
      <c r="D48" s="6">
        <f>IFERROR(INDEX(회사별_폐기물매핑!$C$2:$C$1000,MATCH(1,INDEX(($C$14=회사별_폐기물매핑!$A$2:$A$1000)*($E48=회사별_폐기물매핑!$B$2:$B$1000),0),0)),"")</f>
        <v/>
      </c>
      <c r="E48" s="7" t="n"/>
      <c r="F48" s="6" t="n"/>
      <c r="G48" s="6" t="n"/>
      <c r="H48" s="6">
        <f>IF(SUM(I48:T48)=0,"",SUM(I48:T48))</f>
        <v/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7" t="n"/>
      <c r="V48" s="8" t="n"/>
      <c r="W48" s="8" t="n"/>
    </row>
    <row r="49">
      <c r="B49" s="6" t="n"/>
      <c r="C49" s="6" t="n"/>
      <c r="D49" s="6">
        <f>IFERROR(INDEX(회사별_폐기물매핑!$C$2:$C$1000,MATCH(1,INDEX(($C$14=회사별_폐기물매핑!$A$2:$A$1000)*($E49=회사별_폐기물매핑!$B$2:$B$1000),0),0)),"")</f>
        <v/>
      </c>
      <c r="E49" s="7" t="n"/>
      <c r="F49" s="6" t="n"/>
      <c r="G49" s="6" t="n"/>
      <c r="H49" s="6">
        <f>IF(SUM(I49:T49)=0,"",SUM(I49:T49))</f>
        <v/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7" t="n"/>
      <c r="V49" s="8" t="n"/>
      <c r="W49" s="8" t="n"/>
    </row>
    <row r="50">
      <c r="B50" s="6" t="n"/>
      <c r="C50" s="6" t="n"/>
      <c r="D50" s="6">
        <f>IFERROR(INDEX(회사별_폐기물매핑!$C$2:$C$1000,MATCH(1,INDEX(($C$14=회사별_폐기물매핑!$A$2:$A$1000)*($E50=회사별_폐기물매핑!$B$2:$B$1000),0),0)),"")</f>
        <v/>
      </c>
      <c r="E50" s="7" t="n"/>
      <c r="F50" s="6" t="n"/>
      <c r="G50" s="6" t="n"/>
      <c r="H50" s="6">
        <f>IF(SUM(I50:T50)=0,"",SUM(I50:T50))</f>
        <v/>
      </c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7" t="n"/>
      <c r="V50" s="8" t="n"/>
      <c r="W50" s="8" t="n"/>
    </row>
    <row r="51">
      <c r="B51" s="6" t="n"/>
      <c r="C51" s="6" t="n"/>
      <c r="D51" s="6">
        <f>IFERROR(INDEX(회사별_폐기물매핑!$C$2:$C$1000,MATCH(1,INDEX(($C$14=회사별_폐기물매핑!$A$2:$A$1000)*($E51=회사별_폐기물매핑!$B$2:$B$1000),0),0)),"")</f>
        <v/>
      </c>
      <c r="E51" s="7" t="n"/>
      <c r="F51" s="6" t="n"/>
      <c r="G51" s="6" t="n"/>
      <c r="H51" s="6">
        <f>IF(SUM(I51:T51)=0,"",SUM(I51:T51))</f>
        <v/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7" t="n"/>
      <c r="V51" s="8" t="n"/>
      <c r="W51" s="8" t="n"/>
    </row>
    <row r="52">
      <c r="B52" s="6" t="n"/>
      <c r="C52" s="6" t="n"/>
      <c r="D52" s="6">
        <f>IFERROR(INDEX(회사별_폐기물매핑!$C$2:$C$1000,MATCH(1,INDEX(($C$14=회사별_폐기물매핑!$A$2:$A$1000)*($E52=회사별_폐기물매핑!$B$2:$B$1000),0),0)),"")</f>
        <v/>
      </c>
      <c r="E52" s="7" t="n"/>
      <c r="F52" s="6" t="n"/>
      <c r="G52" s="6" t="n"/>
      <c r="H52" s="6">
        <f>IF(SUM(I52:T52)=0,"",SUM(I52:T52))</f>
        <v/>
      </c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7" t="n"/>
      <c r="V52" s="8" t="n"/>
      <c r="W52" s="8" t="n"/>
    </row>
    <row r="53">
      <c r="B53" s="6" t="n"/>
      <c r="C53" s="6" t="n"/>
      <c r="D53" s="6">
        <f>IFERROR(INDEX(회사별_폐기물매핑!$C$2:$C$1000,MATCH(1,INDEX(($C$14=회사별_폐기물매핑!$A$2:$A$1000)*($E53=회사별_폐기물매핑!$B$2:$B$1000),0),0)),"")</f>
        <v/>
      </c>
      <c r="E53" s="7" t="n"/>
      <c r="F53" s="6" t="n"/>
      <c r="G53" s="6" t="n"/>
      <c r="H53" s="6">
        <f>IF(SUM(I53:T53)=0,"",SUM(I53:T53))</f>
        <v/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7" t="n"/>
      <c r="V53" s="8" t="n"/>
      <c r="W53" s="8" t="n"/>
    </row>
    <row r="54">
      <c r="B54" s="6" t="n"/>
      <c r="C54" s="6" t="n"/>
      <c r="D54" s="6">
        <f>IFERROR(INDEX(회사별_폐기물매핑!$C$2:$C$1000,MATCH(1,INDEX(($C$14=회사별_폐기물매핑!$A$2:$A$1000)*($E54=회사별_폐기물매핑!$B$2:$B$1000),0),0)),"")</f>
        <v/>
      </c>
      <c r="E54" s="7" t="n"/>
      <c r="F54" s="6" t="n"/>
      <c r="G54" s="6" t="n"/>
      <c r="H54" s="6">
        <f>IF(SUM(I54:T54)=0,"",SUM(I54:T54))</f>
        <v/>
      </c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7" t="n"/>
      <c r="V54" s="8" t="n"/>
      <c r="W54" s="8" t="n"/>
    </row>
    <row r="55">
      <c r="B55" s="6" t="n"/>
      <c r="C55" s="6" t="n"/>
      <c r="D55" s="6">
        <f>IFERROR(INDEX(회사별_폐기물매핑!$C$2:$C$1000,MATCH(1,INDEX(($C$14=회사별_폐기물매핑!$A$2:$A$1000)*($E55=회사별_폐기물매핑!$B$2:$B$1000),0),0)),"")</f>
        <v/>
      </c>
      <c r="E55" s="7" t="n"/>
      <c r="F55" s="6" t="n"/>
      <c r="G55" s="6" t="n"/>
      <c r="H55" s="6">
        <f>IF(SUM(I55:T55)=0,"",SUM(I55:T55))</f>
        <v/>
      </c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7" t="n"/>
      <c r="V55" s="8" t="n"/>
      <c r="W55" s="8" t="n"/>
    </row>
    <row r="56">
      <c r="B56" s="6" t="n"/>
      <c r="C56" s="6" t="n"/>
      <c r="D56" s="6">
        <f>IFERROR(INDEX(회사별_폐기물매핑!$C$2:$C$1000,MATCH(1,INDEX(($C$14=회사별_폐기물매핑!$A$2:$A$1000)*($E56=회사별_폐기물매핑!$B$2:$B$1000),0),0)),"")</f>
        <v/>
      </c>
      <c r="E56" s="7" t="n"/>
      <c r="F56" s="6" t="n"/>
      <c r="G56" s="6" t="n"/>
      <c r="H56" s="6">
        <f>IF(SUM(I56:T56)=0,"",SUM(I56:T56))</f>
        <v/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7" t="n"/>
      <c r="V56" s="8" t="n"/>
      <c r="W56" s="8" t="n"/>
    </row>
    <row r="57">
      <c r="D57">
        <f>IFERROR(INDEX(회사별_폐기물매핑!$C$2:$C$1000,MATCH(1,INDEX(($C$14=회사별_폐기물매핑!$A$2:$A$1000)*($E57=회사별_폐기물매핑!$B$2:$B$1000),0),0)),"")</f>
        <v/>
      </c>
      <c r="H57">
        <f>IF(SUM(I57:T57)=0,"",SUM(I57:T57))</f>
        <v/>
      </c>
    </row>
    <row r="58">
      <c r="D58">
        <f>IFERROR(INDEX(회사별_폐기물매핑!$C$2:$C$1000,MATCH(1,INDEX(($C$14=회사별_폐기물매핑!$A$2:$A$1000)*($E58=회사별_폐기물매핑!$B$2:$B$1000),0),0)),"")</f>
        <v/>
      </c>
      <c r="H58">
        <f>IF(SUM(I58:T58)=0,"",SUM(I58:T58))</f>
        <v/>
      </c>
    </row>
    <row r="59">
      <c r="D59">
        <f>IFERROR(INDEX(회사별_폐기물매핑!$C$2:$C$1000,MATCH(1,INDEX(($C$14=회사별_폐기물매핑!$A$2:$A$1000)*($E59=회사별_폐기물매핑!$B$2:$B$1000),0),0)),"")</f>
        <v/>
      </c>
      <c r="H59">
        <f>IF(SUM(I59:T59)=0,"",SUM(I59:T59))</f>
        <v/>
      </c>
    </row>
    <row r="60">
      <c r="D60">
        <f>IFERROR(INDEX(회사별_폐기물매핑!$C$2:$C$1000,MATCH(1,INDEX(($C$14=회사별_폐기물매핑!$A$2:$A$1000)*($E60=회사별_폐기물매핑!$B$2:$B$1000),0),0)),"")</f>
        <v/>
      </c>
      <c r="H60">
        <f>IF(SUM(I60:T60)=0,"",SUM(I60:T60))</f>
        <v/>
      </c>
    </row>
    <row r="61">
      <c r="D61">
        <f>IFERROR(INDEX(회사별_폐기물매핑!$C$2:$C$1000,MATCH(1,INDEX(($C$14=회사별_폐기물매핑!$A$2:$A$1000)*($E61=회사별_폐기물매핑!$B$2:$B$1000),0),0)),"")</f>
        <v/>
      </c>
      <c r="H61">
        <f>IF(SUM(I61:T61)=0,"",SUM(I61:T61))</f>
        <v/>
      </c>
    </row>
    <row r="62">
      <c r="D62">
        <f>IFERROR(INDEX(회사별_폐기물매핑!$C$2:$C$1000,MATCH(1,INDEX(($C$14=회사별_폐기물매핑!$A$2:$A$1000)*($E62=회사별_폐기물매핑!$B$2:$B$1000),0),0)),"")</f>
        <v/>
      </c>
      <c r="H62">
        <f>IF(SUM(I62:T62)=0,"",SUM(I62:T62))</f>
        <v/>
      </c>
    </row>
    <row r="63">
      <c r="D63">
        <f>IFERROR(INDEX(회사별_폐기물매핑!$C$2:$C$1000,MATCH(1,INDEX(($C$14=회사별_폐기물매핑!$A$2:$A$1000)*($E63=회사별_폐기물매핑!$B$2:$B$1000),0),0)),"")</f>
        <v/>
      </c>
      <c r="H63">
        <f>IF(SUM(I63:T63)=0,"",SUM(I63:T63))</f>
        <v/>
      </c>
    </row>
    <row r="64">
      <c r="D64">
        <f>IFERROR(INDEX(회사별_폐기물매핑!$C$2:$C$1000,MATCH(1,INDEX(($C$14=회사별_폐기물매핑!$A$2:$A$1000)*($E64=회사별_폐기물매핑!$B$2:$B$1000),0),0)),"")</f>
        <v/>
      </c>
      <c r="H64">
        <f>IF(SUM(I64:T64)=0,"",SUM(I64:T64))</f>
        <v/>
      </c>
    </row>
    <row r="65">
      <c r="D65">
        <f>IFERROR(INDEX(회사별_폐기물매핑!$C$2:$C$1000,MATCH(1,INDEX(($C$14=회사별_폐기물매핑!$A$2:$A$1000)*($E65=회사별_폐기물매핑!$B$2:$B$1000),0),0)),"")</f>
        <v/>
      </c>
      <c r="H65">
        <f>IF(SUM(I65:T65)=0,"",SUM(I65:T65))</f>
        <v/>
      </c>
    </row>
    <row r="66">
      <c r="D66">
        <f>IFERROR(INDEX(회사별_폐기물매핑!$C$2:$C$1000,MATCH(1,INDEX(($C$14=회사별_폐기물매핑!$A$2:$A$1000)*($E66=회사별_폐기물매핑!$B$2:$B$1000),0),0)),"")</f>
        <v/>
      </c>
      <c r="H66">
        <f>IF(SUM(I66:T66)=0,"",SUM(I66:T66))</f>
        <v/>
      </c>
    </row>
    <row r="67">
      <c r="D67">
        <f>IFERROR(INDEX(회사별_폐기물매핑!$C$2:$C$1000,MATCH(1,INDEX(($C$14=회사별_폐기물매핑!$A$2:$A$1000)*($E67=회사별_폐기물매핑!$B$2:$B$1000),0),0)),"")</f>
        <v/>
      </c>
      <c r="H67">
        <f>IF(SUM(I67:T67)=0,"",SUM(I67:T67))</f>
        <v/>
      </c>
    </row>
    <row r="68">
      <c r="D68">
        <f>IFERROR(INDEX(회사별_폐기물매핑!$C$2:$C$1000,MATCH(1,INDEX(($C$14=회사별_폐기물매핑!$A$2:$A$1000)*($E68=회사별_폐기물매핑!$B$2:$B$1000),0),0)),"")</f>
        <v/>
      </c>
      <c r="H68">
        <f>IF(SUM(I68:T68)=0,"",SUM(I68:T68))</f>
        <v/>
      </c>
    </row>
    <row r="69">
      <c r="D69">
        <f>IFERROR(INDEX(회사별_폐기물매핑!$C$2:$C$1000,MATCH(1,INDEX(($C$14=회사별_폐기물매핑!$A$2:$A$1000)*($E69=회사별_폐기물매핑!$B$2:$B$1000),0),0)),"")</f>
        <v/>
      </c>
      <c r="H69">
        <f>IF(SUM(I69:T69)=0,"",SUM(I69:T69))</f>
        <v/>
      </c>
    </row>
    <row r="70">
      <c r="D70">
        <f>IFERROR(INDEX(회사별_폐기물매핑!$C$2:$C$1000,MATCH(1,INDEX(($C$14=회사별_폐기물매핑!$A$2:$A$1000)*($E70=회사별_폐기물매핑!$B$2:$B$1000),0),0)),"")</f>
        <v/>
      </c>
      <c r="H70">
        <f>IF(SUM(I70:T70)=0,"",SUM(I70:T70))</f>
        <v/>
      </c>
    </row>
    <row r="71">
      <c r="D71">
        <f>IFERROR(INDEX(회사별_폐기물매핑!$C$2:$C$1000,MATCH(1,INDEX(($C$14=회사별_폐기물매핑!$A$2:$A$1000)*($E71=회사별_폐기물매핑!$B$2:$B$1000),0),0)),"")</f>
        <v/>
      </c>
      <c r="H71">
        <f>IF(SUM(I71:T71)=0,"",SUM(I71:T71))</f>
        <v/>
      </c>
    </row>
    <row r="72">
      <c r="D72">
        <f>IFERROR(INDEX(회사별_폐기물매핑!$C$2:$C$1000,MATCH(1,INDEX(($C$14=회사별_폐기물매핑!$A$2:$A$1000)*($E72=회사별_폐기물매핑!$B$2:$B$1000),0),0)),"")</f>
        <v/>
      </c>
      <c r="H72">
        <f>IF(SUM(I72:T72)=0,"",SUM(I72:T72))</f>
        <v/>
      </c>
    </row>
    <row r="73">
      <c r="D73">
        <f>IFERROR(INDEX(회사별_폐기물매핑!$C$2:$C$1000,MATCH(1,INDEX(($C$14=회사별_폐기물매핑!$A$2:$A$1000)*($E73=회사별_폐기물매핑!$B$2:$B$1000),0),0)),"")</f>
        <v/>
      </c>
      <c r="H73">
        <f>IF(SUM(I73:T73)=0,"",SUM(I73:T73))</f>
        <v/>
      </c>
    </row>
    <row r="74">
      <c r="D74">
        <f>IFERROR(INDEX(회사별_폐기물매핑!$C$2:$C$1000,MATCH(1,INDEX(($C$14=회사별_폐기물매핑!$A$2:$A$1000)*($E74=회사별_폐기물매핑!$B$2:$B$1000),0),0)),"")</f>
        <v/>
      </c>
      <c r="H74">
        <f>IF(SUM(I74:T74)=0,"",SUM(I74:T74))</f>
        <v/>
      </c>
    </row>
    <row r="75">
      <c r="D75">
        <f>IFERROR(INDEX(회사별_폐기물매핑!$C$2:$C$1000,MATCH(1,INDEX(($C$14=회사별_폐기물매핑!$A$2:$A$1000)*($E75=회사별_폐기물매핑!$B$2:$B$1000),0),0)),"")</f>
        <v/>
      </c>
      <c r="H75">
        <f>IF(SUM(I75:T75)=0,"",SUM(I75:T75))</f>
        <v/>
      </c>
    </row>
    <row r="76">
      <c r="D76">
        <f>IFERROR(INDEX(회사별_폐기물매핑!$C$2:$C$1000,MATCH(1,INDEX(($C$14=회사별_폐기물매핑!$A$2:$A$1000)*($E76=회사별_폐기물매핑!$B$2:$B$1000),0),0)),"")</f>
        <v/>
      </c>
      <c r="H76">
        <f>IF(SUM(I76:T76)=0,"",SUM(I76:T76))</f>
        <v/>
      </c>
    </row>
    <row r="77">
      <c r="D77">
        <f>IFERROR(INDEX(회사별_폐기물매핑!$C$2:$C$1000,MATCH(1,INDEX(($C$14=회사별_폐기물매핑!$A$2:$A$1000)*($E77=회사별_폐기물매핑!$B$2:$B$1000),0),0)),"")</f>
        <v/>
      </c>
      <c r="H77">
        <f>IF(SUM(I77:T77)=0,"",SUM(I77:T77))</f>
        <v/>
      </c>
    </row>
    <row r="78">
      <c r="D78">
        <f>IFERROR(INDEX(회사별_폐기물매핑!$C$2:$C$1000,MATCH(1,INDEX(($C$14=회사별_폐기물매핑!$A$2:$A$1000)*($E78=회사별_폐기물매핑!$B$2:$B$1000),0),0)),"")</f>
        <v/>
      </c>
      <c r="H78">
        <f>IF(SUM(I78:T78)=0,"",SUM(I78:T78))</f>
        <v/>
      </c>
    </row>
    <row r="79">
      <c r="D79">
        <f>IFERROR(INDEX(회사별_폐기물매핑!$C$2:$C$1000,MATCH(1,INDEX(($C$14=회사별_폐기물매핑!$A$2:$A$1000)*($E79=회사별_폐기물매핑!$B$2:$B$1000),0),0)),"")</f>
        <v/>
      </c>
      <c r="H79">
        <f>IF(SUM(I79:T79)=0,"",SUM(I79:T79))</f>
        <v/>
      </c>
    </row>
    <row r="80">
      <c r="D80">
        <f>IFERROR(INDEX(회사별_폐기물매핑!$C$2:$C$1000,MATCH(1,INDEX(($C$14=회사별_폐기물매핑!$A$2:$A$1000)*($E80=회사별_폐기물매핑!$B$2:$B$1000),0),0)),"")</f>
        <v/>
      </c>
      <c r="H80">
        <f>IF(SUM(I80:T80)=0,"",SUM(I80:T80))</f>
        <v/>
      </c>
    </row>
    <row r="81">
      <c r="D81">
        <f>IFERROR(INDEX(회사별_폐기물매핑!$C$2:$C$1000,MATCH(1,INDEX(($C$14=회사별_폐기물매핑!$A$2:$A$1000)*($E81=회사별_폐기물매핑!$B$2:$B$1000),0),0)),"")</f>
        <v/>
      </c>
      <c r="H81">
        <f>IF(SUM(I81:T81)=0,"",SUM(I81:T81))</f>
        <v/>
      </c>
    </row>
    <row r="82">
      <c r="D82">
        <f>IFERROR(INDEX(회사별_폐기물매핑!$C$2:$C$1000,MATCH(1,INDEX(($C$14=회사별_폐기물매핑!$A$2:$A$1000)*($E82=회사별_폐기물매핑!$B$2:$B$1000),0),0)),"")</f>
        <v/>
      </c>
      <c r="H82">
        <f>IF(SUM(I82:T82)=0,"",SUM(I82:T82))</f>
        <v/>
      </c>
    </row>
    <row r="83">
      <c r="D83">
        <f>IFERROR(INDEX(회사별_폐기물매핑!$C$2:$C$1000,MATCH(1,INDEX(($C$14=회사별_폐기물매핑!$A$2:$A$1000)*($E83=회사별_폐기물매핑!$B$2:$B$1000),0),0)),"")</f>
        <v/>
      </c>
      <c r="H83">
        <f>IF(SUM(I83:T83)=0,"",SUM(I83:T83))</f>
        <v/>
      </c>
    </row>
    <row r="84">
      <c r="D84">
        <f>IFERROR(INDEX(회사별_폐기물매핑!$C$2:$C$1000,MATCH(1,INDEX(($C$14=회사별_폐기물매핑!$A$2:$A$1000)*($E84=회사별_폐기물매핑!$B$2:$B$1000),0),0)),"")</f>
        <v/>
      </c>
      <c r="H84">
        <f>IF(SUM(I84:T84)=0,"",SUM(I84:T84))</f>
        <v/>
      </c>
    </row>
    <row r="85">
      <c r="D85">
        <f>IFERROR(INDEX(회사별_폐기물매핑!$C$2:$C$1000,MATCH(1,INDEX(($C$14=회사별_폐기물매핑!$A$2:$A$1000)*($E85=회사별_폐기물매핑!$B$2:$B$1000),0),0)),"")</f>
        <v/>
      </c>
      <c r="H85">
        <f>IF(SUM(I85:T85)=0,"",SUM(I85:T85))</f>
        <v/>
      </c>
    </row>
    <row r="86">
      <c r="D86">
        <f>IFERROR(INDEX(회사별_폐기물매핑!$C$2:$C$1000,MATCH(1,INDEX(($C$14=회사별_폐기물매핑!$A$2:$A$1000)*($E86=회사별_폐기물매핑!$B$2:$B$1000),0),0)),"")</f>
        <v/>
      </c>
      <c r="H86">
        <f>IF(SUM(I86:T86)=0,"",SUM(I86:T86))</f>
        <v/>
      </c>
    </row>
    <row r="87">
      <c r="D87">
        <f>IFERROR(INDEX(회사별_폐기물매핑!$C$2:$C$1000,MATCH(1,INDEX(($C$14=회사별_폐기물매핑!$A$2:$A$1000)*($E87=회사별_폐기물매핑!$B$2:$B$1000),0),0)),"")</f>
        <v/>
      </c>
      <c r="H87">
        <f>IF(SUM(I87:T87)=0,"",SUM(I87:T87))</f>
        <v/>
      </c>
    </row>
    <row r="88">
      <c r="D88">
        <f>IFERROR(INDEX(회사별_폐기물매핑!$C$2:$C$1000,MATCH(1,INDEX(($C$14=회사별_폐기물매핑!$A$2:$A$1000)*($E88=회사별_폐기물매핑!$B$2:$B$1000),0),0)),"")</f>
        <v/>
      </c>
      <c r="H88">
        <f>IF(SUM(I88:T88)=0,"",SUM(I88:T88))</f>
        <v/>
      </c>
    </row>
    <row r="89">
      <c r="D89">
        <f>IFERROR(INDEX(회사별_폐기물매핑!$C$2:$C$1000,MATCH(1,INDEX(($C$14=회사별_폐기물매핑!$A$2:$A$1000)*($E89=회사별_폐기물매핑!$B$2:$B$1000),0),0)),"")</f>
        <v/>
      </c>
      <c r="H89">
        <f>IF(SUM(I89:T89)=0,"",SUM(I89:T89))</f>
        <v/>
      </c>
    </row>
    <row r="90">
      <c r="D90">
        <f>IFERROR(INDEX(회사별_폐기물매핑!$C$2:$C$1000,MATCH(1,INDEX(($C$14=회사별_폐기물매핑!$A$2:$A$1000)*($E90=회사별_폐기물매핑!$B$2:$B$1000),0),0)),"")</f>
        <v/>
      </c>
      <c r="H90">
        <f>IF(SUM(I90:T90)=0,"",SUM(I90:T90))</f>
        <v/>
      </c>
    </row>
    <row r="91">
      <c r="D91">
        <f>IFERROR(INDEX(회사별_폐기물매핑!$C$2:$C$1000,MATCH(1,INDEX(($C$14=회사별_폐기물매핑!$A$2:$A$1000)*($E91=회사별_폐기물매핑!$B$2:$B$1000),0),0)),"")</f>
        <v/>
      </c>
      <c r="H91">
        <f>IF(SUM(I91:T91)=0,"",SUM(I91:T91))</f>
        <v/>
      </c>
    </row>
    <row r="92">
      <c r="D92">
        <f>IFERROR(INDEX(회사별_폐기물매핑!$C$2:$C$1000,MATCH(1,INDEX(($C$14=회사별_폐기물매핑!$A$2:$A$1000)*($E92=회사별_폐기물매핑!$B$2:$B$1000),0),0)),"")</f>
        <v/>
      </c>
      <c r="H92">
        <f>IF(SUM(I92:T92)=0,"",SUM(I92:T92))</f>
        <v/>
      </c>
    </row>
    <row r="93">
      <c r="D93">
        <f>IFERROR(INDEX(회사별_폐기물매핑!$C$2:$C$1000,MATCH(1,INDEX(($C$14=회사별_폐기물매핑!$A$2:$A$1000)*($E93=회사별_폐기물매핑!$B$2:$B$1000),0),0)),"")</f>
        <v/>
      </c>
      <c r="H93">
        <f>IF(SUM(I93:T93)=0,"",SUM(I93:T93))</f>
        <v/>
      </c>
    </row>
    <row r="94">
      <c r="D94">
        <f>IFERROR(INDEX(회사별_폐기물매핑!$C$2:$C$1000,MATCH(1,INDEX(($C$14=회사별_폐기물매핑!$A$2:$A$1000)*($E94=회사별_폐기물매핑!$B$2:$B$1000),0),0)),"")</f>
        <v/>
      </c>
      <c r="H94">
        <f>IF(SUM(I94:T94)=0,"",SUM(I94:T94))</f>
        <v/>
      </c>
    </row>
    <row r="95">
      <c r="D95">
        <f>IFERROR(INDEX(회사별_폐기물매핑!$C$2:$C$1000,MATCH(1,INDEX(($C$14=회사별_폐기물매핑!$A$2:$A$1000)*($E95=회사별_폐기물매핑!$B$2:$B$1000),0),0)),"")</f>
        <v/>
      </c>
      <c r="H95">
        <f>IF(SUM(I95:T95)=0,"",SUM(I95:T95))</f>
        <v/>
      </c>
    </row>
    <row r="96">
      <c r="D96">
        <f>IFERROR(INDEX(회사별_폐기물매핑!$C$2:$C$1000,MATCH(1,INDEX(($C$14=회사별_폐기물매핑!$A$2:$A$1000)*($E96=회사별_폐기물매핑!$B$2:$B$1000),0),0)),"")</f>
        <v/>
      </c>
      <c r="H96">
        <f>IF(SUM(I96:T96)=0,"",SUM(I96:T96))</f>
        <v/>
      </c>
    </row>
    <row r="97">
      <c r="D97">
        <f>IFERROR(INDEX(회사별_폐기물매핑!$C$2:$C$1000,MATCH(1,INDEX(($C$14=회사별_폐기물매핑!$A$2:$A$1000)*($E97=회사별_폐기물매핑!$B$2:$B$1000),0),0)),"")</f>
        <v/>
      </c>
      <c r="H97">
        <f>IF(SUM(I97:T97)=0,"",SUM(I97:T97))</f>
        <v/>
      </c>
    </row>
    <row r="98">
      <c r="D98">
        <f>IFERROR(INDEX(회사별_폐기물매핑!$C$2:$C$1000,MATCH(1,INDEX(($C$14=회사별_폐기물매핑!$A$2:$A$1000)*($E98=회사별_폐기물매핑!$B$2:$B$1000),0),0)),"")</f>
        <v/>
      </c>
      <c r="H98">
        <f>IF(SUM(I98:T98)=0,"",SUM(I98:T98))</f>
        <v/>
      </c>
    </row>
    <row r="99">
      <c r="D99">
        <f>IFERROR(INDEX(회사별_폐기물매핑!$C$2:$C$1000,MATCH(1,INDEX(($C$14=회사별_폐기물매핑!$A$2:$A$1000)*($E99=회사별_폐기물매핑!$B$2:$B$1000),0),0)),"")</f>
        <v/>
      </c>
      <c r="H99">
        <f>IF(SUM(I99:T99)=0,"",SUM(I99:T99))</f>
        <v/>
      </c>
    </row>
    <row r="100">
      <c r="D100">
        <f>IFERROR(INDEX(회사별_폐기물매핑!$C$2:$C$1000,MATCH(1,INDEX(($C$14=회사별_폐기물매핑!$A$2:$A$1000)*($E100=회사별_폐기물매핑!$B$2:$B$1000),0),0)),"")</f>
        <v/>
      </c>
      <c r="H100">
        <f>IF(SUM(I100:T100)=0,"",SUM(I100:T100))</f>
        <v/>
      </c>
    </row>
    <row r="101">
      <c r="D101">
        <f>IFERROR(INDEX(회사별_폐기물매핑!$C$2:$C$1000,MATCH(1,INDEX(($C$14=회사별_폐기물매핑!$A$2:$A$1000)*($E101=회사별_폐기물매핑!$B$2:$B$1000),0),0)),"")</f>
        <v/>
      </c>
      <c r="H101">
        <f>IF(SUM(I101:T101)=0,"",SUM(I101:T101))</f>
        <v/>
      </c>
    </row>
    <row r="102">
      <c r="D102">
        <f>IFERROR(INDEX(회사별_폐기물매핑!$C$2:$C$1000,MATCH(1,INDEX(($C$14=회사별_폐기물매핑!$A$2:$A$1000)*($E102=회사별_폐기물매핑!$B$2:$B$1000),0),0)),"")</f>
        <v/>
      </c>
      <c r="H102">
        <f>IF(SUM(I102:T102)=0,"",SUM(I102:T102))</f>
        <v/>
      </c>
    </row>
    <row r="103">
      <c r="D103">
        <f>IFERROR(INDEX(회사별_폐기물매핑!$C$2:$C$1000,MATCH(1,INDEX(($C$14=회사별_폐기물매핑!$A$2:$A$1000)*($E103=회사별_폐기물매핑!$B$2:$B$1000),0),0)),"")</f>
        <v/>
      </c>
      <c r="H103">
        <f>IF(SUM(I103:T103)=0,"",SUM(I103:T103))</f>
        <v/>
      </c>
    </row>
    <row r="104">
      <c r="D104">
        <f>IFERROR(INDEX(회사별_폐기물매핑!$C$2:$C$1000,MATCH(1,INDEX(($C$14=회사별_폐기물매핑!$A$2:$A$1000)*($E104=회사별_폐기물매핑!$B$2:$B$1000),0),0)),"")</f>
        <v/>
      </c>
      <c r="H104">
        <f>IF(SUM(I104:T104)=0,"",SUM(I104:T104))</f>
        <v/>
      </c>
    </row>
    <row r="105">
      <c r="D105">
        <f>IFERROR(INDEX(회사별_폐기물매핑!$C$2:$C$1000,MATCH(1,INDEX(($C$14=회사별_폐기물매핑!$A$2:$A$1000)*($E105=회사별_폐기물매핑!$B$2:$B$1000),0),0)),"")</f>
        <v/>
      </c>
      <c r="H105">
        <f>IF(SUM(I105:T105)=0,"",SUM(I105:T105))</f>
        <v/>
      </c>
    </row>
    <row r="106">
      <c r="D106">
        <f>IFERROR(INDEX(회사별_폐기물매핑!$C$2:$C$1000,MATCH(1,INDEX(($C$14=회사별_폐기물매핑!$A$2:$A$1000)*($E106=회사별_폐기물매핑!$B$2:$B$1000),0),0)),"")</f>
        <v/>
      </c>
      <c r="H106">
        <f>IF(SUM(I106:T106)=0,"",SUM(I106:T106))</f>
        <v/>
      </c>
    </row>
    <row r="107">
      <c r="D107">
        <f>IFERROR(INDEX(회사별_폐기물매핑!$C$2:$C$1000,MATCH(1,INDEX(($C$14=회사별_폐기물매핑!$A$2:$A$1000)*($E107=회사별_폐기물매핑!$B$2:$B$1000),0),0)),"")</f>
        <v/>
      </c>
      <c r="H107">
        <f>IF(SUM(I107:T107)=0,"",SUM(I107:T107))</f>
        <v/>
      </c>
    </row>
    <row r="108">
      <c r="D108">
        <f>IFERROR(INDEX(회사별_폐기물매핑!$C$2:$C$1000,MATCH(1,INDEX(($C$14=회사별_폐기물매핑!$A$2:$A$1000)*($E108=회사별_폐기물매핑!$B$2:$B$1000),0),0)),"")</f>
        <v/>
      </c>
      <c r="H108">
        <f>IF(SUM(I108:T108)=0,"",SUM(I108:T108))</f>
        <v/>
      </c>
    </row>
    <row r="109">
      <c r="D109">
        <f>IFERROR(INDEX(회사별_폐기물매핑!$C$2:$C$1000,MATCH(1,INDEX(($C$14=회사별_폐기물매핑!$A$2:$A$1000)*($E109=회사별_폐기물매핑!$B$2:$B$1000),0),0)),"")</f>
        <v/>
      </c>
      <c r="H109">
        <f>IF(SUM(I109:T109)=0,"",SUM(I109:T109))</f>
        <v/>
      </c>
    </row>
    <row r="110">
      <c r="D110">
        <f>IFERROR(INDEX(회사별_폐기물매핑!$C$2:$C$1000,MATCH(1,INDEX(($C$14=회사별_폐기물매핑!$A$2:$A$1000)*($E110=회사별_폐기물매핑!$B$2:$B$1000),0),0)),"")</f>
        <v/>
      </c>
      <c r="H110">
        <f>IF(SUM(I110:T110)=0,"",SUM(I110:T110))</f>
        <v/>
      </c>
    </row>
    <row r="111">
      <c r="D111">
        <f>IFERROR(INDEX(회사별_폐기물매핑!$C$2:$C$1000,MATCH(1,INDEX(($C$14=회사별_폐기물매핑!$A$2:$A$1000)*($E111=회사별_폐기물매핑!$B$2:$B$1000),0),0)),"")</f>
        <v/>
      </c>
      <c r="H111">
        <f>IF(SUM(I111:T111)=0,"",SUM(I111:T111))</f>
        <v/>
      </c>
    </row>
    <row r="112">
      <c r="D112">
        <f>IFERROR(INDEX(회사별_폐기물매핑!$C$2:$C$1000,MATCH(1,INDEX(($C$14=회사별_폐기물매핑!$A$2:$A$1000)*($E112=회사별_폐기물매핑!$B$2:$B$1000),0),0)),"")</f>
        <v/>
      </c>
      <c r="H112">
        <f>IF(SUM(I112:T112)=0,"",SUM(I112:T112))</f>
        <v/>
      </c>
    </row>
    <row r="113">
      <c r="D113">
        <f>IFERROR(INDEX(회사별_폐기물매핑!$C$2:$C$1000,MATCH(1,INDEX(($C$14=회사별_폐기물매핑!$A$2:$A$1000)*($E113=회사별_폐기물매핑!$B$2:$B$1000),0),0)),"")</f>
        <v/>
      </c>
      <c r="H113">
        <f>IF(SUM(I113:T113)=0,"",SUM(I113:T113))</f>
        <v/>
      </c>
    </row>
    <row r="114">
      <c r="D114">
        <f>IFERROR(INDEX(회사별_폐기물매핑!$C$2:$C$1000,MATCH(1,INDEX(($C$14=회사별_폐기물매핑!$A$2:$A$1000)*($E114=회사별_폐기물매핑!$B$2:$B$1000),0),0)),"")</f>
        <v/>
      </c>
      <c r="H114">
        <f>IF(SUM(I114:T114)=0,"",SUM(I114:T114))</f>
        <v/>
      </c>
    </row>
    <row r="115">
      <c r="D115">
        <f>IFERROR(INDEX(회사별_폐기물매핑!$C$2:$C$1000,MATCH(1,INDEX(($C$14=회사별_폐기물매핑!$A$2:$A$1000)*($E115=회사별_폐기물매핑!$B$2:$B$1000),0),0)),"")</f>
        <v/>
      </c>
      <c r="H115">
        <f>IF(SUM(I115:T115)=0,"",SUM(I115:T115))</f>
        <v/>
      </c>
    </row>
    <row r="116">
      <c r="D116">
        <f>IFERROR(INDEX(회사별_폐기물매핑!$C$2:$C$1000,MATCH(1,INDEX(($C$14=회사별_폐기물매핑!$A$2:$A$1000)*($E116=회사별_폐기물매핑!$B$2:$B$1000),0),0)),"")</f>
        <v/>
      </c>
      <c r="H116">
        <f>IF(SUM(I116:T116)=0,"",SUM(I116:T116))</f>
        <v/>
      </c>
    </row>
    <row r="117">
      <c r="D117">
        <f>IFERROR(INDEX(회사별_폐기물매핑!$C$2:$C$1000,MATCH(1,INDEX(($C$14=회사별_폐기물매핑!$A$2:$A$1000)*($E117=회사별_폐기물매핑!$B$2:$B$1000),0),0)),"")</f>
        <v/>
      </c>
      <c r="H117">
        <f>IF(SUM(I117:T117)=0,"",SUM(I117:T117))</f>
        <v/>
      </c>
    </row>
    <row r="118">
      <c r="D118">
        <f>IFERROR(INDEX(회사별_폐기물매핑!$C$2:$C$1000,MATCH(1,INDEX(($C$14=회사별_폐기물매핑!$A$2:$A$1000)*($E118=회사별_폐기물매핑!$B$2:$B$1000),0),0)),"")</f>
        <v/>
      </c>
      <c r="H118">
        <f>IF(SUM(I118:T118)=0,"",SUM(I118:T118))</f>
        <v/>
      </c>
    </row>
    <row r="119">
      <c r="D119">
        <f>IFERROR(INDEX(회사별_폐기물매핑!$C$2:$C$1000,MATCH(1,INDEX(($C$14=회사별_폐기물매핑!$A$2:$A$1000)*($E119=회사별_폐기물매핑!$B$2:$B$1000),0),0)),"")</f>
        <v/>
      </c>
      <c r="H119">
        <f>IF(SUM(I119:T119)=0,"",SUM(I119:T119))</f>
        <v/>
      </c>
    </row>
    <row r="120">
      <c r="D120">
        <f>IFERROR(INDEX(회사별_폐기물매핑!$C$2:$C$1000,MATCH(1,INDEX(($C$14=회사별_폐기물매핑!$A$2:$A$1000)*($E120=회사별_폐기물매핑!$B$2:$B$1000),0),0)),"")</f>
        <v/>
      </c>
      <c r="H120">
        <f>IF(SUM(I120:T120)=0,"",SUM(I120:T120))</f>
        <v/>
      </c>
    </row>
    <row r="121">
      <c r="D121">
        <f>IFERROR(INDEX(회사별_폐기물매핑!$C$2:$C$1000,MATCH(1,INDEX(($C$14=회사별_폐기물매핑!$A$2:$A$1000)*($E121=회사별_폐기물매핑!$B$2:$B$1000),0),0)),"")</f>
        <v/>
      </c>
      <c r="H121">
        <f>IF(SUM(I121:T121)=0,"",SUM(I121:T121))</f>
        <v/>
      </c>
    </row>
    <row r="122">
      <c r="D122">
        <f>IFERROR(INDEX(회사별_폐기물매핑!$C$2:$C$1000,MATCH(1,INDEX(($C$14=회사별_폐기물매핑!$A$2:$A$1000)*($E122=회사별_폐기물매핑!$B$2:$B$1000),0),0)),"")</f>
        <v/>
      </c>
      <c r="H122">
        <f>IF(SUM(I122:T122)=0,"",SUM(I122:T122))</f>
        <v/>
      </c>
    </row>
    <row r="123">
      <c r="D123">
        <f>IFERROR(INDEX(회사별_폐기물매핑!$C$2:$C$1000,MATCH(1,INDEX(($C$14=회사별_폐기물매핑!$A$2:$A$1000)*($E123=회사별_폐기물매핑!$B$2:$B$1000),0),0)),"")</f>
        <v/>
      </c>
      <c r="H123">
        <f>IF(SUM(I123:T123)=0,"",SUM(I123:T123))</f>
        <v/>
      </c>
    </row>
    <row r="124">
      <c r="D124">
        <f>IFERROR(INDEX(회사별_폐기물매핑!$C$2:$C$1000,MATCH(1,INDEX(($C$14=회사별_폐기물매핑!$A$2:$A$1000)*($E124=회사별_폐기물매핑!$B$2:$B$1000),0),0)),"")</f>
        <v/>
      </c>
      <c r="H124">
        <f>IF(SUM(I124:T124)=0,"",SUM(I124:T124))</f>
        <v/>
      </c>
    </row>
    <row r="125">
      <c r="D125">
        <f>IFERROR(INDEX(회사별_폐기물매핑!$C$2:$C$1000,MATCH(1,INDEX(($C$14=회사별_폐기물매핑!$A$2:$A$1000)*($E125=회사별_폐기물매핑!$B$2:$B$1000),0),0)),"")</f>
        <v/>
      </c>
      <c r="H125">
        <f>IF(SUM(I125:T125)=0,"",SUM(I125:T125))</f>
        <v/>
      </c>
    </row>
    <row r="126">
      <c r="D126">
        <f>IFERROR(INDEX(회사별_폐기물매핑!$C$2:$C$1000,MATCH(1,INDEX(($C$14=회사별_폐기물매핑!$A$2:$A$1000)*($E126=회사별_폐기물매핑!$B$2:$B$1000),0),0)),"")</f>
        <v/>
      </c>
      <c r="H126">
        <f>IF(SUM(I126:T126)=0,"",SUM(I126:T126))</f>
        <v/>
      </c>
    </row>
    <row r="127">
      <c r="D127">
        <f>IFERROR(INDEX(회사별_폐기물매핑!$C$2:$C$1000,MATCH(1,INDEX(($C$14=회사별_폐기물매핑!$A$2:$A$1000)*($E127=회사별_폐기물매핑!$B$2:$B$1000),0),0)),"")</f>
        <v/>
      </c>
      <c r="H127">
        <f>IF(SUM(I127:T127)=0,"",SUM(I127:T127))</f>
        <v/>
      </c>
    </row>
    <row r="128">
      <c r="D128">
        <f>IFERROR(INDEX(회사별_폐기물매핑!$C$2:$C$1000,MATCH(1,INDEX(($C$14=회사별_폐기물매핑!$A$2:$A$1000)*($E128=회사별_폐기물매핑!$B$2:$B$1000),0),0)),"")</f>
        <v/>
      </c>
      <c r="H128">
        <f>IF(SUM(I128:T128)=0,"",SUM(I128:T128))</f>
        <v/>
      </c>
    </row>
    <row r="129">
      <c r="D129">
        <f>IFERROR(INDEX(회사별_폐기물매핑!$C$2:$C$1000,MATCH(1,INDEX(($C$14=회사별_폐기물매핑!$A$2:$A$1000)*($E129=회사별_폐기물매핑!$B$2:$B$1000),0),0)),"")</f>
        <v/>
      </c>
      <c r="H129">
        <f>IF(SUM(I129:T129)=0,"",SUM(I129:T129))</f>
        <v/>
      </c>
    </row>
    <row r="130">
      <c r="D130">
        <f>IFERROR(INDEX(회사별_폐기물매핑!$C$2:$C$1000,MATCH(1,INDEX(($C$14=회사별_폐기물매핑!$A$2:$A$1000)*($E130=회사별_폐기물매핑!$B$2:$B$1000),0),0)),"")</f>
        <v/>
      </c>
      <c r="H130">
        <f>IF(SUM(I130:T130)=0,"",SUM(I130:T130))</f>
        <v/>
      </c>
    </row>
    <row r="131">
      <c r="D131">
        <f>IFERROR(INDEX(회사별_폐기물매핑!$C$2:$C$1000,MATCH(1,INDEX(($C$14=회사별_폐기물매핑!$A$2:$A$1000)*($E131=회사별_폐기물매핑!$B$2:$B$1000),0),0)),"")</f>
        <v/>
      </c>
      <c r="H131">
        <f>IF(SUM(I131:T131)=0,"",SUM(I131:T131))</f>
        <v/>
      </c>
    </row>
    <row r="132">
      <c r="D132">
        <f>IFERROR(INDEX(회사별_폐기물매핑!$C$2:$C$1000,MATCH(1,INDEX(($C$14=회사별_폐기물매핑!$A$2:$A$1000)*($E132=회사별_폐기물매핑!$B$2:$B$1000),0),0)),"")</f>
        <v/>
      </c>
      <c r="H132">
        <f>IF(SUM(I132:T132)=0,"",SUM(I132:T132))</f>
        <v/>
      </c>
    </row>
    <row r="133">
      <c r="D133">
        <f>IFERROR(INDEX(회사별_폐기물매핑!$C$2:$C$1000,MATCH(1,INDEX(($C$14=회사별_폐기물매핑!$A$2:$A$1000)*($E133=회사별_폐기물매핑!$B$2:$B$1000),0),0)),"")</f>
        <v/>
      </c>
      <c r="H133">
        <f>IF(SUM(I133:T133)=0,"",SUM(I133:T133))</f>
        <v/>
      </c>
    </row>
    <row r="134">
      <c r="D134">
        <f>IFERROR(INDEX(회사별_폐기물매핑!$C$2:$C$1000,MATCH(1,INDEX(($C$14=회사별_폐기물매핑!$A$2:$A$1000)*($E134=회사별_폐기물매핑!$B$2:$B$1000),0),0)),"")</f>
        <v/>
      </c>
      <c r="H134">
        <f>IF(SUM(I134:T134)=0,"",SUM(I134:T134))</f>
        <v/>
      </c>
    </row>
    <row r="135">
      <c r="D135">
        <f>IFERROR(INDEX(회사별_폐기물매핑!$C$2:$C$1000,MATCH(1,INDEX(($C$14=회사별_폐기물매핑!$A$2:$A$1000)*($E135=회사별_폐기물매핑!$B$2:$B$1000),0),0)),"")</f>
        <v/>
      </c>
      <c r="H135">
        <f>IF(SUM(I135:T135)=0,"",SUM(I135:T135))</f>
        <v/>
      </c>
    </row>
    <row r="136">
      <c r="D136">
        <f>IFERROR(INDEX(회사별_폐기물매핑!$C$2:$C$1000,MATCH(1,INDEX(($C$14=회사별_폐기물매핑!$A$2:$A$1000)*($E136=회사별_폐기물매핑!$B$2:$B$1000),0),0)),"")</f>
        <v/>
      </c>
      <c r="H136">
        <f>IF(SUM(I136:T136)=0,"",SUM(I136:T136))</f>
        <v/>
      </c>
    </row>
    <row r="137">
      <c r="D137">
        <f>IFERROR(INDEX(회사별_폐기물매핑!$C$2:$C$1000,MATCH(1,INDEX(($C$14=회사별_폐기물매핑!$A$2:$A$1000)*($E137=회사별_폐기물매핑!$B$2:$B$1000),0),0)),"")</f>
        <v/>
      </c>
      <c r="H137">
        <f>IF(SUM(I137:T137)=0,"",SUM(I137:T137))</f>
        <v/>
      </c>
    </row>
    <row r="138">
      <c r="D138">
        <f>IFERROR(INDEX(회사별_폐기물매핑!$C$2:$C$1000,MATCH(1,INDEX(($C$14=회사별_폐기물매핑!$A$2:$A$1000)*($E138=회사별_폐기물매핑!$B$2:$B$1000),0),0)),"")</f>
        <v/>
      </c>
      <c r="H138">
        <f>IF(SUM(I138:T138)=0,"",SUM(I138:T138))</f>
        <v/>
      </c>
    </row>
    <row r="139">
      <c r="D139">
        <f>IFERROR(INDEX(회사별_폐기물매핑!$C$2:$C$1000,MATCH(1,INDEX(($C$14=회사별_폐기물매핑!$A$2:$A$1000)*($E139=회사별_폐기물매핑!$B$2:$B$1000),0),0)),"")</f>
        <v/>
      </c>
      <c r="H139">
        <f>IF(SUM(I139:T139)=0,"",SUM(I139:T139))</f>
        <v/>
      </c>
    </row>
    <row r="140">
      <c r="D140">
        <f>IFERROR(INDEX(회사별_폐기물매핑!$C$2:$C$1000,MATCH(1,INDEX(($C$14=회사별_폐기물매핑!$A$2:$A$1000)*($E140=회사별_폐기물매핑!$B$2:$B$1000),0),0)),"")</f>
        <v/>
      </c>
      <c r="H140">
        <f>IF(SUM(I140:T140)=0,"",SUM(I140:T140))</f>
        <v/>
      </c>
    </row>
    <row r="141">
      <c r="D141">
        <f>IFERROR(INDEX(회사별_폐기물매핑!$C$2:$C$1000,MATCH(1,INDEX(($C$14=회사별_폐기물매핑!$A$2:$A$1000)*($E141=회사별_폐기물매핑!$B$2:$B$1000),0),0)),"")</f>
        <v/>
      </c>
      <c r="H141">
        <f>IF(SUM(I141:T141)=0,"",SUM(I141:T141))</f>
        <v/>
      </c>
    </row>
    <row r="142">
      <c r="D142">
        <f>IFERROR(INDEX(회사별_폐기물매핑!$C$2:$C$1000,MATCH(1,INDEX(($C$14=회사별_폐기물매핑!$A$2:$A$1000)*($E142=회사별_폐기물매핑!$B$2:$B$1000),0),0)),"")</f>
        <v/>
      </c>
      <c r="H142">
        <f>IF(SUM(I142:T142)=0,"",SUM(I142:T142))</f>
        <v/>
      </c>
    </row>
    <row r="143">
      <c r="D143">
        <f>IFERROR(INDEX(회사별_폐기물매핑!$C$2:$C$1000,MATCH(1,INDEX(($C$14=회사별_폐기물매핑!$A$2:$A$1000)*($E143=회사별_폐기물매핑!$B$2:$B$1000),0),0)),"")</f>
        <v/>
      </c>
      <c r="H143">
        <f>IF(SUM(I143:T143)=0,"",SUM(I143:T143))</f>
        <v/>
      </c>
    </row>
    <row r="144">
      <c r="D144">
        <f>IFERROR(INDEX(회사별_폐기물매핑!$C$2:$C$1000,MATCH(1,INDEX(($C$14=회사별_폐기물매핑!$A$2:$A$1000)*($E144=회사별_폐기물매핑!$B$2:$B$1000),0),0)),"")</f>
        <v/>
      </c>
      <c r="H144">
        <f>IF(SUM(I144:T144)=0,"",SUM(I144:T144))</f>
        <v/>
      </c>
    </row>
    <row r="145">
      <c r="D145">
        <f>IFERROR(INDEX(회사별_폐기물매핑!$C$2:$C$1000,MATCH(1,INDEX(($C$14=회사별_폐기물매핑!$A$2:$A$1000)*($E145=회사별_폐기물매핑!$B$2:$B$1000),0),0)),"")</f>
        <v/>
      </c>
      <c r="H145">
        <f>IF(SUM(I145:T145)=0,"",SUM(I145:T145))</f>
        <v/>
      </c>
    </row>
    <row r="146">
      <c r="D146">
        <f>IFERROR(INDEX(회사별_폐기물매핑!$C$2:$C$1000,MATCH(1,INDEX(($C$14=회사별_폐기물매핑!$A$2:$A$1000)*($E146=회사별_폐기물매핑!$B$2:$B$1000),0),0)),"")</f>
        <v/>
      </c>
      <c r="H146">
        <f>IF(SUM(I146:T146)=0,"",SUM(I146:T146))</f>
        <v/>
      </c>
    </row>
    <row r="147">
      <c r="D147">
        <f>IFERROR(INDEX(회사별_폐기물매핑!$C$2:$C$1000,MATCH(1,INDEX(($C$14=회사별_폐기물매핑!$A$2:$A$1000)*($E147=회사별_폐기물매핑!$B$2:$B$1000),0),0)),"")</f>
        <v/>
      </c>
      <c r="H147">
        <f>IF(SUM(I147:T147)=0,"",SUM(I147:T147))</f>
        <v/>
      </c>
    </row>
    <row r="148">
      <c r="D148">
        <f>IFERROR(INDEX(회사별_폐기물매핑!$C$2:$C$1000,MATCH(1,INDEX(($C$14=회사별_폐기물매핑!$A$2:$A$1000)*($E148=회사별_폐기물매핑!$B$2:$B$1000),0),0)),"")</f>
        <v/>
      </c>
      <c r="H148">
        <f>IF(SUM(I148:T148)=0,"",SUM(I148:T148))</f>
        <v/>
      </c>
    </row>
    <row r="149">
      <c r="D149">
        <f>IFERROR(INDEX(회사별_폐기물매핑!$C$2:$C$1000,MATCH(1,INDEX(($C$14=회사별_폐기물매핑!$A$2:$A$1000)*($E149=회사별_폐기물매핑!$B$2:$B$1000),0),0)),"")</f>
        <v/>
      </c>
      <c r="H149">
        <f>IF(SUM(I149:T149)=0,"",SUM(I149:T149))</f>
        <v/>
      </c>
    </row>
    <row r="150">
      <c r="D150">
        <f>IFERROR(INDEX(회사별_폐기물매핑!$C$2:$C$1000,MATCH(1,INDEX(($C$14=회사별_폐기물매핑!$A$2:$A$1000)*($E150=회사별_폐기물매핑!$B$2:$B$1000),0),0)),"")</f>
        <v/>
      </c>
      <c r="H150">
        <f>IF(SUM(I150:T150)=0,"",SUM(I150:T150))</f>
        <v/>
      </c>
    </row>
    <row r="151">
      <c r="D151">
        <f>IFERROR(INDEX(회사별_폐기물매핑!$C$2:$C$1000,MATCH(1,INDEX(($C$14=회사별_폐기물매핑!$A$2:$A$1000)*($E151=회사별_폐기물매핑!$B$2:$B$1000),0),0)),"")</f>
        <v/>
      </c>
      <c r="H151">
        <f>IF(SUM(I151:T151)=0,"",SUM(I151:T151))</f>
        <v/>
      </c>
    </row>
    <row r="152">
      <c r="D152">
        <f>IFERROR(INDEX(회사별_폐기물매핑!$C$2:$C$1000,MATCH(1,INDEX(($C$14=회사별_폐기물매핑!$A$2:$A$1000)*($E152=회사별_폐기물매핑!$B$2:$B$1000),0),0)),"")</f>
        <v/>
      </c>
      <c r="H152">
        <f>IF(SUM(I152:T152)=0,"",SUM(I152:T152))</f>
        <v/>
      </c>
    </row>
    <row r="153">
      <c r="D153">
        <f>IFERROR(INDEX(회사별_폐기물매핑!$C$2:$C$1000,MATCH(1,INDEX(($C$14=회사별_폐기물매핑!$A$2:$A$1000)*($E153=회사별_폐기물매핑!$B$2:$B$1000),0),0)),"")</f>
        <v/>
      </c>
      <c r="H153">
        <f>IF(SUM(I153:T153)=0,"",SUM(I153:T153))</f>
        <v/>
      </c>
    </row>
    <row r="154">
      <c r="D154">
        <f>IFERROR(INDEX(회사별_폐기물매핑!$C$2:$C$1000,MATCH(1,INDEX(($C$14=회사별_폐기물매핑!$A$2:$A$1000)*($E154=회사별_폐기물매핑!$B$2:$B$1000),0),0)),"")</f>
        <v/>
      </c>
      <c r="H154">
        <f>IF(SUM(I154:T154)=0,"",SUM(I154:T154))</f>
        <v/>
      </c>
    </row>
    <row r="155">
      <c r="D155">
        <f>IFERROR(INDEX(회사별_폐기물매핑!$C$2:$C$1000,MATCH(1,INDEX(($C$14=회사별_폐기물매핑!$A$2:$A$1000)*($E155=회사별_폐기물매핑!$B$2:$B$1000),0),0)),"")</f>
        <v/>
      </c>
      <c r="H155">
        <f>IF(SUM(I155:T155)=0,"",SUM(I155:T155))</f>
        <v/>
      </c>
    </row>
    <row r="156">
      <c r="D156">
        <f>IFERROR(INDEX(회사별_폐기물매핑!$C$2:$C$1000,MATCH(1,INDEX(($C$14=회사별_폐기물매핑!$A$2:$A$1000)*($E156=회사별_폐기물매핑!$B$2:$B$1000),0),0)),"")</f>
        <v/>
      </c>
      <c r="H156">
        <f>IF(SUM(I156:T156)=0,"",SUM(I156:T156))</f>
        <v/>
      </c>
    </row>
    <row r="157">
      <c r="D157">
        <f>IFERROR(INDEX(회사별_폐기물매핑!$C$2:$C$1000,MATCH(1,INDEX(($C$14=회사별_폐기물매핑!$A$2:$A$1000)*($E157=회사별_폐기물매핑!$B$2:$B$1000),0),0)),"")</f>
        <v/>
      </c>
      <c r="H157">
        <f>IF(SUM(I157:T157)=0,"",SUM(I157:T157))</f>
        <v/>
      </c>
    </row>
    <row r="158">
      <c r="D158">
        <f>IFERROR(INDEX(회사별_폐기물매핑!$C$2:$C$1000,MATCH(1,INDEX(($C$14=회사별_폐기물매핑!$A$2:$A$1000)*($E158=회사별_폐기물매핑!$B$2:$B$1000),0),0)),"")</f>
        <v/>
      </c>
      <c r="H158">
        <f>IF(SUM(I158:T158)=0,"",SUM(I158:T158))</f>
        <v/>
      </c>
    </row>
    <row r="159">
      <c r="D159">
        <f>IFERROR(INDEX(회사별_폐기물매핑!$C$2:$C$1000,MATCH(1,INDEX(($C$14=회사별_폐기물매핑!$A$2:$A$1000)*($E159=회사별_폐기물매핑!$B$2:$B$1000),0),0)),"")</f>
        <v/>
      </c>
      <c r="H159">
        <f>IF(SUM(I159:T159)=0,"",SUM(I159:T159))</f>
        <v/>
      </c>
    </row>
    <row r="160">
      <c r="D160">
        <f>IFERROR(INDEX(회사별_폐기물매핑!$C$2:$C$1000,MATCH(1,INDEX(($C$14=회사별_폐기물매핑!$A$2:$A$1000)*($E160=회사별_폐기물매핑!$B$2:$B$1000),0),0)),"")</f>
        <v/>
      </c>
      <c r="H160">
        <f>IF(SUM(I160:T160)=0,"",SUM(I160:T160))</f>
        <v/>
      </c>
    </row>
    <row r="161">
      <c r="D161">
        <f>IFERROR(INDEX(회사별_폐기물매핑!$C$2:$C$1000,MATCH(1,INDEX(($C$14=회사별_폐기물매핑!$A$2:$A$1000)*($E161=회사별_폐기물매핑!$B$2:$B$1000),0),0)),"")</f>
        <v/>
      </c>
      <c r="H161">
        <f>IF(SUM(I161:T161)=0,"",SUM(I161:T161))</f>
        <v/>
      </c>
    </row>
    <row r="162">
      <c r="D162">
        <f>IFERROR(INDEX(회사별_폐기물매핑!$C$2:$C$1000,MATCH(1,INDEX(($C$14=회사별_폐기물매핑!$A$2:$A$1000)*($E162=회사별_폐기물매핑!$B$2:$B$1000),0),0)),"")</f>
        <v/>
      </c>
      <c r="H162">
        <f>IF(SUM(I162:T162)=0,"",SUM(I162:T162))</f>
        <v/>
      </c>
    </row>
    <row r="163">
      <c r="D163">
        <f>IFERROR(INDEX(회사별_폐기물매핑!$C$2:$C$1000,MATCH(1,INDEX(($C$14=회사별_폐기물매핑!$A$2:$A$1000)*($E163=회사별_폐기물매핑!$B$2:$B$1000),0),0)),"")</f>
        <v/>
      </c>
      <c r="H163">
        <f>IF(SUM(I163:T163)=0,"",SUM(I163:T163))</f>
        <v/>
      </c>
    </row>
    <row r="164">
      <c r="D164">
        <f>IFERROR(INDEX(회사별_폐기물매핑!$C$2:$C$1000,MATCH(1,INDEX(($C$14=회사별_폐기물매핑!$A$2:$A$1000)*($E164=회사별_폐기물매핑!$B$2:$B$1000),0),0)),"")</f>
        <v/>
      </c>
      <c r="H164">
        <f>IF(SUM(I164:T164)=0,"",SUM(I164:T164))</f>
        <v/>
      </c>
    </row>
    <row r="165">
      <c r="D165">
        <f>IFERROR(INDEX(회사별_폐기물매핑!$C$2:$C$1000,MATCH(1,INDEX(($C$14=회사별_폐기물매핑!$A$2:$A$1000)*($E165=회사별_폐기물매핑!$B$2:$B$1000),0),0)),"")</f>
        <v/>
      </c>
      <c r="H165">
        <f>IF(SUM(I165:T165)=0,"",SUM(I165:T165))</f>
        <v/>
      </c>
    </row>
    <row r="166">
      <c r="D166">
        <f>IFERROR(INDEX(회사별_폐기물매핑!$C$2:$C$1000,MATCH(1,INDEX(($C$14=회사별_폐기물매핑!$A$2:$A$1000)*($E166=회사별_폐기물매핑!$B$2:$B$1000),0),0)),"")</f>
        <v/>
      </c>
      <c r="H166">
        <f>IF(SUM(I166:T166)=0,"",SUM(I166:T166))</f>
        <v/>
      </c>
    </row>
    <row r="167">
      <c r="D167">
        <f>IFERROR(INDEX(회사별_폐기물매핑!$C$2:$C$1000,MATCH(1,INDEX(($C$14=회사별_폐기물매핑!$A$2:$A$1000)*($E167=회사별_폐기물매핑!$B$2:$B$1000),0),0)),"")</f>
        <v/>
      </c>
      <c r="H167">
        <f>IF(SUM(I167:T167)=0,"",SUM(I167:T167))</f>
        <v/>
      </c>
    </row>
    <row r="168">
      <c r="D168">
        <f>IFERROR(INDEX(회사별_폐기물매핑!$C$2:$C$1000,MATCH(1,INDEX(($C$14=회사별_폐기물매핑!$A$2:$A$1000)*($E168=회사별_폐기물매핑!$B$2:$B$1000),0),0)),"")</f>
        <v/>
      </c>
      <c r="H168">
        <f>IF(SUM(I168:T168)=0,"",SUM(I168:T168))</f>
        <v/>
      </c>
    </row>
    <row r="169">
      <c r="D169">
        <f>IFERROR(INDEX(회사별_폐기물매핑!$C$2:$C$1000,MATCH(1,INDEX(($C$14=회사별_폐기물매핑!$A$2:$A$1000)*($E169=회사별_폐기물매핑!$B$2:$B$1000),0),0)),"")</f>
        <v/>
      </c>
      <c r="H169">
        <f>IF(SUM(I169:T169)=0,"",SUM(I169:T169))</f>
        <v/>
      </c>
    </row>
    <row r="170">
      <c r="D170">
        <f>IFERROR(INDEX(회사별_폐기물매핑!$C$2:$C$1000,MATCH(1,INDEX(($C$14=회사별_폐기물매핑!$A$2:$A$1000)*($E170=회사별_폐기물매핑!$B$2:$B$1000),0),0)),"")</f>
        <v/>
      </c>
      <c r="H170">
        <f>IF(SUM(I170:T170)=0,"",SUM(I170:T170))</f>
        <v/>
      </c>
    </row>
    <row r="171">
      <c r="D171">
        <f>IFERROR(INDEX(회사별_폐기물매핑!$C$2:$C$1000,MATCH(1,INDEX(($C$14=회사별_폐기물매핑!$A$2:$A$1000)*($E171=회사별_폐기물매핑!$B$2:$B$1000),0),0)),"")</f>
        <v/>
      </c>
      <c r="H171">
        <f>IF(SUM(I171:T171)=0,"",SUM(I171:T171))</f>
        <v/>
      </c>
    </row>
    <row r="172">
      <c r="D172">
        <f>IFERROR(INDEX(회사별_폐기물매핑!$C$2:$C$1000,MATCH(1,INDEX(($C$14=회사별_폐기물매핑!$A$2:$A$1000)*($E172=회사별_폐기물매핑!$B$2:$B$1000),0),0)),"")</f>
        <v/>
      </c>
      <c r="H172">
        <f>IF(SUM(I172:T172)=0,"",SUM(I172:T172))</f>
        <v/>
      </c>
    </row>
    <row r="173">
      <c r="D173">
        <f>IFERROR(INDEX(회사별_폐기물매핑!$C$2:$C$1000,MATCH(1,INDEX(($C$14=회사별_폐기물매핑!$A$2:$A$1000)*($E173=회사별_폐기물매핑!$B$2:$B$1000),0),0)),"")</f>
        <v/>
      </c>
      <c r="H173">
        <f>IF(SUM(I173:T173)=0,"",SUM(I173:T173))</f>
        <v/>
      </c>
    </row>
    <row r="174">
      <c r="D174">
        <f>IFERROR(INDEX(회사별_폐기물매핑!$C$2:$C$1000,MATCH(1,INDEX(($C$14=회사별_폐기물매핑!$A$2:$A$1000)*($E174=회사별_폐기물매핑!$B$2:$B$1000),0),0)),"")</f>
        <v/>
      </c>
      <c r="H174">
        <f>IF(SUM(I174:T174)=0,"",SUM(I174:T174))</f>
        <v/>
      </c>
    </row>
    <row r="175">
      <c r="D175">
        <f>IFERROR(INDEX(회사별_폐기물매핑!$C$2:$C$1000,MATCH(1,INDEX(($C$14=회사별_폐기물매핑!$A$2:$A$1000)*($E175=회사별_폐기물매핑!$B$2:$B$1000),0),0)),"")</f>
        <v/>
      </c>
      <c r="H175">
        <f>IF(SUM(I175:T175)=0,"",SUM(I175:T175))</f>
        <v/>
      </c>
    </row>
    <row r="176">
      <c r="D176">
        <f>IFERROR(INDEX(회사별_폐기물매핑!$C$2:$C$1000,MATCH(1,INDEX(($C$14=회사별_폐기물매핑!$A$2:$A$1000)*($E176=회사별_폐기물매핑!$B$2:$B$1000),0),0)),"")</f>
        <v/>
      </c>
      <c r="H176">
        <f>IF(SUM(I176:T176)=0,"",SUM(I176:T176))</f>
        <v/>
      </c>
    </row>
    <row r="177">
      <c r="D177">
        <f>IFERROR(INDEX(회사별_폐기물매핑!$C$2:$C$1000,MATCH(1,INDEX(($C$14=회사별_폐기물매핑!$A$2:$A$1000)*($E177=회사별_폐기물매핑!$B$2:$B$1000),0),0)),"")</f>
        <v/>
      </c>
      <c r="H177">
        <f>IF(SUM(I177:T177)=0,"",SUM(I177:T177))</f>
        <v/>
      </c>
    </row>
    <row r="178">
      <c r="D178">
        <f>IFERROR(INDEX(회사별_폐기물매핑!$C$2:$C$1000,MATCH(1,INDEX(($C$14=회사별_폐기물매핑!$A$2:$A$1000)*($E178=회사별_폐기물매핑!$B$2:$B$1000),0),0)),"")</f>
        <v/>
      </c>
      <c r="H178">
        <f>IF(SUM(I178:T178)=0,"",SUM(I178:T178))</f>
        <v/>
      </c>
    </row>
    <row r="179">
      <c r="D179">
        <f>IFERROR(INDEX(회사별_폐기물매핑!$C$2:$C$1000,MATCH(1,INDEX(($C$14=회사별_폐기물매핑!$A$2:$A$1000)*($E179=회사별_폐기물매핑!$B$2:$B$1000),0),0)),"")</f>
        <v/>
      </c>
      <c r="H179">
        <f>IF(SUM(I179:T179)=0,"",SUM(I179:T179))</f>
        <v/>
      </c>
    </row>
    <row r="180">
      <c r="D180">
        <f>IFERROR(INDEX(회사별_폐기물매핑!$C$2:$C$1000,MATCH(1,INDEX(($C$14=회사별_폐기물매핑!$A$2:$A$1000)*($E180=회사별_폐기물매핑!$B$2:$B$1000),0),0)),"")</f>
        <v/>
      </c>
      <c r="H180">
        <f>IF(SUM(I180:T180)=0,"",SUM(I180:T180))</f>
        <v/>
      </c>
    </row>
    <row r="181">
      <c r="D181">
        <f>IFERROR(INDEX(회사별_폐기물매핑!$C$2:$C$1000,MATCH(1,INDEX(($C$14=회사별_폐기물매핑!$A$2:$A$1000)*($E181=회사별_폐기물매핑!$B$2:$B$1000),0),0)),"")</f>
        <v/>
      </c>
      <c r="H181">
        <f>IF(SUM(I181:T181)=0,"",SUM(I181:T181))</f>
        <v/>
      </c>
    </row>
    <row r="182">
      <c r="D182">
        <f>IFERROR(INDEX(회사별_폐기물매핑!$C$2:$C$1000,MATCH(1,INDEX(($C$14=회사별_폐기물매핑!$A$2:$A$1000)*($E182=회사별_폐기물매핑!$B$2:$B$1000),0),0)),"")</f>
        <v/>
      </c>
      <c r="H182">
        <f>IF(SUM(I182:T182)=0,"",SUM(I182:T182))</f>
        <v/>
      </c>
    </row>
    <row r="183">
      <c r="D183">
        <f>IFERROR(INDEX(회사별_폐기물매핑!$C$2:$C$1000,MATCH(1,INDEX(($C$14=회사별_폐기물매핑!$A$2:$A$1000)*($E183=회사별_폐기물매핑!$B$2:$B$1000),0),0)),"")</f>
        <v/>
      </c>
      <c r="H183">
        <f>IF(SUM(I183:T183)=0,"",SUM(I183:T183))</f>
        <v/>
      </c>
    </row>
    <row r="184">
      <c r="D184">
        <f>IFERROR(INDEX(회사별_폐기물매핑!$C$2:$C$1000,MATCH(1,INDEX(($C$14=회사별_폐기물매핑!$A$2:$A$1000)*($E184=회사별_폐기물매핑!$B$2:$B$1000),0),0)),"")</f>
        <v/>
      </c>
      <c r="H184">
        <f>IF(SUM(I184:T184)=0,"",SUM(I184:T184))</f>
        <v/>
      </c>
    </row>
    <row r="185">
      <c r="D185">
        <f>IFERROR(INDEX(회사별_폐기물매핑!$C$2:$C$1000,MATCH(1,INDEX(($C$14=회사별_폐기물매핑!$A$2:$A$1000)*($E185=회사별_폐기물매핑!$B$2:$B$1000),0),0)),"")</f>
        <v/>
      </c>
      <c r="H185">
        <f>IF(SUM(I185:T185)=0,"",SUM(I185:T185))</f>
        <v/>
      </c>
    </row>
    <row r="186">
      <c r="D186">
        <f>IFERROR(INDEX(회사별_폐기물매핑!$C$2:$C$1000,MATCH(1,INDEX(($C$14=회사별_폐기물매핑!$A$2:$A$1000)*($E186=회사별_폐기물매핑!$B$2:$B$1000),0),0)),"")</f>
        <v/>
      </c>
      <c r="H186">
        <f>IF(SUM(I186:T186)=0,"",SUM(I186:T186))</f>
        <v/>
      </c>
    </row>
    <row r="187">
      <c r="D187">
        <f>IFERROR(INDEX(회사별_폐기물매핑!$C$2:$C$1000,MATCH(1,INDEX(($C$14=회사별_폐기물매핑!$A$2:$A$1000)*($E187=회사별_폐기물매핑!$B$2:$B$1000),0),0)),"")</f>
        <v/>
      </c>
      <c r="H187">
        <f>IF(SUM(I187:T187)=0,"",SUM(I187:T187))</f>
        <v/>
      </c>
    </row>
    <row r="188">
      <c r="D188">
        <f>IFERROR(INDEX(회사별_폐기물매핑!$C$2:$C$1000,MATCH(1,INDEX(($C$14=회사별_폐기물매핑!$A$2:$A$1000)*($E188=회사별_폐기물매핑!$B$2:$B$1000),0),0)),"")</f>
        <v/>
      </c>
      <c r="H188">
        <f>IF(SUM(I188:T188)=0,"",SUM(I188:T188))</f>
        <v/>
      </c>
    </row>
    <row r="189">
      <c r="D189">
        <f>IFERROR(INDEX(회사별_폐기물매핑!$C$2:$C$1000,MATCH(1,INDEX(($C$14=회사별_폐기물매핑!$A$2:$A$1000)*($E189=회사별_폐기물매핑!$B$2:$B$1000),0),0)),"")</f>
        <v/>
      </c>
      <c r="H189">
        <f>IF(SUM(I189:T189)=0,"",SUM(I189:T189))</f>
        <v/>
      </c>
    </row>
    <row r="190">
      <c r="D190">
        <f>IFERROR(INDEX(회사별_폐기물매핑!$C$2:$C$1000,MATCH(1,INDEX(($C$14=회사별_폐기물매핑!$A$2:$A$1000)*($E190=회사별_폐기물매핑!$B$2:$B$1000),0),0)),"")</f>
        <v/>
      </c>
      <c r="H190">
        <f>IF(SUM(I190:T190)=0,"",SUM(I190:T190))</f>
        <v/>
      </c>
    </row>
    <row r="191">
      <c r="D191">
        <f>IFERROR(INDEX(회사별_폐기물매핑!$C$2:$C$1000,MATCH(1,INDEX(($C$14=회사별_폐기물매핑!$A$2:$A$1000)*($E191=회사별_폐기물매핑!$B$2:$B$1000),0),0)),"")</f>
        <v/>
      </c>
      <c r="H191">
        <f>IF(SUM(I191:T191)=0,"",SUM(I191:T191))</f>
        <v/>
      </c>
    </row>
    <row r="192">
      <c r="D192">
        <f>IFERROR(INDEX(회사별_폐기물매핑!$C$2:$C$1000,MATCH(1,INDEX(($C$14=회사별_폐기물매핑!$A$2:$A$1000)*($E192=회사별_폐기물매핑!$B$2:$B$1000),0),0)),"")</f>
        <v/>
      </c>
      <c r="H192">
        <f>IF(SUM(I192:T192)=0,"",SUM(I192:T192))</f>
        <v/>
      </c>
    </row>
    <row r="193">
      <c r="D193">
        <f>IFERROR(INDEX(회사별_폐기물매핑!$C$2:$C$1000,MATCH(1,INDEX(($C$14=회사별_폐기물매핑!$A$2:$A$1000)*($E193=회사별_폐기물매핑!$B$2:$B$1000),0),0)),"")</f>
        <v/>
      </c>
      <c r="H193">
        <f>IF(SUM(I193:T193)=0,"",SUM(I193:T193))</f>
        <v/>
      </c>
    </row>
    <row r="194">
      <c r="D194">
        <f>IFERROR(INDEX(회사별_폐기물매핑!$C$2:$C$1000,MATCH(1,INDEX(($C$14=회사별_폐기물매핑!$A$2:$A$1000)*($E194=회사별_폐기물매핑!$B$2:$B$1000),0),0)),"")</f>
        <v/>
      </c>
      <c r="H194">
        <f>IF(SUM(I194:T194)=0,"",SUM(I194:T194))</f>
        <v/>
      </c>
    </row>
    <row r="195">
      <c r="D195">
        <f>IFERROR(INDEX(회사별_폐기물매핑!$C$2:$C$1000,MATCH(1,INDEX(($C$14=회사별_폐기물매핑!$A$2:$A$1000)*($E195=회사별_폐기물매핑!$B$2:$B$1000),0),0)),"")</f>
        <v/>
      </c>
      <c r="H195">
        <f>IF(SUM(I195:T195)=0,"",SUM(I195:T195))</f>
        <v/>
      </c>
    </row>
    <row r="196">
      <c r="D196">
        <f>IFERROR(INDEX(회사별_폐기물매핑!$C$2:$C$1000,MATCH(1,INDEX(($C$14=회사별_폐기물매핑!$A$2:$A$1000)*($E196=회사별_폐기물매핑!$B$2:$B$1000),0),0)),"")</f>
        <v/>
      </c>
      <c r="H196">
        <f>IF(SUM(I196:T196)=0,"",SUM(I196:T196))</f>
        <v/>
      </c>
    </row>
    <row r="197">
      <c r="D197">
        <f>IFERROR(INDEX(회사별_폐기물매핑!$C$2:$C$1000,MATCH(1,INDEX(($C$14=회사별_폐기물매핑!$A$2:$A$1000)*($E197=회사별_폐기물매핑!$B$2:$B$1000),0),0)),"")</f>
        <v/>
      </c>
      <c r="H197">
        <f>IF(SUM(I197:T197)=0,"",SUM(I197:T197))</f>
        <v/>
      </c>
    </row>
    <row r="198">
      <c r="D198">
        <f>IFERROR(INDEX(회사별_폐기물매핑!$C$2:$C$1000,MATCH(1,INDEX(($C$14=회사별_폐기물매핑!$A$2:$A$1000)*($E198=회사별_폐기물매핑!$B$2:$B$1000),0),0)),"")</f>
        <v/>
      </c>
      <c r="H198">
        <f>IF(SUM(I198:T198)=0,"",SUM(I198:T198))</f>
        <v/>
      </c>
    </row>
    <row r="199">
      <c r="D199">
        <f>IFERROR(INDEX(회사별_폐기물매핑!$C$2:$C$1000,MATCH(1,INDEX(($C$14=회사별_폐기물매핑!$A$2:$A$1000)*($E199=회사별_폐기물매핑!$B$2:$B$1000),0),0)),"")</f>
        <v/>
      </c>
      <c r="H199">
        <f>IF(SUM(I199:T199)=0,"",SUM(I199:T199))</f>
        <v/>
      </c>
    </row>
    <row r="200">
      <c r="D200">
        <f>IFERROR(INDEX(회사별_폐기물매핑!$C$2:$C$1000,MATCH(1,INDEX(($C$14=회사별_폐기물매핑!$A$2:$A$1000)*($E200=회사별_폐기물매핑!$B$2:$B$1000),0),0)),"")</f>
        <v/>
      </c>
      <c r="H200">
        <f>IF(SUM(I200:T200)=0,"",SUM(I200:T200))</f>
        <v/>
      </c>
    </row>
    <row r="201">
      <c r="D201">
        <f>IFERROR(INDEX(회사별_폐기물매핑!$C$2:$C$1000,MATCH(1,INDEX(($C$14=회사별_폐기물매핑!$A$2:$A$1000)*($E201=회사별_폐기물매핑!$B$2:$B$1000),0),0)),"")</f>
        <v/>
      </c>
      <c r="H201">
        <f>IF(SUM(I201:T201)=0,"",SUM(I201:T201))</f>
        <v/>
      </c>
    </row>
    <row r="202">
      <c r="D202">
        <f>IFERROR(INDEX(회사별_폐기물매핑!$C$2:$C$1000,MATCH(1,INDEX(($C$14=회사별_폐기물매핑!$A$2:$A$1000)*($E202=회사별_폐기물매핑!$B$2:$B$1000),0),0)),"")</f>
        <v/>
      </c>
      <c r="H202">
        <f>IF(SUM(I202:T202)=0,"",SUM(I202:T202))</f>
        <v/>
      </c>
    </row>
    <row r="203">
      <c r="D203">
        <f>IFERROR(INDEX(회사별_폐기물매핑!$C$2:$C$1000,MATCH(1,INDEX(($C$14=회사별_폐기물매핑!$A$2:$A$1000)*($E203=회사별_폐기물매핑!$B$2:$B$1000),0),0)),"")</f>
        <v/>
      </c>
      <c r="H203">
        <f>IF(SUM(I203:T203)=0,"",SUM(I203:T203))</f>
        <v/>
      </c>
    </row>
    <row r="204">
      <c r="D204">
        <f>IFERROR(INDEX(회사별_폐기물매핑!$C$2:$C$1000,MATCH(1,INDEX(($C$14=회사별_폐기물매핑!$A$2:$A$1000)*($E204=회사별_폐기물매핑!$B$2:$B$1000),0),0)),"")</f>
        <v/>
      </c>
      <c r="H204">
        <f>IF(SUM(I204:T204)=0,"",SUM(I204:T204))</f>
        <v/>
      </c>
    </row>
    <row r="205">
      <c r="D205">
        <f>IFERROR(INDEX(회사별_폐기물매핑!$C$2:$C$1000,MATCH(1,INDEX(($C$14=회사별_폐기물매핑!$A$2:$A$1000)*($E205=회사별_폐기물매핑!$B$2:$B$1000),0),0)),"")</f>
        <v/>
      </c>
      <c r="H205">
        <f>IF(SUM(I205:T205)=0,"",SUM(I205:T205))</f>
        <v/>
      </c>
    </row>
    <row r="206">
      <c r="D206">
        <f>IFERROR(INDEX(회사별_폐기물매핑!$C$2:$C$1000,MATCH(1,INDEX(($C$14=회사별_폐기물매핑!$A$2:$A$1000)*($E206=회사별_폐기물매핑!$B$2:$B$1000),0),0)),"")</f>
        <v/>
      </c>
      <c r="H206">
        <f>IF(SUM(I206:T206)=0,"",SUM(I206:T206))</f>
        <v/>
      </c>
    </row>
    <row r="207">
      <c r="D207">
        <f>IFERROR(INDEX(회사별_폐기물매핑!$C$2:$C$1000,MATCH(1,INDEX(($C$14=회사별_폐기물매핑!$A$2:$A$1000)*($E207=회사별_폐기물매핑!$B$2:$B$1000),0),0)),"")</f>
        <v/>
      </c>
      <c r="H207">
        <f>IF(SUM(I207:T207)=0,"",SUM(I207:T207))</f>
        <v/>
      </c>
    </row>
    <row r="208">
      <c r="D208">
        <f>IFERROR(INDEX(회사별_폐기물매핑!$C$2:$C$1000,MATCH(1,INDEX(($C$14=회사별_폐기물매핑!$A$2:$A$1000)*($E208=회사별_폐기물매핑!$B$2:$B$1000),0),0)),"")</f>
        <v/>
      </c>
      <c r="H208">
        <f>IF(SUM(I208:T208)=0,"",SUM(I208:T208))</f>
        <v/>
      </c>
    </row>
    <row r="209">
      <c r="D209">
        <f>IFERROR(INDEX(회사별_폐기물매핑!$C$2:$C$1000,MATCH(1,INDEX(($C$14=회사별_폐기물매핑!$A$2:$A$1000)*($E209=회사별_폐기물매핑!$B$2:$B$1000),0),0)),"")</f>
        <v/>
      </c>
      <c r="H209">
        <f>IF(SUM(I209:T209)=0,"",SUM(I209:T209))</f>
        <v/>
      </c>
    </row>
    <row r="210">
      <c r="D210">
        <f>IFERROR(INDEX(회사별_폐기물매핑!$C$2:$C$1000,MATCH(1,INDEX(($C$14=회사별_폐기물매핑!$A$2:$A$1000)*($E210=회사별_폐기물매핑!$B$2:$B$1000),0),0)),"")</f>
        <v/>
      </c>
      <c r="H210">
        <f>IF(SUM(I210:T210)=0,"",SUM(I210:T210))</f>
        <v/>
      </c>
    </row>
    <row r="211">
      <c r="D211">
        <f>IFERROR(INDEX(회사별_폐기물매핑!$C$2:$C$1000,MATCH(1,INDEX(($C$14=회사별_폐기물매핑!$A$2:$A$1000)*($E211=회사별_폐기물매핑!$B$2:$B$1000),0),0)),"")</f>
        <v/>
      </c>
      <c r="H211">
        <f>IF(SUM(I211:T211)=0,"",SUM(I211:T211))</f>
        <v/>
      </c>
    </row>
    <row r="212">
      <c r="D212">
        <f>IFERROR(INDEX(회사별_폐기물매핑!$C$2:$C$1000,MATCH(1,INDEX(($C$14=회사별_폐기물매핑!$A$2:$A$1000)*($E212=회사별_폐기물매핑!$B$2:$B$1000),0),0)),"")</f>
        <v/>
      </c>
      <c r="H212">
        <f>IF(SUM(I212:T212)=0,"",SUM(I212:T212))</f>
        <v/>
      </c>
    </row>
    <row r="213">
      <c r="D213">
        <f>IFERROR(INDEX(회사별_폐기물매핑!$C$2:$C$1000,MATCH(1,INDEX(($C$14=회사별_폐기물매핑!$A$2:$A$1000)*($E213=회사별_폐기물매핑!$B$2:$B$1000),0),0)),"")</f>
        <v/>
      </c>
      <c r="H213">
        <f>IF(SUM(I213:T213)=0,"",SUM(I213:T213))</f>
        <v/>
      </c>
    </row>
    <row r="214">
      <c r="D214">
        <f>IFERROR(INDEX(회사별_폐기물매핑!$C$2:$C$1000,MATCH(1,INDEX(($C$14=회사별_폐기물매핑!$A$2:$A$1000)*($E214=회사별_폐기물매핑!$B$2:$B$1000),0),0)),"")</f>
        <v/>
      </c>
      <c r="H214">
        <f>IF(SUM(I214:T214)=0,"",SUM(I214:T214))</f>
        <v/>
      </c>
    </row>
    <row r="215">
      <c r="D215">
        <f>IFERROR(INDEX(회사별_폐기물매핑!$C$2:$C$1000,MATCH(1,INDEX(($C$14=회사별_폐기물매핑!$A$2:$A$1000)*($E215=회사별_폐기물매핑!$B$2:$B$1000),0),0)),"")</f>
        <v/>
      </c>
      <c r="H215">
        <f>IF(SUM(I215:T215)=0,"",SUM(I215:T215))</f>
        <v/>
      </c>
    </row>
    <row r="216">
      <c r="D216">
        <f>IFERROR(INDEX(회사별_폐기물매핑!$C$2:$C$1000,MATCH(1,INDEX(($C$14=회사별_폐기물매핑!$A$2:$A$1000)*($E216=회사별_폐기물매핑!$B$2:$B$1000),0),0)),"")</f>
        <v/>
      </c>
      <c r="H216">
        <f>IF(SUM(I216:T216)=0,"",SUM(I216:T216))</f>
        <v/>
      </c>
    </row>
    <row r="217">
      <c r="D217">
        <f>IFERROR(INDEX(회사별_폐기물매핑!$C$2:$C$1000,MATCH(1,INDEX(($C$14=회사별_폐기물매핑!$A$2:$A$1000)*($E217=회사별_폐기물매핑!$B$2:$B$1000),0),0)),"")</f>
        <v/>
      </c>
      <c r="H217">
        <f>IF(SUM(I217:T217)=0,"",SUM(I217:T217))</f>
        <v/>
      </c>
    </row>
    <row r="218">
      <c r="D218">
        <f>IFERROR(INDEX(회사별_폐기물매핑!$C$2:$C$1000,MATCH(1,INDEX(($C$14=회사별_폐기물매핑!$A$2:$A$1000)*($E218=회사별_폐기물매핑!$B$2:$B$1000),0),0)),"")</f>
        <v/>
      </c>
      <c r="H218">
        <f>IF(SUM(I218:T218)=0,"",SUM(I218:T218))</f>
        <v/>
      </c>
    </row>
    <row r="219">
      <c r="D219">
        <f>IFERROR(INDEX(회사별_폐기물매핑!$C$2:$C$1000,MATCH(1,INDEX(($C$14=회사별_폐기물매핑!$A$2:$A$1000)*($E219=회사별_폐기물매핑!$B$2:$B$1000),0),0)),"")</f>
        <v/>
      </c>
      <c r="H219">
        <f>IF(SUM(I219:T219)=0,"",SUM(I219:T219))</f>
        <v/>
      </c>
    </row>
    <row r="220">
      <c r="D220">
        <f>IFERROR(INDEX(회사별_폐기물매핑!$C$2:$C$1000,MATCH(1,INDEX(($C$14=회사별_폐기물매핑!$A$2:$A$1000)*($E220=회사별_폐기물매핑!$B$2:$B$1000),0),0)),"")</f>
        <v/>
      </c>
      <c r="H220">
        <f>IF(SUM(I220:T220)=0,"",SUM(I220:T220))</f>
        <v/>
      </c>
    </row>
    <row r="221">
      <c r="D221">
        <f>IFERROR(INDEX(회사별_폐기물매핑!$C$2:$C$1000,MATCH(1,INDEX(($C$14=회사별_폐기물매핑!$A$2:$A$1000)*($E221=회사별_폐기물매핑!$B$2:$B$1000),0),0)),"")</f>
        <v/>
      </c>
      <c r="H221">
        <f>IF(SUM(I221:T221)=0,"",SUM(I221:T221))</f>
        <v/>
      </c>
    </row>
  </sheetData>
  <mergeCells count="10">
    <mergeCell ref="U19:U20"/>
    <mergeCell ref="D19:D20"/>
    <mergeCell ref="W19:W20"/>
    <mergeCell ref="F19:F20"/>
    <mergeCell ref="I19:T19"/>
    <mergeCell ref="V19:V20"/>
    <mergeCell ref="E19:E20"/>
    <mergeCell ref="G19:G20"/>
    <mergeCell ref="B19:B20"/>
    <mergeCell ref="C19:C20"/>
  </mergeCells>
  <dataValidations count="3">
    <dataValidation sqref="D22:D221" showDropDown="0" showInputMessage="0" showErrorMessage="1" allowBlank="1" errorTitle="드롭다운 값 확인" error="배출계수 DB 기준 드롭다운 목록에서 선택해 주세요." type="list">
      <formula1>DD_WASTE_C5_TYPE</formula1>
    </dataValidation>
    <dataValidation sqref="F22:F221" showDropDown="0" showInputMessage="0" showErrorMessage="1" allowBlank="1" errorTitle="드롭다운 값 확인" error="배출계수 DB 기준 드롭다운 목록에서 선택해 주세요." type="list">
      <formula1>DD_WASTE_UNIT</formula1>
    </dataValidation>
    <dataValidation sqref="G22:G221" showDropDown="0" showInputMessage="0" showErrorMessage="1" allowBlank="1" errorTitle="드롭다운 값 확인" error="배출계수 DB 기준 드롭다운 목록에서 선택해 주세요." type="list">
      <formula1>DD_WASTE_METHOD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Y221"/>
  <sheetViews>
    <sheetView tabSelected="1" workbookViewId="0">
      <selection activeCell="F22" sqref="F22"/>
    </sheetView>
  </sheetViews>
  <sheetFormatPr baseColWidth="8" defaultRowHeight="14.25"/>
  <cols>
    <col width="11.75" customWidth="1" style="71" min="2" max="2"/>
    <col width="16" customWidth="1" style="71" min="3" max="3"/>
    <col width="18" customWidth="1" style="71" min="4" max="4"/>
    <col width="10" customWidth="1" style="71" min="5" max="5"/>
    <col width="22" customWidth="1" style="71" min="6" max="7"/>
    <col width="18" customWidth="1" style="71" min="8" max="8"/>
    <col width="16" customWidth="1" style="71" min="9" max="9"/>
    <col width="8" customWidth="1" style="71" min="10" max="21"/>
    <col width="18" customWidth="1" style="71" min="22" max="23"/>
    <col width="16" customWidth="1" style="71" min="24" max="24"/>
    <col width="20" customWidth="1" style="71" min="25" max="25"/>
  </cols>
  <sheetData>
    <row r="2" ht="20.25" customHeight="1" s="71">
      <c r="B2" s="1" t="inlineStr">
        <is>
          <t>C6. 임직원 출장 1안. 이동거리 기반</t>
        </is>
      </c>
    </row>
    <row r="4">
      <c r="B4" s="2" t="inlineStr">
        <is>
          <t>카테고리 정의</t>
        </is>
      </c>
    </row>
    <row r="5">
      <c r="B5" s="11" t="inlineStr">
        <is>
          <t>- 보고년도에 임직원 업무 출장 시 항공, 철도, 차량 등 교통수단 이용으로 발생한 온실가스 배출량</t>
        </is>
      </c>
    </row>
    <row r="6">
      <c r="B6" s="11" t="inlineStr">
        <is>
          <t>- 출발지와 도착지 또는 이동거리를 알고 있는 출장에 적용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Σ(왕복 이동거리 × 교통수단별 배출계수 × 인원수 × 이동횟수)</t>
        </is>
      </c>
    </row>
    <row r="11">
      <c r="B11" s="22" t="inlineStr">
        <is>
          <t xml:space="preserve"> - 온실가스 배출계수는 UK defra 평가계수를 활용 (*UK Government GHG Conversion Factor )</t>
        </is>
      </c>
    </row>
    <row r="12">
      <c r="B12" s="22" t="inlineStr">
        <is>
          <t>2) 편도거리나 출도착지 둘 중 하나는 반드시 작성(노란 박스) / 항공을 이용한 경우 출도착지는 도시명·주소 대신 공항명(예: 인천국제공항)으로 작성 권장 - 미기재 시 AI가 가까운 주요 공항으로 추정해 거리를 계산합니다(주소 기준으로 바로 계산하면 실제 항공 이동거리와 달라질 수 있음)</t>
        </is>
      </c>
    </row>
    <row r="13">
      <c r="B13" s="11" t="inlineStr">
        <is>
          <t>3) 숙박비와 교통비 지출금액만 아는 경우 C6-2 시트에 작성</t>
        </is>
      </c>
    </row>
    <row r="14" ht="15" customHeight="1" s="71">
      <c r="B14" s="69" t="inlineStr">
        <is>
          <t>*적용 기업명</t>
        </is>
      </c>
      <c r="C14" s="57">
        <f>기업정보!$C$7</f>
        <v/>
      </c>
    </row>
    <row r="15">
      <c r="B15" s="56" t="inlineStr">
        <is>
          <t>※ '기업정보' 시트에서 선택한 적용 기업명이 자동 반영됩니다. 상세 교통수단명(Y열) 입력 시 *교통수단(D열)이 '회사별_교통수단매핑' 매핑표를 기준으로 자동 매칭됩니다.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5" customHeight="1" s="71">
      <c r="B19" s="60" t="inlineStr">
        <is>
          <t>*국가</t>
        </is>
      </c>
      <c r="C19" s="60" t="inlineStr">
        <is>
          <t>*출장주체</t>
        </is>
      </c>
      <c r="D19" s="60" t="inlineStr">
        <is>
          <t>*교통수단</t>
        </is>
      </c>
      <c r="E19" s="60" t="inlineStr">
        <is>
          <t>*인원수</t>
        </is>
      </c>
      <c r="F19" s="62" t="inlineStr">
        <is>
          <t>출도착지</t>
        </is>
      </c>
      <c r="G19" s="64" t="n"/>
      <c r="H19" s="16" t="n"/>
      <c r="I19" s="62" t="inlineStr">
        <is>
          <t>연간 입력</t>
        </is>
      </c>
      <c r="J19" s="62" t="inlineStr">
        <is>
          <t>월별 이동횟수</t>
        </is>
      </c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4" t="n"/>
      <c r="V19" s="60" t="inlineStr">
        <is>
          <t>비고(선택)</t>
        </is>
      </c>
      <c r="W19" s="60" t="inlineStr">
        <is>
          <t>배출계수(tCO2e/km)</t>
        </is>
      </c>
      <c r="X19" s="60" t="inlineStr">
        <is>
          <t>배출량(tCO2e)</t>
        </is>
      </c>
      <c r="Y19" s="69" t="inlineStr">
        <is>
          <t>상세 교통수단명(선택)</t>
        </is>
      </c>
    </row>
    <row r="20" ht="15.75" customHeight="1" s="71">
      <c r="B20" s="61" t="n"/>
      <c r="C20" s="61" t="n"/>
      <c r="D20" s="61" t="n"/>
      <c r="E20" s="61" t="n"/>
      <c r="F20" s="67" t="inlineStr">
        <is>
          <t>출발지</t>
        </is>
      </c>
      <c r="G20" s="67" t="inlineStr">
        <is>
          <t>도착지</t>
        </is>
      </c>
      <c r="H20" s="60" t="inlineStr">
        <is>
          <t>편도거리(km)(선택)</t>
        </is>
      </c>
      <c r="I20" s="60" t="inlineStr">
        <is>
          <t>연간이동횟수</t>
        </is>
      </c>
      <c r="J20" s="60" t="inlineStr">
        <is>
          <t>1월</t>
        </is>
      </c>
      <c r="K20" s="60" t="inlineStr">
        <is>
          <t>2월</t>
        </is>
      </c>
      <c r="L20" s="60" t="inlineStr">
        <is>
          <t>3월</t>
        </is>
      </c>
      <c r="M20" s="60" t="inlineStr">
        <is>
          <t>4월</t>
        </is>
      </c>
      <c r="N20" s="60" t="inlineStr">
        <is>
          <t>5월</t>
        </is>
      </c>
      <c r="O20" s="60" t="inlineStr">
        <is>
          <t>6월</t>
        </is>
      </c>
      <c r="P20" s="60" t="inlineStr">
        <is>
          <t>7월</t>
        </is>
      </c>
      <c r="Q20" s="60" t="inlineStr">
        <is>
          <t>8월</t>
        </is>
      </c>
      <c r="R20" s="60" t="inlineStr">
        <is>
          <t>9월</t>
        </is>
      </c>
      <c r="S20" s="60" t="inlineStr">
        <is>
          <t>10월</t>
        </is>
      </c>
      <c r="T20" s="60" t="inlineStr">
        <is>
          <t>11월</t>
        </is>
      </c>
      <c r="U20" s="60" t="inlineStr">
        <is>
          <t>12월</t>
        </is>
      </c>
      <c r="V20" s="61" t="n"/>
      <c r="W20" s="61" t="n"/>
      <c r="X20" s="61" t="n"/>
      <c r="Y20" s="61" t="n"/>
    </row>
    <row r="21">
      <c r="B21" s="3" t="inlineStr">
        <is>
          <t>대한민국</t>
        </is>
      </c>
      <c r="C21" s="3" t="inlineStr">
        <is>
          <t>본사</t>
        </is>
      </c>
      <c r="D21" s="3" t="inlineStr">
        <is>
          <t>철도/KTX/SRT</t>
        </is>
      </c>
      <c r="E21" s="3" t="n">
        <v>2</v>
      </c>
      <c r="F21" s="9" t="inlineStr">
        <is>
          <t>서울역</t>
        </is>
      </c>
      <c r="G21" s="9" t="inlineStr">
        <is>
          <t>부산역</t>
        </is>
      </c>
      <c r="H21" s="13" t="n">
        <v>325</v>
      </c>
      <c r="I21" s="3">
        <f>IF(SUM(J21:U21)=0,"",SUM(J21:U21))</f>
        <v/>
      </c>
      <c r="J21" s="3" t="n"/>
      <c r="K21" s="3" t="n"/>
      <c r="L21" s="3" t="n">
        <v>1</v>
      </c>
      <c r="M21" s="3" t="n"/>
      <c r="N21" s="3" t="n"/>
      <c r="O21" s="3" t="n"/>
      <c r="P21" s="3" t="n">
        <v>1</v>
      </c>
      <c r="Q21" s="3" t="n"/>
      <c r="R21" s="3" t="n"/>
      <c r="S21" s="3" t="n"/>
      <c r="T21" s="3" t="n">
        <v>1</v>
      </c>
      <c r="U21" s="3" t="n"/>
      <c r="V21" s="4" t="n"/>
      <c r="W21" s="5" t="n"/>
      <c r="X21" s="5" t="n"/>
      <c r="Y21" s="58" t="n"/>
    </row>
    <row r="22">
      <c r="B22" s="6" t="n"/>
      <c r="C22" s="6" t="n"/>
      <c r="D22" s="6" t="inlineStr">
        <is>
          <t>국내선 항공</t>
        </is>
      </c>
      <c r="E22" s="6" t="n"/>
      <c r="F22" s="10" t="n"/>
      <c r="G22" s="10" t="n"/>
      <c r="H22" s="14" t="n"/>
      <c r="I22" s="6">
        <f>IF(SUM(J22:U22)=0,"",SUM(J22:U22))</f>
        <v/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7" t="n"/>
      <c r="W22" s="8" t="n"/>
      <c r="X22" s="8" t="n"/>
      <c r="Y22" s="58" t="n"/>
    </row>
    <row r="23">
      <c r="B23" s="6" t="n"/>
      <c r="C23" s="6" t="n"/>
      <c r="D23" s="6">
        <f>IFERROR(INDEX(회사별_교통수단매핑!$C$2:$C$1000,MATCH(1,INDEX(($C$14=회사별_교통수단매핑!$A$2:$A$1000)*($Y23=회사별_교통수단매핑!$B$2:$B$1000),0),0)),"")</f>
        <v/>
      </c>
      <c r="E23" s="6" t="n"/>
      <c r="F23" s="10" t="n"/>
      <c r="G23" s="10" t="n"/>
      <c r="H23" s="14" t="n"/>
      <c r="I23" s="6">
        <f>IF(SUM(J23:U23)=0,"",SUM(J23:U23))</f>
        <v/>
      </c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7" t="n"/>
      <c r="W23" s="8" t="n"/>
      <c r="X23" s="8" t="n"/>
      <c r="Y23" s="58" t="n"/>
    </row>
    <row r="24">
      <c r="B24" s="6" t="n"/>
      <c r="C24" s="6" t="n"/>
      <c r="D24" s="6">
        <f>IFERROR(INDEX(회사별_교통수단매핑!$C$2:$C$1000,MATCH(1,INDEX(($C$14=회사별_교통수단매핑!$A$2:$A$1000)*($Y24=회사별_교통수단매핑!$B$2:$B$1000),0),0)),"")</f>
        <v/>
      </c>
      <c r="E24" s="6" t="n"/>
      <c r="F24" s="10" t="n"/>
      <c r="G24" s="10" t="n"/>
      <c r="H24" s="14" t="n"/>
      <c r="I24" s="6">
        <f>IF(SUM(J24:U24)=0,"",SUM(J24:U24))</f>
        <v/>
      </c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7" t="n"/>
      <c r="W24" s="8" t="n"/>
      <c r="X24" s="8" t="n"/>
      <c r="Y24" s="58" t="n"/>
    </row>
    <row r="25">
      <c r="B25" s="6" t="n"/>
      <c r="C25" s="6" t="n"/>
      <c r="D25" s="6">
        <f>IFERROR(INDEX(회사별_교통수단매핑!$C$2:$C$1000,MATCH(1,INDEX(($C$14=회사별_교통수단매핑!$A$2:$A$1000)*($Y25=회사별_교통수단매핑!$B$2:$B$1000),0),0)),"")</f>
        <v/>
      </c>
      <c r="E25" s="6" t="n"/>
      <c r="F25" s="10" t="n"/>
      <c r="G25" s="10" t="n"/>
      <c r="H25" s="14" t="n"/>
      <c r="I25" s="6">
        <f>IF(SUM(J25:U25)=0,"",SUM(J25:U25))</f>
        <v/>
      </c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7" t="n"/>
      <c r="W25" s="8" t="n"/>
      <c r="X25" s="8" t="n"/>
      <c r="Y25" s="58" t="n"/>
    </row>
    <row r="26">
      <c r="B26" s="6" t="n"/>
      <c r="C26" s="6" t="n"/>
      <c r="D26" s="6">
        <f>IFERROR(INDEX(회사별_교통수단매핑!$C$2:$C$1000,MATCH(1,INDEX(($C$14=회사별_교통수단매핑!$A$2:$A$1000)*($Y26=회사별_교통수단매핑!$B$2:$B$1000),0),0)),"")</f>
        <v/>
      </c>
      <c r="E26" s="6" t="n"/>
      <c r="F26" s="10" t="n"/>
      <c r="G26" s="10" t="n"/>
      <c r="H26" s="14" t="n"/>
      <c r="I26" s="6">
        <f>IF(SUM(J26:U26)=0,"",SUM(J26:U26))</f>
        <v/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7" t="n"/>
      <c r="W26" s="8" t="n"/>
      <c r="X26" s="8" t="n"/>
      <c r="Y26" s="58" t="n"/>
    </row>
    <row r="27">
      <c r="B27" s="6" t="n"/>
      <c r="C27" s="6" t="n"/>
      <c r="D27" s="6">
        <f>IFERROR(INDEX(회사별_교통수단매핑!$C$2:$C$1000,MATCH(1,INDEX(($C$14=회사별_교통수단매핑!$A$2:$A$1000)*($Y27=회사별_교통수단매핑!$B$2:$B$1000),0),0)),"")</f>
        <v/>
      </c>
      <c r="E27" s="6" t="n"/>
      <c r="F27" s="10" t="n"/>
      <c r="G27" s="10" t="n"/>
      <c r="H27" s="14" t="n"/>
      <c r="I27" s="6">
        <f>IF(SUM(J27:U27)=0,"",SUM(J27:U27))</f>
        <v/>
      </c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7" t="n"/>
      <c r="W27" s="8" t="n"/>
      <c r="X27" s="8" t="n"/>
      <c r="Y27" s="58" t="n"/>
    </row>
    <row r="28">
      <c r="B28" s="6" t="n"/>
      <c r="C28" s="6" t="n"/>
      <c r="D28" s="6">
        <f>IFERROR(INDEX(회사별_교통수단매핑!$C$2:$C$1000,MATCH(1,INDEX(($C$14=회사별_교통수단매핑!$A$2:$A$1000)*($Y28=회사별_교통수단매핑!$B$2:$B$1000),0),0)),"")</f>
        <v/>
      </c>
      <c r="E28" s="6" t="n"/>
      <c r="F28" s="10" t="n"/>
      <c r="G28" s="10" t="n"/>
      <c r="H28" s="14" t="n"/>
      <c r="I28" s="6">
        <f>IF(SUM(J28:U28)=0,"",SUM(J28:U28))</f>
        <v/>
      </c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7" t="n"/>
      <c r="W28" s="8" t="n"/>
      <c r="X28" s="8" t="n"/>
      <c r="Y28" s="58" t="n"/>
    </row>
    <row r="29">
      <c r="B29" s="6" t="n"/>
      <c r="C29" s="6" t="n"/>
      <c r="D29" s="6">
        <f>IFERROR(INDEX(회사별_교통수단매핑!$C$2:$C$1000,MATCH(1,INDEX(($C$14=회사별_교통수단매핑!$A$2:$A$1000)*($Y29=회사별_교통수단매핑!$B$2:$B$1000),0),0)),"")</f>
        <v/>
      </c>
      <c r="E29" s="6" t="n"/>
      <c r="F29" s="10" t="n"/>
      <c r="G29" s="10" t="n"/>
      <c r="H29" s="14" t="n"/>
      <c r="I29" s="6">
        <f>IF(SUM(J29:U29)=0,"",SUM(J29:U29))</f>
        <v/>
      </c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7" t="n"/>
      <c r="W29" s="8" t="n"/>
      <c r="X29" s="8" t="n"/>
      <c r="Y29" s="58" t="n"/>
    </row>
    <row r="30">
      <c r="B30" s="6" t="n"/>
      <c r="C30" s="6" t="n"/>
      <c r="D30" s="6">
        <f>IFERROR(INDEX(회사별_교통수단매핑!$C$2:$C$1000,MATCH(1,INDEX(($C$14=회사별_교통수단매핑!$A$2:$A$1000)*($Y30=회사별_교통수단매핑!$B$2:$B$1000),0),0)),"")</f>
        <v/>
      </c>
      <c r="E30" s="6" t="n"/>
      <c r="F30" s="10" t="n"/>
      <c r="G30" s="10" t="n"/>
      <c r="H30" s="14" t="n"/>
      <c r="I30" s="6">
        <f>IF(SUM(J30:U30)=0,"",SUM(J30:U30))</f>
        <v/>
      </c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7" t="n"/>
      <c r="W30" s="8" t="n"/>
      <c r="X30" s="8" t="n"/>
      <c r="Y30" s="58" t="n"/>
    </row>
    <row r="31">
      <c r="B31" s="6" t="n"/>
      <c r="C31" s="6" t="n"/>
      <c r="D31" s="6">
        <f>IFERROR(INDEX(회사별_교통수단매핑!$C$2:$C$1000,MATCH(1,INDEX(($C$14=회사별_교통수단매핑!$A$2:$A$1000)*($Y31=회사별_교통수단매핑!$B$2:$B$1000),0),0)),"")</f>
        <v/>
      </c>
      <c r="E31" s="6" t="n"/>
      <c r="F31" s="10" t="n"/>
      <c r="G31" s="10" t="n"/>
      <c r="H31" s="14" t="n"/>
      <c r="I31" s="6">
        <f>IF(SUM(J31:U31)=0,"",SUM(J31:U31))</f>
        <v/>
      </c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7" t="n"/>
      <c r="W31" s="8" t="n"/>
      <c r="X31" s="8" t="n"/>
      <c r="Y31" s="58" t="n"/>
    </row>
    <row r="32">
      <c r="B32" s="6" t="n"/>
      <c r="C32" s="6" t="n"/>
      <c r="D32" s="6">
        <f>IFERROR(INDEX(회사별_교통수단매핑!$C$2:$C$1000,MATCH(1,INDEX(($C$14=회사별_교통수단매핑!$A$2:$A$1000)*($Y32=회사별_교통수단매핑!$B$2:$B$1000),0),0)),"")</f>
        <v/>
      </c>
      <c r="E32" s="6" t="n"/>
      <c r="F32" s="10" t="n"/>
      <c r="G32" s="10" t="n"/>
      <c r="H32" s="14" t="n"/>
      <c r="I32" s="6">
        <f>IF(SUM(J32:U32)=0,"",SUM(J32:U32))</f>
        <v/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7" t="n"/>
      <c r="W32" s="8" t="n"/>
      <c r="X32" s="8" t="n"/>
      <c r="Y32" s="58" t="n"/>
    </row>
    <row r="33">
      <c r="B33" s="6" t="n"/>
      <c r="C33" s="6" t="n"/>
      <c r="D33" s="6">
        <f>IFERROR(INDEX(회사별_교통수단매핑!$C$2:$C$1000,MATCH(1,INDEX(($C$14=회사별_교통수단매핑!$A$2:$A$1000)*($Y33=회사별_교통수단매핑!$B$2:$B$1000),0),0)),"")</f>
        <v/>
      </c>
      <c r="E33" s="6" t="n"/>
      <c r="F33" s="10" t="n"/>
      <c r="G33" s="10" t="n"/>
      <c r="H33" s="14" t="n"/>
      <c r="I33" s="6">
        <f>IF(SUM(J33:U33)=0,"",SUM(J33:U33))</f>
        <v/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7" t="n"/>
      <c r="W33" s="8" t="n"/>
      <c r="X33" s="8" t="n"/>
      <c r="Y33" s="58" t="n"/>
    </row>
    <row r="34">
      <c r="B34" s="6" t="n"/>
      <c r="C34" s="6" t="n"/>
      <c r="D34" s="6">
        <f>IFERROR(INDEX(회사별_교통수단매핑!$C$2:$C$1000,MATCH(1,INDEX(($C$14=회사별_교통수단매핑!$A$2:$A$1000)*($Y34=회사별_교통수단매핑!$B$2:$B$1000),0),0)),"")</f>
        <v/>
      </c>
      <c r="E34" s="6" t="n"/>
      <c r="F34" s="10" t="n"/>
      <c r="G34" s="10" t="n"/>
      <c r="H34" s="14" t="n"/>
      <c r="I34" s="6">
        <f>IF(SUM(J34:U34)=0,"",SUM(J34:U34))</f>
        <v/>
      </c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7" t="n"/>
      <c r="W34" s="8" t="n"/>
      <c r="X34" s="8" t="n"/>
      <c r="Y34" s="58" t="n"/>
    </row>
    <row r="35">
      <c r="B35" s="6" t="n"/>
      <c r="C35" s="6" t="n"/>
      <c r="D35" s="6">
        <f>IFERROR(INDEX(회사별_교통수단매핑!$C$2:$C$1000,MATCH(1,INDEX(($C$14=회사별_교통수단매핑!$A$2:$A$1000)*($Y35=회사별_교통수단매핑!$B$2:$B$1000),0),0)),"")</f>
        <v/>
      </c>
      <c r="E35" s="6" t="n"/>
      <c r="F35" s="10" t="n"/>
      <c r="G35" s="10" t="n"/>
      <c r="H35" s="14" t="n"/>
      <c r="I35" s="6">
        <f>IF(SUM(J35:U35)=0,"",SUM(J35:U35))</f>
        <v/>
      </c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7" t="n"/>
      <c r="W35" s="8" t="n"/>
      <c r="X35" s="8" t="n"/>
      <c r="Y35" s="58" t="n"/>
    </row>
    <row r="36">
      <c r="B36" s="6" t="n"/>
      <c r="C36" s="6" t="n"/>
      <c r="D36" s="6">
        <f>IFERROR(INDEX(회사별_교통수단매핑!$C$2:$C$1000,MATCH(1,INDEX(($C$14=회사별_교통수단매핑!$A$2:$A$1000)*($Y36=회사별_교통수단매핑!$B$2:$B$1000),0),0)),"")</f>
        <v/>
      </c>
      <c r="E36" s="6" t="n"/>
      <c r="F36" s="10" t="n"/>
      <c r="G36" s="10" t="n"/>
      <c r="H36" s="14" t="n"/>
      <c r="I36" s="6">
        <f>IF(SUM(J36:U36)=0,"",SUM(J36:U36))</f>
        <v/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7" t="n"/>
      <c r="W36" s="8" t="n"/>
      <c r="X36" s="8" t="n"/>
      <c r="Y36" s="58" t="n"/>
    </row>
    <row r="37">
      <c r="B37" s="6" t="n"/>
      <c r="C37" s="6" t="n"/>
      <c r="D37" s="6">
        <f>IFERROR(INDEX(회사별_교통수단매핑!$C$2:$C$1000,MATCH(1,INDEX(($C$14=회사별_교통수단매핑!$A$2:$A$1000)*($Y37=회사별_교통수단매핑!$B$2:$B$1000),0),0)),"")</f>
        <v/>
      </c>
      <c r="E37" s="6" t="n"/>
      <c r="F37" s="10" t="n"/>
      <c r="G37" s="10" t="n"/>
      <c r="H37" s="14" t="n"/>
      <c r="I37" s="6">
        <f>IF(SUM(J37:U37)=0,"",SUM(J37:U37))</f>
        <v/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7" t="n"/>
      <c r="W37" s="8" t="n"/>
      <c r="X37" s="8" t="n"/>
      <c r="Y37" s="58" t="n"/>
    </row>
    <row r="38">
      <c r="B38" s="6" t="n"/>
      <c r="C38" s="6" t="n"/>
      <c r="D38" s="6">
        <f>IFERROR(INDEX(회사별_교통수단매핑!$C$2:$C$1000,MATCH(1,INDEX(($C$14=회사별_교통수단매핑!$A$2:$A$1000)*($Y38=회사별_교통수단매핑!$B$2:$B$1000),0),0)),"")</f>
        <v/>
      </c>
      <c r="E38" s="6" t="n"/>
      <c r="F38" s="10" t="n"/>
      <c r="G38" s="10" t="n"/>
      <c r="H38" s="14" t="n"/>
      <c r="I38" s="6">
        <f>IF(SUM(J38:U38)=0,"",SUM(J38:U38))</f>
        <v/>
      </c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7" t="n"/>
      <c r="W38" s="8" t="n"/>
      <c r="X38" s="8" t="n"/>
      <c r="Y38" s="58" t="n"/>
    </row>
    <row r="39">
      <c r="B39" s="6" t="n"/>
      <c r="C39" s="6" t="n"/>
      <c r="D39" s="6">
        <f>IFERROR(INDEX(회사별_교통수단매핑!$C$2:$C$1000,MATCH(1,INDEX(($C$14=회사별_교통수단매핑!$A$2:$A$1000)*($Y39=회사별_교통수단매핑!$B$2:$B$1000),0),0)),"")</f>
        <v/>
      </c>
      <c r="E39" s="6" t="n"/>
      <c r="F39" s="10" t="n"/>
      <c r="G39" s="10" t="n"/>
      <c r="H39" s="14" t="n"/>
      <c r="I39" s="6">
        <f>IF(SUM(J39:U39)=0,"",SUM(J39:U39))</f>
        <v/>
      </c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7" t="n"/>
      <c r="W39" s="8" t="n"/>
      <c r="X39" s="8" t="n"/>
      <c r="Y39" s="58" t="n"/>
    </row>
    <row r="40">
      <c r="B40" s="6" t="n"/>
      <c r="C40" s="6" t="n"/>
      <c r="D40" s="6">
        <f>IFERROR(INDEX(회사별_교통수단매핑!$C$2:$C$1000,MATCH(1,INDEX(($C$14=회사별_교통수단매핑!$A$2:$A$1000)*($Y40=회사별_교통수단매핑!$B$2:$B$1000),0),0)),"")</f>
        <v/>
      </c>
      <c r="E40" s="6" t="n"/>
      <c r="F40" s="10" t="n"/>
      <c r="G40" s="10" t="n"/>
      <c r="H40" s="14" t="n"/>
      <c r="I40" s="6">
        <f>IF(SUM(J40:U40)=0,"",SUM(J40:U40))</f>
        <v/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7" t="n"/>
      <c r="W40" s="8" t="n"/>
      <c r="X40" s="8" t="n"/>
      <c r="Y40" s="58" t="n"/>
    </row>
    <row r="41">
      <c r="B41" s="6" t="n"/>
      <c r="C41" s="6" t="n"/>
      <c r="D41" s="6">
        <f>IFERROR(INDEX(회사별_교통수단매핑!$C$2:$C$1000,MATCH(1,INDEX(($C$14=회사별_교통수단매핑!$A$2:$A$1000)*($Y41=회사별_교통수단매핑!$B$2:$B$1000),0),0)),"")</f>
        <v/>
      </c>
      <c r="E41" s="6" t="n"/>
      <c r="F41" s="10" t="n"/>
      <c r="G41" s="10" t="n"/>
      <c r="H41" s="14" t="n"/>
      <c r="I41" s="6">
        <f>IF(SUM(J41:U41)=0,"",SUM(J41:U41))</f>
        <v/>
      </c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7" t="n"/>
      <c r="W41" s="8" t="n"/>
      <c r="X41" s="8" t="n"/>
      <c r="Y41" s="58" t="n"/>
    </row>
    <row r="42">
      <c r="B42" s="6" t="n"/>
      <c r="C42" s="6" t="n"/>
      <c r="D42" s="6">
        <f>IFERROR(INDEX(회사별_교통수단매핑!$C$2:$C$1000,MATCH(1,INDEX(($C$14=회사별_교통수단매핑!$A$2:$A$1000)*($Y42=회사별_교통수단매핑!$B$2:$B$1000),0),0)),"")</f>
        <v/>
      </c>
      <c r="E42" s="6" t="n"/>
      <c r="F42" s="10" t="n"/>
      <c r="G42" s="10" t="n"/>
      <c r="H42" s="14" t="n"/>
      <c r="I42" s="6">
        <f>IF(SUM(J42:U42)=0,"",SUM(J42:U42))</f>
        <v/>
      </c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7" t="n"/>
      <c r="W42" s="8" t="n"/>
      <c r="X42" s="8" t="n"/>
      <c r="Y42" s="58" t="n"/>
    </row>
    <row r="43">
      <c r="B43" s="6" t="n"/>
      <c r="C43" s="6" t="n"/>
      <c r="D43" s="6">
        <f>IFERROR(INDEX(회사별_교통수단매핑!$C$2:$C$1000,MATCH(1,INDEX(($C$14=회사별_교통수단매핑!$A$2:$A$1000)*($Y43=회사별_교통수단매핑!$B$2:$B$1000),0),0)),"")</f>
        <v/>
      </c>
      <c r="E43" s="6" t="n"/>
      <c r="F43" s="10" t="n"/>
      <c r="G43" s="10" t="n"/>
      <c r="H43" s="14" t="n"/>
      <c r="I43" s="6">
        <f>IF(SUM(J43:U43)=0,"",SUM(J43:U43))</f>
        <v/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7" t="n"/>
      <c r="W43" s="8" t="n"/>
      <c r="X43" s="8" t="n"/>
      <c r="Y43" s="58" t="n"/>
    </row>
    <row r="44">
      <c r="B44" s="6" t="n"/>
      <c r="C44" s="6" t="n"/>
      <c r="D44" s="6">
        <f>IFERROR(INDEX(회사별_교통수단매핑!$C$2:$C$1000,MATCH(1,INDEX(($C$14=회사별_교통수단매핑!$A$2:$A$1000)*($Y44=회사별_교통수단매핑!$B$2:$B$1000),0),0)),"")</f>
        <v/>
      </c>
      <c r="E44" s="6" t="n"/>
      <c r="F44" s="10" t="n"/>
      <c r="G44" s="10" t="n"/>
      <c r="H44" s="14" t="n"/>
      <c r="I44" s="6">
        <f>IF(SUM(J44:U44)=0,"",SUM(J44:U44))</f>
        <v/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7" t="n"/>
      <c r="W44" s="8" t="n"/>
      <c r="X44" s="8" t="n"/>
      <c r="Y44" s="58" t="n"/>
    </row>
    <row r="45">
      <c r="B45" s="6" t="n"/>
      <c r="C45" s="6" t="n"/>
      <c r="D45" s="6">
        <f>IFERROR(INDEX(회사별_교통수단매핑!$C$2:$C$1000,MATCH(1,INDEX(($C$14=회사별_교통수단매핑!$A$2:$A$1000)*($Y45=회사별_교통수단매핑!$B$2:$B$1000),0),0)),"")</f>
        <v/>
      </c>
      <c r="E45" s="6" t="n"/>
      <c r="F45" s="10" t="n"/>
      <c r="G45" s="10" t="n"/>
      <c r="H45" s="14" t="n"/>
      <c r="I45" s="6">
        <f>IF(SUM(J45:U45)=0,"",SUM(J45:U45))</f>
        <v/>
      </c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7" t="n"/>
      <c r="W45" s="8" t="n"/>
      <c r="X45" s="8" t="n"/>
      <c r="Y45" s="58" t="n"/>
    </row>
    <row r="46">
      <c r="B46" s="6" t="n"/>
      <c r="C46" s="6" t="n"/>
      <c r="D46" s="6">
        <f>IFERROR(INDEX(회사별_교통수단매핑!$C$2:$C$1000,MATCH(1,INDEX(($C$14=회사별_교통수단매핑!$A$2:$A$1000)*($Y46=회사별_교통수단매핑!$B$2:$B$1000),0),0)),"")</f>
        <v/>
      </c>
      <c r="E46" s="6" t="n"/>
      <c r="F46" s="10" t="n"/>
      <c r="G46" s="10" t="n"/>
      <c r="H46" s="14" t="n"/>
      <c r="I46" s="6">
        <f>IF(SUM(J46:U46)=0,"",SUM(J46:U46))</f>
        <v/>
      </c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7" t="n"/>
      <c r="W46" s="8" t="n"/>
      <c r="X46" s="8" t="n"/>
      <c r="Y46" s="58" t="n"/>
    </row>
    <row r="47">
      <c r="B47" s="6" t="n"/>
      <c r="C47" s="6" t="n"/>
      <c r="D47" s="6">
        <f>IFERROR(INDEX(회사별_교통수단매핑!$C$2:$C$1000,MATCH(1,INDEX(($C$14=회사별_교통수단매핑!$A$2:$A$1000)*($Y47=회사별_교통수단매핑!$B$2:$B$1000),0),0)),"")</f>
        <v/>
      </c>
      <c r="E47" s="6" t="n"/>
      <c r="F47" s="10" t="n"/>
      <c r="G47" s="10" t="n"/>
      <c r="H47" s="14" t="n"/>
      <c r="I47" s="6">
        <f>IF(SUM(J47:U47)=0,"",SUM(J47:U47))</f>
        <v/>
      </c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7" t="n"/>
      <c r="W47" s="8" t="n"/>
      <c r="X47" s="8" t="n"/>
      <c r="Y47" s="58" t="n"/>
    </row>
    <row r="48">
      <c r="B48" s="6" t="n"/>
      <c r="C48" s="6" t="n"/>
      <c r="D48" s="6">
        <f>IFERROR(INDEX(회사별_교통수단매핑!$C$2:$C$1000,MATCH(1,INDEX(($C$14=회사별_교통수단매핑!$A$2:$A$1000)*($Y48=회사별_교통수단매핑!$B$2:$B$1000),0),0)),"")</f>
        <v/>
      </c>
      <c r="E48" s="6" t="n"/>
      <c r="F48" s="10" t="n"/>
      <c r="G48" s="10" t="n"/>
      <c r="H48" s="14" t="n"/>
      <c r="I48" s="6">
        <f>IF(SUM(J48:U48)=0,"",SUM(J48:U48))</f>
        <v/>
      </c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7" t="n"/>
      <c r="W48" s="8" t="n"/>
      <c r="X48" s="8" t="n"/>
      <c r="Y48" s="58" t="n"/>
    </row>
    <row r="49">
      <c r="B49" s="6" t="n"/>
      <c r="C49" s="6" t="n"/>
      <c r="D49" s="6">
        <f>IFERROR(INDEX(회사별_교통수단매핑!$C$2:$C$1000,MATCH(1,INDEX(($C$14=회사별_교통수단매핑!$A$2:$A$1000)*($Y49=회사별_교통수단매핑!$B$2:$B$1000),0),0)),"")</f>
        <v/>
      </c>
      <c r="E49" s="6" t="n"/>
      <c r="F49" s="10" t="n"/>
      <c r="G49" s="10" t="n"/>
      <c r="H49" s="14" t="n"/>
      <c r="I49" s="6">
        <f>IF(SUM(J49:U49)=0,"",SUM(J49:U49))</f>
        <v/>
      </c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7" t="n"/>
      <c r="W49" s="8" t="n"/>
      <c r="X49" s="8" t="n"/>
      <c r="Y49" s="58" t="n"/>
    </row>
    <row r="50">
      <c r="B50" s="6" t="n"/>
      <c r="C50" s="6" t="n"/>
      <c r="D50" s="6">
        <f>IFERROR(INDEX(회사별_교통수단매핑!$C$2:$C$1000,MATCH(1,INDEX(($C$14=회사별_교통수단매핑!$A$2:$A$1000)*($Y50=회사별_교통수단매핑!$B$2:$B$1000),0),0)),"")</f>
        <v/>
      </c>
      <c r="E50" s="6" t="n"/>
      <c r="F50" s="10" t="n"/>
      <c r="G50" s="10" t="n"/>
      <c r="H50" s="14" t="n"/>
      <c r="I50" s="6">
        <f>IF(SUM(J50:U50)=0,"",SUM(J50:U50))</f>
        <v/>
      </c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7" t="n"/>
      <c r="W50" s="8" t="n"/>
      <c r="X50" s="8" t="n"/>
      <c r="Y50" s="58" t="n"/>
    </row>
    <row r="51">
      <c r="B51" s="6" t="n"/>
      <c r="C51" s="6" t="n"/>
      <c r="D51" s="6">
        <f>IFERROR(INDEX(회사별_교통수단매핑!$C$2:$C$1000,MATCH(1,INDEX(($C$14=회사별_교통수단매핑!$A$2:$A$1000)*($Y51=회사별_교통수단매핑!$B$2:$B$1000),0),0)),"")</f>
        <v/>
      </c>
      <c r="E51" s="6" t="n"/>
      <c r="F51" s="10" t="n"/>
      <c r="G51" s="10" t="n"/>
      <c r="H51" s="14" t="n"/>
      <c r="I51" s="6">
        <f>IF(SUM(J51:U51)=0,"",SUM(J51:U51))</f>
        <v/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7" t="n"/>
      <c r="W51" s="8" t="n"/>
      <c r="X51" s="8" t="n"/>
      <c r="Y51" s="58" t="n"/>
    </row>
    <row r="52">
      <c r="B52" s="6" t="n"/>
      <c r="C52" s="6" t="n"/>
      <c r="D52" s="6">
        <f>IFERROR(INDEX(회사별_교통수단매핑!$C$2:$C$1000,MATCH(1,INDEX(($C$14=회사별_교통수단매핑!$A$2:$A$1000)*($Y52=회사별_교통수단매핑!$B$2:$B$1000),0),0)),"")</f>
        <v/>
      </c>
      <c r="E52" s="6" t="n"/>
      <c r="F52" s="10" t="n"/>
      <c r="G52" s="10" t="n"/>
      <c r="H52" s="14" t="n"/>
      <c r="I52" s="6">
        <f>IF(SUM(J52:U52)=0,"",SUM(J52:U52))</f>
        <v/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7" t="n"/>
      <c r="W52" s="8" t="n"/>
      <c r="X52" s="8" t="n"/>
      <c r="Y52" s="58" t="n"/>
    </row>
    <row r="53">
      <c r="B53" s="6" t="n"/>
      <c r="C53" s="6" t="n"/>
      <c r="D53" s="6">
        <f>IFERROR(INDEX(회사별_교통수단매핑!$C$2:$C$1000,MATCH(1,INDEX(($C$14=회사별_교통수단매핑!$A$2:$A$1000)*($Y53=회사별_교통수단매핑!$B$2:$B$1000),0),0)),"")</f>
        <v/>
      </c>
      <c r="E53" s="6" t="n"/>
      <c r="F53" s="10" t="n"/>
      <c r="G53" s="10" t="n"/>
      <c r="H53" s="14" t="n"/>
      <c r="I53" s="6">
        <f>IF(SUM(J53:U53)=0,"",SUM(J53:U53))</f>
        <v/>
      </c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7" t="n"/>
      <c r="W53" s="8" t="n"/>
      <c r="X53" s="8" t="n"/>
      <c r="Y53" s="58" t="n"/>
    </row>
    <row r="54">
      <c r="B54" s="6" t="n"/>
      <c r="C54" s="6" t="n"/>
      <c r="D54" s="6">
        <f>IFERROR(INDEX(회사별_교통수단매핑!$C$2:$C$1000,MATCH(1,INDEX(($C$14=회사별_교통수단매핑!$A$2:$A$1000)*($Y54=회사별_교통수단매핑!$B$2:$B$1000),0),0)),"")</f>
        <v/>
      </c>
      <c r="E54" s="6" t="n"/>
      <c r="F54" s="10" t="n"/>
      <c r="G54" s="10" t="n"/>
      <c r="H54" s="14" t="n"/>
      <c r="I54" s="6">
        <f>IF(SUM(J54:U54)=0,"",SUM(J54:U54))</f>
        <v/>
      </c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7" t="n"/>
      <c r="W54" s="8" t="n"/>
      <c r="X54" s="8" t="n"/>
      <c r="Y54" s="58" t="n"/>
    </row>
    <row r="55">
      <c r="B55" s="6" t="n"/>
      <c r="C55" s="6" t="n"/>
      <c r="D55" s="6">
        <f>IFERROR(INDEX(회사별_교통수단매핑!$C$2:$C$1000,MATCH(1,INDEX(($C$14=회사별_교통수단매핑!$A$2:$A$1000)*($Y55=회사별_교통수단매핑!$B$2:$B$1000),0),0)),"")</f>
        <v/>
      </c>
      <c r="E55" s="6" t="n"/>
      <c r="F55" s="10" t="n"/>
      <c r="G55" s="10" t="n"/>
      <c r="H55" s="14" t="n"/>
      <c r="I55" s="6">
        <f>IF(SUM(J55:U55)=0,"",SUM(J55:U55))</f>
        <v/>
      </c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7" t="n"/>
      <c r="W55" s="8" t="n"/>
      <c r="X55" s="8" t="n"/>
      <c r="Y55" s="58" t="n"/>
    </row>
    <row r="56">
      <c r="B56" s="6" t="n"/>
      <c r="C56" s="6" t="n"/>
      <c r="D56" s="6">
        <f>IFERROR(INDEX(회사별_교통수단매핑!$C$2:$C$1000,MATCH(1,INDEX(($C$14=회사별_교통수단매핑!$A$2:$A$1000)*($Y56=회사별_교통수단매핑!$B$2:$B$1000),0),0)),"")</f>
        <v/>
      </c>
      <c r="E56" s="6" t="n"/>
      <c r="F56" s="10" t="n"/>
      <c r="G56" s="10" t="n"/>
      <c r="H56" s="14" t="n"/>
      <c r="I56" s="6">
        <f>IF(SUM(J56:U56)=0,"",SUM(J56:U56))</f>
        <v/>
      </c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7" t="n"/>
      <c r="W56" s="8" t="n"/>
      <c r="X56" s="8" t="n"/>
      <c r="Y56" s="58" t="n"/>
    </row>
    <row r="57">
      <c r="D57">
        <f>IFERROR(INDEX(회사별_교통수단매핑!$C$2:$C$1000,MATCH(1,INDEX(($C$14=회사별_교통수단매핑!$A$2:$A$1000)*($Y57=회사별_교통수단매핑!$B$2:$B$1000),0),0)),"")</f>
        <v/>
      </c>
      <c r="I57">
        <f>IF(SUM(J57:U57)=0,"",SUM(J57:U57))</f>
        <v/>
      </c>
      <c r="Y57" s="58" t="n"/>
    </row>
    <row r="58">
      <c r="D58">
        <f>IFERROR(INDEX(회사별_교통수단매핑!$C$2:$C$1000,MATCH(1,INDEX(($C$14=회사별_교통수단매핑!$A$2:$A$1000)*($Y58=회사별_교통수단매핑!$B$2:$B$1000),0),0)),"")</f>
        <v/>
      </c>
      <c r="I58">
        <f>IF(SUM(J58:U58)=0,"",SUM(J58:U58))</f>
        <v/>
      </c>
      <c r="Y58" s="58" t="n"/>
    </row>
    <row r="59">
      <c r="D59">
        <f>IFERROR(INDEX(회사별_교통수단매핑!$C$2:$C$1000,MATCH(1,INDEX(($C$14=회사별_교통수단매핑!$A$2:$A$1000)*($Y59=회사별_교통수단매핑!$B$2:$B$1000),0),0)),"")</f>
        <v/>
      </c>
      <c r="I59">
        <f>IF(SUM(J59:U59)=0,"",SUM(J59:U59))</f>
        <v/>
      </c>
      <c r="Y59" s="58" t="n"/>
    </row>
    <row r="60">
      <c r="D60">
        <f>IFERROR(INDEX(회사별_교통수단매핑!$C$2:$C$1000,MATCH(1,INDEX(($C$14=회사별_교통수단매핑!$A$2:$A$1000)*($Y60=회사별_교통수단매핑!$B$2:$B$1000),0),0)),"")</f>
        <v/>
      </c>
      <c r="I60">
        <f>IF(SUM(J60:U60)=0,"",SUM(J60:U60))</f>
        <v/>
      </c>
      <c r="Y60" s="58" t="n"/>
    </row>
    <row r="61">
      <c r="D61">
        <f>IFERROR(INDEX(회사별_교통수단매핑!$C$2:$C$1000,MATCH(1,INDEX(($C$14=회사별_교통수단매핑!$A$2:$A$1000)*($Y61=회사별_교통수단매핑!$B$2:$B$1000),0),0)),"")</f>
        <v/>
      </c>
      <c r="I61">
        <f>IF(SUM(J61:U61)=0,"",SUM(J61:U61))</f>
        <v/>
      </c>
      <c r="Y61" s="58" t="n"/>
    </row>
    <row r="62">
      <c r="D62">
        <f>IFERROR(INDEX(회사별_교통수단매핑!$C$2:$C$1000,MATCH(1,INDEX(($C$14=회사별_교통수단매핑!$A$2:$A$1000)*($Y62=회사별_교통수단매핑!$B$2:$B$1000),0),0)),"")</f>
        <v/>
      </c>
      <c r="I62">
        <f>IF(SUM(J62:U62)=0,"",SUM(J62:U62))</f>
        <v/>
      </c>
      <c r="Y62" s="58" t="n"/>
    </row>
    <row r="63">
      <c r="D63">
        <f>IFERROR(INDEX(회사별_교통수단매핑!$C$2:$C$1000,MATCH(1,INDEX(($C$14=회사별_교통수단매핑!$A$2:$A$1000)*($Y63=회사별_교통수단매핑!$B$2:$B$1000),0),0)),"")</f>
        <v/>
      </c>
      <c r="I63">
        <f>IF(SUM(J63:U63)=0,"",SUM(J63:U63))</f>
        <v/>
      </c>
      <c r="Y63" s="58" t="n"/>
    </row>
    <row r="64">
      <c r="D64">
        <f>IFERROR(INDEX(회사별_교통수단매핑!$C$2:$C$1000,MATCH(1,INDEX(($C$14=회사별_교통수단매핑!$A$2:$A$1000)*($Y64=회사별_교통수단매핑!$B$2:$B$1000),0),0)),"")</f>
        <v/>
      </c>
      <c r="I64">
        <f>IF(SUM(J64:U64)=0,"",SUM(J64:U64))</f>
        <v/>
      </c>
      <c r="Y64" s="58" t="n"/>
    </row>
    <row r="65">
      <c r="D65">
        <f>IFERROR(INDEX(회사별_교통수단매핑!$C$2:$C$1000,MATCH(1,INDEX(($C$14=회사별_교통수단매핑!$A$2:$A$1000)*($Y65=회사별_교통수단매핑!$B$2:$B$1000),0),0)),"")</f>
        <v/>
      </c>
      <c r="I65">
        <f>IF(SUM(J65:U65)=0,"",SUM(J65:U65))</f>
        <v/>
      </c>
      <c r="Y65" s="58" t="n"/>
    </row>
    <row r="66">
      <c r="D66">
        <f>IFERROR(INDEX(회사별_교통수단매핑!$C$2:$C$1000,MATCH(1,INDEX(($C$14=회사별_교통수단매핑!$A$2:$A$1000)*($Y66=회사별_교통수단매핑!$B$2:$B$1000),0),0)),"")</f>
        <v/>
      </c>
      <c r="I66">
        <f>IF(SUM(J66:U66)=0,"",SUM(J66:U66))</f>
        <v/>
      </c>
      <c r="Y66" s="58" t="n"/>
    </row>
    <row r="67">
      <c r="D67">
        <f>IFERROR(INDEX(회사별_교통수단매핑!$C$2:$C$1000,MATCH(1,INDEX(($C$14=회사별_교통수단매핑!$A$2:$A$1000)*($Y67=회사별_교통수단매핑!$B$2:$B$1000),0),0)),"")</f>
        <v/>
      </c>
      <c r="I67">
        <f>IF(SUM(J67:U67)=0,"",SUM(J67:U67))</f>
        <v/>
      </c>
      <c r="Y67" s="58" t="n"/>
    </row>
    <row r="68">
      <c r="D68">
        <f>IFERROR(INDEX(회사별_교통수단매핑!$C$2:$C$1000,MATCH(1,INDEX(($C$14=회사별_교통수단매핑!$A$2:$A$1000)*($Y68=회사별_교통수단매핑!$B$2:$B$1000),0),0)),"")</f>
        <v/>
      </c>
      <c r="I68">
        <f>IF(SUM(J68:U68)=0,"",SUM(J68:U68))</f>
        <v/>
      </c>
      <c r="Y68" s="58" t="n"/>
    </row>
    <row r="69">
      <c r="D69">
        <f>IFERROR(INDEX(회사별_교통수단매핑!$C$2:$C$1000,MATCH(1,INDEX(($C$14=회사별_교통수단매핑!$A$2:$A$1000)*($Y69=회사별_교통수단매핑!$B$2:$B$1000),0),0)),"")</f>
        <v/>
      </c>
      <c r="I69">
        <f>IF(SUM(J69:U69)=0,"",SUM(J69:U69))</f>
        <v/>
      </c>
      <c r="Y69" s="58" t="n"/>
    </row>
    <row r="70">
      <c r="D70">
        <f>IFERROR(INDEX(회사별_교통수단매핑!$C$2:$C$1000,MATCH(1,INDEX(($C$14=회사별_교통수단매핑!$A$2:$A$1000)*($Y70=회사별_교통수단매핑!$B$2:$B$1000),0),0)),"")</f>
        <v/>
      </c>
      <c r="I70">
        <f>IF(SUM(J70:U70)=0,"",SUM(J70:U70))</f>
        <v/>
      </c>
      <c r="Y70" s="58" t="n"/>
    </row>
    <row r="71">
      <c r="D71">
        <f>IFERROR(INDEX(회사별_교통수단매핑!$C$2:$C$1000,MATCH(1,INDEX(($C$14=회사별_교통수단매핑!$A$2:$A$1000)*($Y71=회사별_교통수단매핑!$B$2:$B$1000),0),0)),"")</f>
        <v/>
      </c>
      <c r="I71">
        <f>IF(SUM(J71:U71)=0,"",SUM(J71:U71))</f>
        <v/>
      </c>
      <c r="Y71" s="58" t="n"/>
    </row>
    <row r="72">
      <c r="D72">
        <f>IFERROR(INDEX(회사별_교통수단매핑!$C$2:$C$1000,MATCH(1,INDEX(($C$14=회사별_교통수단매핑!$A$2:$A$1000)*($Y72=회사별_교통수단매핑!$B$2:$B$1000),0),0)),"")</f>
        <v/>
      </c>
      <c r="I72">
        <f>IF(SUM(J72:U72)=0,"",SUM(J72:U72))</f>
        <v/>
      </c>
      <c r="Y72" s="58" t="n"/>
    </row>
    <row r="73">
      <c r="D73">
        <f>IFERROR(INDEX(회사별_교통수단매핑!$C$2:$C$1000,MATCH(1,INDEX(($C$14=회사별_교통수단매핑!$A$2:$A$1000)*($Y73=회사별_교통수단매핑!$B$2:$B$1000),0),0)),"")</f>
        <v/>
      </c>
      <c r="I73">
        <f>IF(SUM(J73:U73)=0,"",SUM(J73:U73))</f>
        <v/>
      </c>
      <c r="Y73" s="58" t="n"/>
    </row>
    <row r="74">
      <c r="D74">
        <f>IFERROR(INDEX(회사별_교통수단매핑!$C$2:$C$1000,MATCH(1,INDEX(($C$14=회사별_교통수단매핑!$A$2:$A$1000)*($Y74=회사별_교통수단매핑!$B$2:$B$1000),0),0)),"")</f>
        <v/>
      </c>
      <c r="I74">
        <f>IF(SUM(J74:U74)=0,"",SUM(J74:U74))</f>
        <v/>
      </c>
      <c r="Y74" s="58" t="n"/>
    </row>
    <row r="75">
      <c r="D75">
        <f>IFERROR(INDEX(회사별_교통수단매핑!$C$2:$C$1000,MATCH(1,INDEX(($C$14=회사별_교통수단매핑!$A$2:$A$1000)*($Y75=회사별_교통수단매핑!$B$2:$B$1000),0),0)),"")</f>
        <v/>
      </c>
      <c r="I75">
        <f>IF(SUM(J75:U75)=0,"",SUM(J75:U75))</f>
        <v/>
      </c>
      <c r="Y75" s="58" t="n"/>
    </row>
    <row r="76">
      <c r="D76">
        <f>IFERROR(INDEX(회사별_교통수단매핑!$C$2:$C$1000,MATCH(1,INDEX(($C$14=회사별_교통수단매핑!$A$2:$A$1000)*($Y76=회사별_교통수단매핑!$B$2:$B$1000),0),0)),"")</f>
        <v/>
      </c>
      <c r="I76">
        <f>IF(SUM(J76:U76)=0,"",SUM(J76:U76))</f>
        <v/>
      </c>
      <c r="Y76" s="58" t="n"/>
    </row>
    <row r="77">
      <c r="D77">
        <f>IFERROR(INDEX(회사별_교통수단매핑!$C$2:$C$1000,MATCH(1,INDEX(($C$14=회사별_교통수단매핑!$A$2:$A$1000)*($Y77=회사별_교통수단매핑!$B$2:$B$1000),0),0)),"")</f>
        <v/>
      </c>
      <c r="I77">
        <f>IF(SUM(J77:U77)=0,"",SUM(J77:U77))</f>
        <v/>
      </c>
      <c r="Y77" s="58" t="n"/>
    </row>
    <row r="78">
      <c r="D78">
        <f>IFERROR(INDEX(회사별_교통수단매핑!$C$2:$C$1000,MATCH(1,INDEX(($C$14=회사별_교통수단매핑!$A$2:$A$1000)*($Y78=회사별_교통수단매핑!$B$2:$B$1000),0),0)),"")</f>
        <v/>
      </c>
      <c r="I78">
        <f>IF(SUM(J78:U78)=0,"",SUM(J78:U78))</f>
        <v/>
      </c>
      <c r="Y78" s="58" t="n"/>
    </row>
    <row r="79">
      <c r="D79">
        <f>IFERROR(INDEX(회사별_교통수단매핑!$C$2:$C$1000,MATCH(1,INDEX(($C$14=회사별_교통수단매핑!$A$2:$A$1000)*($Y79=회사별_교통수단매핑!$B$2:$B$1000),0),0)),"")</f>
        <v/>
      </c>
      <c r="I79">
        <f>IF(SUM(J79:U79)=0,"",SUM(J79:U79))</f>
        <v/>
      </c>
      <c r="Y79" s="58" t="n"/>
    </row>
    <row r="80">
      <c r="D80">
        <f>IFERROR(INDEX(회사별_교통수단매핑!$C$2:$C$1000,MATCH(1,INDEX(($C$14=회사별_교통수단매핑!$A$2:$A$1000)*($Y80=회사별_교통수단매핑!$B$2:$B$1000),0),0)),"")</f>
        <v/>
      </c>
      <c r="I80">
        <f>IF(SUM(J80:U80)=0,"",SUM(J80:U80))</f>
        <v/>
      </c>
      <c r="Y80" s="58" t="n"/>
    </row>
    <row r="81">
      <c r="D81">
        <f>IFERROR(INDEX(회사별_교통수단매핑!$C$2:$C$1000,MATCH(1,INDEX(($C$14=회사별_교통수단매핑!$A$2:$A$1000)*($Y81=회사별_교통수단매핑!$B$2:$B$1000),0),0)),"")</f>
        <v/>
      </c>
      <c r="I81">
        <f>IF(SUM(J81:U81)=0,"",SUM(J81:U81))</f>
        <v/>
      </c>
      <c r="Y81" s="58" t="n"/>
    </row>
    <row r="82">
      <c r="D82">
        <f>IFERROR(INDEX(회사별_교통수단매핑!$C$2:$C$1000,MATCH(1,INDEX(($C$14=회사별_교통수단매핑!$A$2:$A$1000)*($Y82=회사별_교통수단매핑!$B$2:$B$1000),0),0)),"")</f>
        <v/>
      </c>
      <c r="I82">
        <f>IF(SUM(J82:U82)=0,"",SUM(J82:U82))</f>
        <v/>
      </c>
      <c r="Y82" s="58" t="n"/>
    </row>
    <row r="83">
      <c r="D83">
        <f>IFERROR(INDEX(회사별_교통수단매핑!$C$2:$C$1000,MATCH(1,INDEX(($C$14=회사별_교통수단매핑!$A$2:$A$1000)*($Y83=회사별_교통수단매핑!$B$2:$B$1000),0),0)),"")</f>
        <v/>
      </c>
      <c r="I83">
        <f>IF(SUM(J83:U83)=0,"",SUM(J83:U83))</f>
        <v/>
      </c>
      <c r="Y83" s="58" t="n"/>
    </row>
    <row r="84">
      <c r="D84">
        <f>IFERROR(INDEX(회사별_교통수단매핑!$C$2:$C$1000,MATCH(1,INDEX(($C$14=회사별_교통수단매핑!$A$2:$A$1000)*($Y84=회사별_교통수단매핑!$B$2:$B$1000),0),0)),"")</f>
        <v/>
      </c>
      <c r="I84">
        <f>IF(SUM(J84:U84)=0,"",SUM(J84:U84))</f>
        <v/>
      </c>
      <c r="Y84" s="58" t="n"/>
    </row>
    <row r="85">
      <c r="D85">
        <f>IFERROR(INDEX(회사별_교통수단매핑!$C$2:$C$1000,MATCH(1,INDEX(($C$14=회사별_교통수단매핑!$A$2:$A$1000)*($Y85=회사별_교통수단매핑!$B$2:$B$1000),0),0)),"")</f>
        <v/>
      </c>
      <c r="I85">
        <f>IF(SUM(J85:U85)=0,"",SUM(J85:U85))</f>
        <v/>
      </c>
      <c r="Y85" s="58" t="n"/>
    </row>
    <row r="86">
      <c r="D86">
        <f>IFERROR(INDEX(회사별_교통수단매핑!$C$2:$C$1000,MATCH(1,INDEX(($C$14=회사별_교통수단매핑!$A$2:$A$1000)*($Y86=회사별_교통수단매핑!$B$2:$B$1000),0),0)),"")</f>
        <v/>
      </c>
      <c r="I86">
        <f>IF(SUM(J86:U86)=0,"",SUM(J86:U86))</f>
        <v/>
      </c>
      <c r="Y86" s="58" t="n"/>
    </row>
    <row r="87">
      <c r="D87">
        <f>IFERROR(INDEX(회사별_교통수단매핑!$C$2:$C$1000,MATCH(1,INDEX(($C$14=회사별_교통수단매핑!$A$2:$A$1000)*($Y87=회사별_교통수단매핑!$B$2:$B$1000),0),0)),"")</f>
        <v/>
      </c>
      <c r="I87">
        <f>IF(SUM(J87:U87)=0,"",SUM(J87:U87))</f>
        <v/>
      </c>
      <c r="Y87" s="58" t="n"/>
    </row>
    <row r="88">
      <c r="D88">
        <f>IFERROR(INDEX(회사별_교통수단매핑!$C$2:$C$1000,MATCH(1,INDEX(($C$14=회사별_교통수단매핑!$A$2:$A$1000)*($Y88=회사별_교통수단매핑!$B$2:$B$1000),0),0)),"")</f>
        <v/>
      </c>
      <c r="I88">
        <f>IF(SUM(J88:U88)=0,"",SUM(J88:U88))</f>
        <v/>
      </c>
      <c r="Y88" s="58" t="n"/>
    </row>
    <row r="89">
      <c r="D89">
        <f>IFERROR(INDEX(회사별_교통수단매핑!$C$2:$C$1000,MATCH(1,INDEX(($C$14=회사별_교통수단매핑!$A$2:$A$1000)*($Y89=회사별_교통수단매핑!$B$2:$B$1000),0),0)),"")</f>
        <v/>
      </c>
      <c r="I89">
        <f>IF(SUM(J89:U89)=0,"",SUM(J89:U89))</f>
        <v/>
      </c>
      <c r="Y89" s="58" t="n"/>
    </row>
    <row r="90">
      <c r="D90">
        <f>IFERROR(INDEX(회사별_교통수단매핑!$C$2:$C$1000,MATCH(1,INDEX(($C$14=회사별_교통수단매핑!$A$2:$A$1000)*($Y90=회사별_교통수단매핑!$B$2:$B$1000),0),0)),"")</f>
        <v/>
      </c>
      <c r="I90">
        <f>IF(SUM(J90:U90)=0,"",SUM(J90:U90))</f>
        <v/>
      </c>
      <c r="Y90" s="58" t="n"/>
    </row>
    <row r="91">
      <c r="D91">
        <f>IFERROR(INDEX(회사별_교통수단매핑!$C$2:$C$1000,MATCH(1,INDEX(($C$14=회사별_교통수단매핑!$A$2:$A$1000)*($Y91=회사별_교통수단매핑!$B$2:$B$1000),0),0)),"")</f>
        <v/>
      </c>
      <c r="I91">
        <f>IF(SUM(J91:U91)=0,"",SUM(J91:U91))</f>
        <v/>
      </c>
      <c r="Y91" s="58" t="n"/>
    </row>
    <row r="92">
      <c r="D92">
        <f>IFERROR(INDEX(회사별_교통수단매핑!$C$2:$C$1000,MATCH(1,INDEX(($C$14=회사별_교통수단매핑!$A$2:$A$1000)*($Y92=회사별_교통수단매핑!$B$2:$B$1000),0),0)),"")</f>
        <v/>
      </c>
      <c r="I92">
        <f>IF(SUM(J92:U92)=0,"",SUM(J92:U92))</f>
        <v/>
      </c>
      <c r="Y92" s="58" t="n"/>
    </row>
    <row r="93">
      <c r="D93">
        <f>IFERROR(INDEX(회사별_교통수단매핑!$C$2:$C$1000,MATCH(1,INDEX(($C$14=회사별_교통수단매핑!$A$2:$A$1000)*($Y93=회사별_교통수단매핑!$B$2:$B$1000),0),0)),"")</f>
        <v/>
      </c>
      <c r="I93">
        <f>IF(SUM(J93:U93)=0,"",SUM(J93:U93))</f>
        <v/>
      </c>
      <c r="Y93" s="58" t="n"/>
    </row>
    <row r="94">
      <c r="D94">
        <f>IFERROR(INDEX(회사별_교통수단매핑!$C$2:$C$1000,MATCH(1,INDEX(($C$14=회사별_교통수단매핑!$A$2:$A$1000)*($Y94=회사별_교통수단매핑!$B$2:$B$1000),0),0)),"")</f>
        <v/>
      </c>
      <c r="I94">
        <f>IF(SUM(J94:U94)=0,"",SUM(J94:U94))</f>
        <v/>
      </c>
      <c r="Y94" s="58" t="n"/>
    </row>
    <row r="95">
      <c r="D95">
        <f>IFERROR(INDEX(회사별_교통수단매핑!$C$2:$C$1000,MATCH(1,INDEX(($C$14=회사별_교통수단매핑!$A$2:$A$1000)*($Y95=회사별_교통수단매핑!$B$2:$B$1000),0),0)),"")</f>
        <v/>
      </c>
      <c r="I95">
        <f>IF(SUM(J95:U95)=0,"",SUM(J95:U95))</f>
        <v/>
      </c>
      <c r="Y95" s="58" t="n"/>
    </row>
    <row r="96">
      <c r="D96">
        <f>IFERROR(INDEX(회사별_교통수단매핑!$C$2:$C$1000,MATCH(1,INDEX(($C$14=회사별_교통수단매핑!$A$2:$A$1000)*($Y96=회사별_교통수단매핑!$B$2:$B$1000),0),0)),"")</f>
        <v/>
      </c>
      <c r="I96">
        <f>IF(SUM(J96:U96)=0,"",SUM(J96:U96))</f>
        <v/>
      </c>
      <c r="Y96" s="58" t="n"/>
    </row>
    <row r="97">
      <c r="D97">
        <f>IFERROR(INDEX(회사별_교통수단매핑!$C$2:$C$1000,MATCH(1,INDEX(($C$14=회사별_교통수단매핑!$A$2:$A$1000)*($Y97=회사별_교통수단매핑!$B$2:$B$1000),0),0)),"")</f>
        <v/>
      </c>
      <c r="I97">
        <f>IF(SUM(J97:U97)=0,"",SUM(J97:U97))</f>
        <v/>
      </c>
      <c r="Y97" s="58" t="n"/>
    </row>
    <row r="98">
      <c r="D98">
        <f>IFERROR(INDEX(회사별_교통수단매핑!$C$2:$C$1000,MATCH(1,INDEX(($C$14=회사별_교통수단매핑!$A$2:$A$1000)*($Y98=회사별_교통수단매핑!$B$2:$B$1000),0),0)),"")</f>
        <v/>
      </c>
      <c r="I98">
        <f>IF(SUM(J98:U98)=0,"",SUM(J98:U98))</f>
        <v/>
      </c>
      <c r="Y98" s="58" t="n"/>
    </row>
    <row r="99">
      <c r="D99">
        <f>IFERROR(INDEX(회사별_교통수단매핑!$C$2:$C$1000,MATCH(1,INDEX(($C$14=회사별_교통수단매핑!$A$2:$A$1000)*($Y99=회사별_교통수단매핑!$B$2:$B$1000),0),0)),"")</f>
        <v/>
      </c>
      <c r="I99">
        <f>IF(SUM(J99:U99)=0,"",SUM(J99:U99))</f>
        <v/>
      </c>
      <c r="Y99" s="58" t="n"/>
    </row>
    <row r="100">
      <c r="D100">
        <f>IFERROR(INDEX(회사별_교통수단매핑!$C$2:$C$1000,MATCH(1,INDEX(($C$14=회사별_교통수단매핑!$A$2:$A$1000)*($Y100=회사별_교통수단매핑!$B$2:$B$1000),0),0)),"")</f>
        <v/>
      </c>
      <c r="I100">
        <f>IF(SUM(J100:U100)=0,"",SUM(J100:U100))</f>
        <v/>
      </c>
      <c r="Y100" s="58" t="n"/>
    </row>
    <row r="101">
      <c r="D101">
        <f>IFERROR(INDEX(회사별_교통수단매핑!$C$2:$C$1000,MATCH(1,INDEX(($C$14=회사별_교통수단매핑!$A$2:$A$1000)*($Y101=회사별_교통수단매핑!$B$2:$B$1000),0),0)),"")</f>
        <v/>
      </c>
      <c r="I101">
        <f>IF(SUM(J101:U101)=0,"",SUM(J101:U101))</f>
        <v/>
      </c>
      <c r="Y101" s="58" t="n"/>
    </row>
    <row r="102">
      <c r="D102">
        <f>IFERROR(INDEX(회사별_교통수단매핑!$C$2:$C$1000,MATCH(1,INDEX(($C$14=회사별_교통수단매핑!$A$2:$A$1000)*($Y102=회사별_교통수단매핑!$B$2:$B$1000),0),0)),"")</f>
        <v/>
      </c>
      <c r="I102">
        <f>IF(SUM(J102:U102)=0,"",SUM(J102:U102))</f>
        <v/>
      </c>
      <c r="Y102" s="58" t="n"/>
    </row>
    <row r="103">
      <c r="D103">
        <f>IFERROR(INDEX(회사별_교통수단매핑!$C$2:$C$1000,MATCH(1,INDEX(($C$14=회사별_교통수단매핑!$A$2:$A$1000)*($Y103=회사별_교통수단매핑!$B$2:$B$1000),0),0)),"")</f>
        <v/>
      </c>
      <c r="I103">
        <f>IF(SUM(J103:U103)=0,"",SUM(J103:U103))</f>
        <v/>
      </c>
      <c r="Y103" s="58" t="n"/>
    </row>
    <row r="104">
      <c r="D104">
        <f>IFERROR(INDEX(회사별_교통수단매핑!$C$2:$C$1000,MATCH(1,INDEX(($C$14=회사별_교통수단매핑!$A$2:$A$1000)*($Y104=회사별_교통수단매핑!$B$2:$B$1000),0),0)),"")</f>
        <v/>
      </c>
      <c r="I104">
        <f>IF(SUM(J104:U104)=0,"",SUM(J104:U104))</f>
        <v/>
      </c>
      <c r="Y104" s="58" t="n"/>
    </row>
    <row r="105">
      <c r="D105">
        <f>IFERROR(INDEX(회사별_교통수단매핑!$C$2:$C$1000,MATCH(1,INDEX(($C$14=회사별_교통수단매핑!$A$2:$A$1000)*($Y105=회사별_교통수단매핑!$B$2:$B$1000),0),0)),"")</f>
        <v/>
      </c>
      <c r="I105">
        <f>IF(SUM(J105:U105)=0,"",SUM(J105:U105))</f>
        <v/>
      </c>
      <c r="Y105" s="58" t="n"/>
    </row>
    <row r="106">
      <c r="D106">
        <f>IFERROR(INDEX(회사별_교통수단매핑!$C$2:$C$1000,MATCH(1,INDEX(($C$14=회사별_교통수단매핑!$A$2:$A$1000)*($Y106=회사별_교통수단매핑!$B$2:$B$1000),0),0)),"")</f>
        <v/>
      </c>
      <c r="I106">
        <f>IF(SUM(J106:U106)=0,"",SUM(J106:U106))</f>
        <v/>
      </c>
      <c r="Y106" s="58" t="n"/>
    </row>
    <row r="107">
      <c r="D107">
        <f>IFERROR(INDEX(회사별_교통수단매핑!$C$2:$C$1000,MATCH(1,INDEX(($C$14=회사별_교통수단매핑!$A$2:$A$1000)*($Y107=회사별_교통수단매핑!$B$2:$B$1000),0),0)),"")</f>
        <v/>
      </c>
      <c r="I107">
        <f>IF(SUM(J107:U107)=0,"",SUM(J107:U107))</f>
        <v/>
      </c>
      <c r="Y107" s="58" t="n"/>
    </row>
    <row r="108">
      <c r="D108">
        <f>IFERROR(INDEX(회사별_교통수단매핑!$C$2:$C$1000,MATCH(1,INDEX(($C$14=회사별_교통수단매핑!$A$2:$A$1000)*($Y108=회사별_교통수단매핑!$B$2:$B$1000),0),0)),"")</f>
        <v/>
      </c>
      <c r="I108">
        <f>IF(SUM(J108:U108)=0,"",SUM(J108:U108))</f>
        <v/>
      </c>
      <c r="Y108" s="58" t="n"/>
    </row>
    <row r="109">
      <c r="D109">
        <f>IFERROR(INDEX(회사별_교통수단매핑!$C$2:$C$1000,MATCH(1,INDEX(($C$14=회사별_교통수단매핑!$A$2:$A$1000)*($Y109=회사별_교통수단매핑!$B$2:$B$1000),0),0)),"")</f>
        <v/>
      </c>
      <c r="I109">
        <f>IF(SUM(J109:U109)=0,"",SUM(J109:U109))</f>
        <v/>
      </c>
      <c r="Y109" s="58" t="n"/>
    </row>
    <row r="110">
      <c r="D110">
        <f>IFERROR(INDEX(회사별_교통수단매핑!$C$2:$C$1000,MATCH(1,INDEX(($C$14=회사별_교통수단매핑!$A$2:$A$1000)*($Y110=회사별_교통수단매핑!$B$2:$B$1000),0),0)),"")</f>
        <v/>
      </c>
      <c r="I110">
        <f>IF(SUM(J110:U110)=0,"",SUM(J110:U110))</f>
        <v/>
      </c>
      <c r="Y110" s="58" t="n"/>
    </row>
    <row r="111">
      <c r="D111">
        <f>IFERROR(INDEX(회사별_교통수단매핑!$C$2:$C$1000,MATCH(1,INDEX(($C$14=회사별_교통수단매핑!$A$2:$A$1000)*($Y111=회사별_교통수단매핑!$B$2:$B$1000),0),0)),"")</f>
        <v/>
      </c>
      <c r="I111">
        <f>IF(SUM(J111:U111)=0,"",SUM(J111:U111))</f>
        <v/>
      </c>
      <c r="Y111" s="58" t="n"/>
    </row>
    <row r="112">
      <c r="D112">
        <f>IFERROR(INDEX(회사별_교통수단매핑!$C$2:$C$1000,MATCH(1,INDEX(($C$14=회사별_교통수단매핑!$A$2:$A$1000)*($Y112=회사별_교통수단매핑!$B$2:$B$1000),0),0)),"")</f>
        <v/>
      </c>
      <c r="I112">
        <f>IF(SUM(J112:U112)=0,"",SUM(J112:U112))</f>
        <v/>
      </c>
      <c r="Y112" s="58" t="n"/>
    </row>
    <row r="113">
      <c r="D113">
        <f>IFERROR(INDEX(회사별_교통수단매핑!$C$2:$C$1000,MATCH(1,INDEX(($C$14=회사별_교통수단매핑!$A$2:$A$1000)*($Y113=회사별_교통수단매핑!$B$2:$B$1000),0),0)),"")</f>
        <v/>
      </c>
      <c r="I113">
        <f>IF(SUM(J113:U113)=0,"",SUM(J113:U113))</f>
        <v/>
      </c>
      <c r="Y113" s="58" t="n"/>
    </row>
    <row r="114">
      <c r="D114">
        <f>IFERROR(INDEX(회사별_교통수단매핑!$C$2:$C$1000,MATCH(1,INDEX(($C$14=회사별_교통수단매핑!$A$2:$A$1000)*($Y114=회사별_교통수단매핑!$B$2:$B$1000),0),0)),"")</f>
        <v/>
      </c>
      <c r="I114">
        <f>IF(SUM(J114:U114)=0,"",SUM(J114:U114))</f>
        <v/>
      </c>
      <c r="Y114" s="58" t="n"/>
    </row>
    <row r="115">
      <c r="D115">
        <f>IFERROR(INDEX(회사별_교통수단매핑!$C$2:$C$1000,MATCH(1,INDEX(($C$14=회사별_교통수단매핑!$A$2:$A$1000)*($Y115=회사별_교통수단매핑!$B$2:$B$1000),0),0)),"")</f>
        <v/>
      </c>
      <c r="I115">
        <f>IF(SUM(J115:U115)=0,"",SUM(J115:U115))</f>
        <v/>
      </c>
      <c r="Y115" s="58" t="n"/>
    </row>
    <row r="116">
      <c r="D116">
        <f>IFERROR(INDEX(회사별_교통수단매핑!$C$2:$C$1000,MATCH(1,INDEX(($C$14=회사별_교통수단매핑!$A$2:$A$1000)*($Y116=회사별_교통수단매핑!$B$2:$B$1000),0),0)),"")</f>
        <v/>
      </c>
      <c r="I116">
        <f>IF(SUM(J116:U116)=0,"",SUM(J116:U116))</f>
        <v/>
      </c>
      <c r="Y116" s="58" t="n"/>
    </row>
    <row r="117">
      <c r="D117">
        <f>IFERROR(INDEX(회사별_교통수단매핑!$C$2:$C$1000,MATCH(1,INDEX(($C$14=회사별_교통수단매핑!$A$2:$A$1000)*($Y117=회사별_교통수단매핑!$B$2:$B$1000),0),0)),"")</f>
        <v/>
      </c>
      <c r="I117">
        <f>IF(SUM(J117:U117)=0,"",SUM(J117:U117))</f>
        <v/>
      </c>
      <c r="Y117" s="58" t="n"/>
    </row>
    <row r="118">
      <c r="D118">
        <f>IFERROR(INDEX(회사별_교통수단매핑!$C$2:$C$1000,MATCH(1,INDEX(($C$14=회사별_교통수단매핑!$A$2:$A$1000)*($Y118=회사별_교통수단매핑!$B$2:$B$1000),0),0)),"")</f>
        <v/>
      </c>
      <c r="I118">
        <f>IF(SUM(J118:U118)=0,"",SUM(J118:U118))</f>
        <v/>
      </c>
      <c r="Y118" s="58" t="n"/>
    </row>
    <row r="119">
      <c r="D119">
        <f>IFERROR(INDEX(회사별_교통수단매핑!$C$2:$C$1000,MATCH(1,INDEX(($C$14=회사별_교통수단매핑!$A$2:$A$1000)*($Y119=회사별_교통수단매핑!$B$2:$B$1000),0),0)),"")</f>
        <v/>
      </c>
      <c r="I119">
        <f>IF(SUM(J119:U119)=0,"",SUM(J119:U119))</f>
        <v/>
      </c>
      <c r="Y119" s="58" t="n"/>
    </row>
    <row r="120">
      <c r="D120">
        <f>IFERROR(INDEX(회사별_교통수단매핑!$C$2:$C$1000,MATCH(1,INDEX(($C$14=회사별_교통수단매핑!$A$2:$A$1000)*($Y120=회사별_교통수단매핑!$B$2:$B$1000),0),0)),"")</f>
        <v/>
      </c>
      <c r="I120">
        <f>IF(SUM(J120:U120)=0,"",SUM(J120:U120))</f>
        <v/>
      </c>
      <c r="Y120" s="58" t="n"/>
    </row>
    <row r="121">
      <c r="D121">
        <f>IFERROR(INDEX(회사별_교통수단매핑!$C$2:$C$1000,MATCH(1,INDEX(($C$14=회사별_교통수단매핑!$A$2:$A$1000)*($Y121=회사별_교통수단매핑!$B$2:$B$1000),0),0)),"")</f>
        <v/>
      </c>
      <c r="I121">
        <f>IF(SUM(J121:U121)=0,"",SUM(J121:U121))</f>
        <v/>
      </c>
      <c r="Y121" s="58" t="n"/>
    </row>
    <row r="122">
      <c r="D122">
        <f>IFERROR(INDEX(회사별_교통수단매핑!$C$2:$C$1000,MATCH(1,INDEX(($C$14=회사별_교통수단매핑!$A$2:$A$1000)*($Y122=회사별_교통수단매핑!$B$2:$B$1000),0),0)),"")</f>
        <v/>
      </c>
      <c r="I122">
        <f>IF(SUM(J122:U122)=0,"",SUM(J122:U122))</f>
        <v/>
      </c>
      <c r="Y122" s="58" t="n"/>
    </row>
    <row r="123">
      <c r="D123">
        <f>IFERROR(INDEX(회사별_교통수단매핑!$C$2:$C$1000,MATCH(1,INDEX(($C$14=회사별_교통수단매핑!$A$2:$A$1000)*($Y123=회사별_교통수단매핑!$B$2:$B$1000),0),0)),"")</f>
        <v/>
      </c>
      <c r="I123">
        <f>IF(SUM(J123:U123)=0,"",SUM(J123:U123))</f>
        <v/>
      </c>
      <c r="Y123" s="58" t="n"/>
    </row>
    <row r="124">
      <c r="D124">
        <f>IFERROR(INDEX(회사별_교통수단매핑!$C$2:$C$1000,MATCH(1,INDEX(($C$14=회사별_교통수단매핑!$A$2:$A$1000)*($Y124=회사별_교통수단매핑!$B$2:$B$1000),0),0)),"")</f>
        <v/>
      </c>
      <c r="I124">
        <f>IF(SUM(J124:U124)=0,"",SUM(J124:U124))</f>
        <v/>
      </c>
      <c r="Y124" s="58" t="n"/>
    </row>
    <row r="125">
      <c r="D125">
        <f>IFERROR(INDEX(회사별_교통수단매핑!$C$2:$C$1000,MATCH(1,INDEX(($C$14=회사별_교통수단매핑!$A$2:$A$1000)*($Y125=회사별_교통수단매핑!$B$2:$B$1000),0),0)),"")</f>
        <v/>
      </c>
      <c r="I125">
        <f>IF(SUM(J125:U125)=0,"",SUM(J125:U125))</f>
        <v/>
      </c>
      <c r="Y125" s="58" t="n"/>
    </row>
    <row r="126">
      <c r="D126">
        <f>IFERROR(INDEX(회사별_교통수단매핑!$C$2:$C$1000,MATCH(1,INDEX(($C$14=회사별_교통수단매핑!$A$2:$A$1000)*($Y126=회사별_교통수단매핑!$B$2:$B$1000),0),0)),"")</f>
        <v/>
      </c>
      <c r="I126">
        <f>IF(SUM(J126:U126)=0,"",SUM(J126:U126))</f>
        <v/>
      </c>
      <c r="Y126" s="58" t="n"/>
    </row>
    <row r="127">
      <c r="D127">
        <f>IFERROR(INDEX(회사별_교통수단매핑!$C$2:$C$1000,MATCH(1,INDEX(($C$14=회사별_교통수단매핑!$A$2:$A$1000)*($Y127=회사별_교통수단매핑!$B$2:$B$1000),0),0)),"")</f>
        <v/>
      </c>
      <c r="I127">
        <f>IF(SUM(J127:U127)=0,"",SUM(J127:U127))</f>
        <v/>
      </c>
      <c r="Y127" s="58" t="n"/>
    </row>
    <row r="128">
      <c r="D128">
        <f>IFERROR(INDEX(회사별_교통수단매핑!$C$2:$C$1000,MATCH(1,INDEX(($C$14=회사별_교통수단매핑!$A$2:$A$1000)*($Y128=회사별_교통수단매핑!$B$2:$B$1000),0),0)),"")</f>
        <v/>
      </c>
      <c r="I128">
        <f>IF(SUM(J128:U128)=0,"",SUM(J128:U128))</f>
        <v/>
      </c>
      <c r="Y128" s="58" t="n"/>
    </row>
    <row r="129">
      <c r="D129">
        <f>IFERROR(INDEX(회사별_교통수단매핑!$C$2:$C$1000,MATCH(1,INDEX(($C$14=회사별_교통수단매핑!$A$2:$A$1000)*($Y129=회사별_교통수단매핑!$B$2:$B$1000),0),0)),"")</f>
        <v/>
      </c>
      <c r="I129">
        <f>IF(SUM(J129:U129)=0,"",SUM(J129:U129))</f>
        <v/>
      </c>
      <c r="Y129" s="58" t="n"/>
    </row>
    <row r="130">
      <c r="D130">
        <f>IFERROR(INDEX(회사별_교통수단매핑!$C$2:$C$1000,MATCH(1,INDEX(($C$14=회사별_교통수단매핑!$A$2:$A$1000)*($Y130=회사별_교통수단매핑!$B$2:$B$1000),0),0)),"")</f>
        <v/>
      </c>
      <c r="I130">
        <f>IF(SUM(J130:U130)=0,"",SUM(J130:U130))</f>
        <v/>
      </c>
      <c r="Y130" s="58" t="n"/>
    </row>
    <row r="131">
      <c r="D131">
        <f>IFERROR(INDEX(회사별_교통수단매핑!$C$2:$C$1000,MATCH(1,INDEX(($C$14=회사별_교통수단매핑!$A$2:$A$1000)*($Y131=회사별_교통수단매핑!$B$2:$B$1000),0),0)),"")</f>
        <v/>
      </c>
      <c r="I131">
        <f>IF(SUM(J131:U131)=0,"",SUM(J131:U131))</f>
        <v/>
      </c>
      <c r="Y131" s="58" t="n"/>
    </row>
    <row r="132">
      <c r="D132">
        <f>IFERROR(INDEX(회사별_교통수단매핑!$C$2:$C$1000,MATCH(1,INDEX(($C$14=회사별_교통수단매핑!$A$2:$A$1000)*($Y132=회사별_교통수단매핑!$B$2:$B$1000),0),0)),"")</f>
        <v/>
      </c>
      <c r="I132">
        <f>IF(SUM(J132:U132)=0,"",SUM(J132:U132))</f>
        <v/>
      </c>
      <c r="Y132" s="58" t="n"/>
    </row>
    <row r="133">
      <c r="D133">
        <f>IFERROR(INDEX(회사별_교통수단매핑!$C$2:$C$1000,MATCH(1,INDEX(($C$14=회사별_교통수단매핑!$A$2:$A$1000)*($Y133=회사별_교통수단매핑!$B$2:$B$1000),0),0)),"")</f>
        <v/>
      </c>
      <c r="I133">
        <f>IF(SUM(J133:U133)=0,"",SUM(J133:U133))</f>
        <v/>
      </c>
      <c r="Y133" s="58" t="n"/>
    </row>
    <row r="134">
      <c r="D134">
        <f>IFERROR(INDEX(회사별_교통수단매핑!$C$2:$C$1000,MATCH(1,INDEX(($C$14=회사별_교통수단매핑!$A$2:$A$1000)*($Y134=회사별_교통수단매핑!$B$2:$B$1000),0),0)),"")</f>
        <v/>
      </c>
      <c r="I134">
        <f>IF(SUM(J134:U134)=0,"",SUM(J134:U134))</f>
        <v/>
      </c>
      <c r="Y134" s="58" t="n"/>
    </row>
    <row r="135">
      <c r="D135">
        <f>IFERROR(INDEX(회사별_교통수단매핑!$C$2:$C$1000,MATCH(1,INDEX(($C$14=회사별_교통수단매핑!$A$2:$A$1000)*($Y135=회사별_교통수단매핑!$B$2:$B$1000),0),0)),"")</f>
        <v/>
      </c>
      <c r="I135">
        <f>IF(SUM(J135:U135)=0,"",SUM(J135:U135))</f>
        <v/>
      </c>
      <c r="Y135" s="58" t="n"/>
    </row>
    <row r="136">
      <c r="D136">
        <f>IFERROR(INDEX(회사별_교통수단매핑!$C$2:$C$1000,MATCH(1,INDEX(($C$14=회사별_교통수단매핑!$A$2:$A$1000)*($Y136=회사별_교통수단매핑!$B$2:$B$1000),0),0)),"")</f>
        <v/>
      </c>
      <c r="I136">
        <f>IF(SUM(J136:U136)=0,"",SUM(J136:U136))</f>
        <v/>
      </c>
      <c r="Y136" s="58" t="n"/>
    </row>
    <row r="137">
      <c r="D137">
        <f>IFERROR(INDEX(회사별_교통수단매핑!$C$2:$C$1000,MATCH(1,INDEX(($C$14=회사별_교통수단매핑!$A$2:$A$1000)*($Y137=회사별_교통수단매핑!$B$2:$B$1000),0),0)),"")</f>
        <v/>
      </c>
      <c r="I137">
        <f>IF(SUM(J137:U137)=0,"",SUM(J137:U137))</f>
        <v/>
      </c>
      <c r="Y137" s="58" t="n"/>
    </row>
    <row r="138">
      <c r="D138">
        <f>IFERROR(INDEX(회사별_교통수단매핑!$C$2:$C$1000,MATCH(1,INDEX(($C$14=회사별_교통수단매핑!$A$2:$A$1000)*($Y138=회사별_교통수단매핑!$B$2:$B$1000),0),0)),"")</f>
        <v/>
      </c>
      <c r="I138">
        <f>IF(SUM(J138:U138)=0,"",SUM(J138:U138))</f>
        <v/>
      </c>
      <c r="Y138" s="58" t="n"/>
    </row>
    <row r="139">
      <c r="D139">
        <f>IFERROR(INDEX(회사별_교통수단매핑!$C$2:$C$1000,MATCH(1,INDEX(($C$14=회사별_교통수단매핑!$A$2:$A$1000)*($Y139=회사별_교통수단매핑!$B$2:$B$1000),0),0)),"")</f>
        <v/>
      </c>
      <c r="I139">
        <f>IF(SUM(J139:U139)=0,"",SUM(J139:U139))</f>
        <v/>
      </c>
      <c r="Y139" s="58" t="n"/>
    </row>
    <row r="140">
      <c r="D140">
        <f>IFERROR(INDEX(회사별_교통수단매핑!$C$2:$C$1000,MATCH(1,INDEX(($C$14=회사별_교통수단매핑!$A$2:$A$1000)*($Y140=회사별_교통수단매핑!$B$2:$B$1000),0),0)),"")</f>
        <v/>
      </c>
      <c r="I140">
        <f>IF(SUM(J140:U140)=0,"",SUM(J140:U140))</f>
        <v/>
      </c>
      <c r="Y140" s="58" t="n"/>
    </row>
    <row r="141">
      <c r="D141">
        <f>IFERROR(INDEX(회사별_교통수단매핑!$C$2:$C$1000,MATCH(1,INDEX(($C$14=회사별_교통수단매핑!$A$2:$A$1000)*($Y141=회사별_교통수단매핑!$B$2:$B$1000),0),0)),"")</f>
        <v/>
      </c>
      <c r="I141">
        <f>IF(SUM(J141:U141)=0,"",SUM(J141:U141))</f>
        <v/>
      </c>
      <c r="Y141" s="58" t="n"/>
    </row>
    <row r="142">
      <c r="D142">
        <f>IFERROR(INDEX(회사별_교통수단매핑!$C$2:$C$1000,MATCH(1,INDEX(($C$14=회사별_교통수단매핑!$A$2:$A$1000)*($Y142=회사별_교통수단매핑!$B$2:$B$1000),0),0)),"")</f>
        <v/>
      </c>
      <c r="I142">
        <f>IF(SUM(J142:U142)=0,"",SUM(J142:U142))</f>
        <v/>
      </c>
      <c r="Y142" s="58" t="n"/>
    </row>
    <row r="143">
      <c r="D143">
        <f>IFERROR(INDEX(회사별_교통수단매핑!$C$2:$C$1000,MATCH(1,INDEX(($C$14=회사별_교통수단매핑!$A$2:$A$1000)*($Y143=회사별_교통수단매핑!$B$2:$B$1000),0),0)),"")</f>
        <v/>
      </c>
      <c r="I143">
        <f>IF(SUM(J143:U143)=0,"",SUM(J143:U143))</f>
        <v/>
      </c>
      <c r="Y143" s="58" t="n"/>
    </row>
    <row r="144">
      <c r="D144">
        <f>IFERROR(INDEX(회사별_교통수단매핑!$C$2:$C$1000,MATCH(1,INDEX(($C$14=회사별_교통수단매핑!$A$2:$A$1000)*($Y144=회사별_교통수단매핑!$B$2:$B$1000),0),0)),"")</f>
        <v/>
      </c>
      <c r="I144">
        <f>IF(SUM(J144:U144)=0,"",SUM(J144:U144))</f>
        <v/>
      </c>
      <c r="Y144" s="58" t="n"/>
    </row>
    <row r="145">
      <c r="D145">
        <f>IFERROR(INDEX(회사별_교통수단매핑!$C$2:$C$1000,MATCH(1,INDEX(($C$14=회사별_교통수단매핑!$A$2:$A$1000)*($Y145=회사별_교통수단매핑!$B$2:$B$1000),0),0)),"")</f>
        <v/>
      </c>
      <c r="I145">
        <f>IF(SUM(J145:U145)=0,"",SUM(J145:U145))</f>
        <v/>
      </c>
      <c r="Y145" s="58" t="n"/>
    </row>
    <row r="146">
      <c r="D146">
        <f>IFERROR(INDEX(회사별_교통수단매핑!$C$2:$C$1000,MATCH(1,INDEX(($C$14=회사별_교통수단매핑!$A$2:$A$1000)*($Y146=회사별_교통수단매핑!$B$2:$B$1000),0),0)),"")</f>
        <v/>
      </c>
      <c r="I146">
        <f>IF(SUM(J146:U146)=0,"",SUM(J146:U146))</f>
        <v/>
      </c>
      <c r="Y146" s="58" t="n"/>
    </row>
    <row r="147">
      <c r="D147">
        <f>IFERROR(INDEX(회사별_교통수단매핑!$C$2:$C$1000,MATCH(1,INDEX(($C$14=회사별_교통수단매핑!$A$2:$A$1000)*($Y147=회사별_교통수단매핑!$B$2:$B$1000),0),0)),"")</f>
        <v/>
      </c>
      <c r="I147">
        <f>IF(SUM(J147:U147)=0,"",SUM(J147:U147))</f>
        <v/>
      </c>
      <c r="Y147" s="58" t="n"/>
    </row>
    <row r="148">
      <c r="D148">
        <f>IFERROR(INDEX(회사별_교통수단매핑!$C$2:$C$1000,MATCH(1,INDEX(($C$14=회사별_교통수단매핑!$A$2:$A$1000)*($Y148=회사별_교통수단매핑!$B$2:$B$1000),0),0)),"")</f>
        <v/>
      </c>
      <c r="I148">
        <f>IF(SUM(J148:U148)=0,"",SUM(J148:U148))</f>
        <v/>
      </c>
      <c r="Y148" s="58" t="n"/>
    </row>
    <row r="149">
      <c r="D149">
        <f>IFERROR(INDEX(회사별_교통수단매핑!$C$2:$C$1000,MATCH(1,INDEX(($C$14=회사별_교통수단매핑!$A$2:$A$1000)*($Y149=회사별_교통수단매핑!$B$2:$B$1000),0),0)),"")</f>
        <v/>
      </c>
      <c r="I149">
        <f>IF(SUM(J149:U149)=0,"",SUM(J149:U149))</f>
        <v/>
      </c>
      <c r="Y149" s="58" t="n"/>
    </row>
    <row r="150">
      <c r="D150">
        <f>IFERROR(INDEX(회사별_교통수단매핑!$C$2:$C$1000,MATCH(1,INDEX(($C$14=회사별_교통수단매핑!$A$2:$A$1000)*($Y150=회사별_교통수단매핑!$B$2:$B$1000),0),0)),"")</f>
        <v/>
      </c>
      <c r="I150">
        <f>IF(SUM(J150:U150)=0,"",SUM(J150:U150))</f>
        <v/>
      </c>
      <c r="Y150" s="58" t="n"/>
    </row>
    <row r="151">
      <c r="D151">
        <f>IFERROR(INDEX(회사별_교통수단매핑!$C$2:$C$1000,MATCH(1,INDEX(($C$14=회사별_교통수단매핑!$A$2:$A$1000)*($Y151=회사별_교통수단매핑!$B$2:$B$1000),0),0)),"")</f>
        <v/>
      </c>
      <c r="I151">
        <f>IF(SUM(J151:U151)=0,"",SUM(J151:U151))</f>
        <v/>
      </c>
      <c r="Y151" s="58" t="n"/>
    </row>
    <row r="152">
      <c r="D152">
        <f>IFERROR(INDEX(회사별_교통수단매핑!$C$2:$C$1000,MATCH(1,INDEX(($C$14=회사별_교통수단매핑!$A$2:$A$1000)*($Y152=회사별_교통수단매핑!$B$2:$B$1000),0),0)),"")</f>
        <v/>
      </c>
      <c r="I152">
        <f>IF(SUM(J152:U152)=0,"",SUM(J152:U152))</f>
        <v/>
      </c>
      <c r="Y152" s="58" t="n"/>
    </row>
    <row r="153">
      <c r="D153">
        <f>IFERROR(INDEX(회사별_교통수단매핑!$C$2:$C$1000,MATCH(1,INDEX(($C$14=회사별_교통수단매핑!$A$2:$A$1000)*($Y153=회사별_교통수단매핑!$B$2:$B$1000),0),0)),"")</f>
        <v/>
      </c>
      <c r="I153">
        <f>IF(SUM(J153:U153)=0,"",SUM(J153:U153))</f>
        <v/>
      </c>
      <c r="Y153" s="58" t="n"/>
    </row>
    <row r="154">
      <c r="D154">
        <f>IFERROR(INDEX(회사별_교통수단매핑!$C$2:$C$1000,MATCH(1,INDEX(($C$14=회사별_교통수단매핑!$A$2:$A$1000)*($Y154=회사별_교통수단매핑!$B$2:$B$1000),0),0)),"")</f>
        <v/>
      </c>
      <c r="I154">
        <f>IF(SUM(J154:U154)=0,"",SUM(J154:U154))</f>
        <v/>
      </c>
      <c r="Y154" s="58" t="n"/>
    </row>
    <row r="155">
      <c r="D155">
        <f>IFERROR(INDEX(회사별_교통수단매핑!$C$2:$C$1000,MATCH(1,INDEX(($C$14=회사별_교통수단매핑!$A$2:$A$1000)*($Y155=회사별_교통수단매핑!$B$2:$B$1000),0),0)),"")</f>
        <v/>
      </c>
      <c r="I155">
        <f>IF(SUM(J155:U155)=0,"",SUM(J155:U155))</f>
        <v/>
      </c>
      <c r="Y155" s="58" t="n"/>
    </row>
    <row r="156">
      <c r="D156">
        <f>IFERROR(INDEX(회사별_교통수단매핑!$C$2:$C$1000,MATCH(1,INDEX(($C$14=회사별_교통수단매핑!$A$2:$A$1000)*($Y156=회사별_교통수단매핑!$B$2:$B$1000),0),0)),"")</f>
        <v/>
      </c>
      <c r="I156">
        <f>IF(SUM(J156:U156)=0,"",SUM(J156:U156))</f>
        <v/>
      </c>
      <c r="Y156" s="58" t="n"/>
    </row>
    <row r="157">
      <c r="D157">
        <f>IFERROR(INDEX(회사별_교통수단매핑!$C$2:$C$1000,MATCH(1,INDEX(($C$14=회사별_교통수단매핑!$A$2:$A$1000)*($Y157=회사별_교통수단매핑!$B$2:$B$1000),0),0)),"")</f>
        <v/>
      </c>
      <c r="I157">
        <f>IF(SUM(J157:U157)=0,"",SUM(J157:U157))</f>
        <v/>
      </c>
      <c r="Y157" s="58" t="n"/>
    </row>
    <row r="158">
      <c r="D158">
        <f>IFERROR(INDEX(회사별_교통수단매핑!$C$2:$C$1000,MATCH(1,INDEX(($C$14=회사별_교통수단매핑!$A$2:$A$1000)*($Y158=회사별_교통수단매핑!$B$2:$B$1000),0),0)),"")</f>
        <v/>
      </c>
      <c r="I158">
        <f>IF(SUM(J158:U158)=0,"",SUM(J158:U158))</f>
        <v/>
      </c>
      <c r="Y158" s="58" t="n"/>
    </row>
    <row r="159">
      <c r="D159">
        <f>IFERROR(INDEX(회사별_교통수단매핑!$C$2:$C$1000,MATCH(1,INDEX(($C$14=회사별_교통수단매핑!$A$2:$A$1000)*($Y159=회사별_교통수단매핑!$B$2:$B$1000),0),0)),"")</f>
        <v/>
      </c>
      <c r="I159">
        <f>IF(SUM(J159:U159)=0,"",SUM(J159:U159))</f>
        <v/>
      </c>
      <c r="Y159" s="58" t="n"/>
    </row>
    <row r="160">
      <c r="D160">
        <f>IFERROR(INDEX(회사별_교통수단매핑!$C$2:$C$1000,MATCH(1,INDEX(($C$14=회사별_교통수단매핑!$A$2:$A$1000)*($Y160=회사별_교통수단매핑!$B$2:$B$1000),0),0)),"")</f>
        <v/>
      </c>
      <c r="I160">
        <f>IF(SUM(J160:U160)=0,"",SUM(J160:U160))</f>
        <v/>
      </c>
      <c r="Y160" s="58" t="n"/>
    </row>
    <row r="161">
      <c r="D161">
        <f>IFERROR(INDEX(회사별_교통수단매핑!$C$2:$C$1000,MATCH(1,INDEX(($C$14=회사별_교통수단매핑!$A$2:$A$1000)*($Y161=회사별_교통수단매핑!$B$2:$B$1000),0),0)),"")</f>
        <v/>
      </c>
      <c r="I161">
        <f>IF(SUM(J161:U161)=0,"",SUM(J161:U161))</f>
        <v/>
      </c>
      <c r="Y161" s="58" t="n"/>
    </row>
    <row r="162">
      <c r="D162">
        <f>IFERROR(INDEX(회사별_교통수단매핑!$C$2:$C$1000,MATCH(1,INDEX(($C$14=회사별_교통수단매핑!$A$2:$A$1000)*($Y162=회사별_교통수단매핑!$B$2:$B$1000),0),0)),"")</f>
        <v/>
      </c>
      <c r="I162">
        <f>IF(SUM(J162:U162)=0,"",SUM(J162:U162))</f>
        <v/>
      </c>
      <c r="Y162" s="58" t="n"/>
    </row>
    <row r="163">
      <c r="D163">
        <f>IFERROR(INDEX(회사별_교통수단매핑!$C$2:$C$1000,MATCH(1,INDEX(($C$14=회사별_교통수단매핑!$A$2:$A$1000)*($Y163=회사별_교통수단매핑!$B$2:$B$1000),0),0)),"")</f>
        <v/>
      </c>
      <c r="I163">
        <f>IF(SUM(J163:U163)=0,"",SUM(J163:U163))</f>
        <v/>
      </c>
      <c r="Y163" s="58" t="n"/>
    </row>
    <row r="164">
      <c r="D164">
        <f>IFERROR(INDEX(회사별_교통수단매핑!$C$2:$C$1000,MATCH(1,INDEX(($C$14=회사별_교통수단매핑!$A$2:$A$1000)*($Y164=회사별_교통수단매핑!$B$2:$B$1000),0),0)),"")</f>
        <v/>
      </c>
      <c r="I164">
        <f>IF(SUM(J164:U164)=0,"",SUM(J164:U164))</f>
        <v/>
      </c>
      <c r="Y164" s="58" t="n"/>
    </row>
    <row r="165">
      <c r="D165">
        <f>IFERROR(INDEX(회사별_교통수단매핑!$C$2:$C$1000,MATCH(1,INDEX(($C$14=회사별_교통수단매핑!$A$2:$A$1000)*($Y165=회사별_교통수단매핑!$B$2:$B$1000),0),0)),"")</f>
        <v/>
      </c>
      <c r="I165">
        <f>IF(SUM(J165:U165)=0,"",SUM(J165:U165))</f>
        <v/>
      </c>
      <c r="Y165" s="58" t="n"/>
    </row>
    <row r="166">
      <c r="D166">
        <f>IFERROR(INDEX(회사별_교통수단매핑!$C$2:$C$1000,MATCH(1,INDEX(($C$14=회사별_교통수단매핑!$A$2:$A$1000)*($Y166=회사별_교통수단매핑!$B$2:$B$1000),0),0)),"")</f>
        <v/>
      </c>
      <c r="I166">
        <f>IF(SUM(J166:U166)=0,"",SUM(J166:U166))</f>
        <v/>
      </c>
      <c r="Y166" s="58" t="n"/>
    </row>
    <row r="167">
      <c r="D167">
        <f>IFERROR(INDEX(회사별_교통수단매핑!$C$2:$C$1000,MATCH(1,INDEX(($C$14=회사별_교통수단매핑!$A$2:$A$1000)*($Y167=회사별_교통수단매핑!$B$2:$B$1000),0),0)),"")</f>
        <v/>
      </c>
      <c r="I167">
        <f>IF(SUM(J167:U167)=0,"",SUM(J167:U167))</f>
        <v/>
      </c>
      <c r="Y167" s="58" t="n"/>
    </row>
    <row r="168">
      <c r="D168">
        <f>IFERROR(INDEX(회사별_교통수단매핑!$C$2:$C$1000,MATCH(1,INDEX(($C$14=회사별_교통수단매핑!$A$2:$A$1000)*($Y168=회사별_교통수단매핑!$B$2:$B$1000),0),0)),"")</f>
        <v/>
      </c>
      <c r="I168">
        <f>IF(SUM(J168:U168)=0,"",SUM(J168:U168))</f>
        <v/>
      </c>
      <c r="Y168" s="58" t="n"/>
    </row>
    <row r="169">
      <c r="D169">
        <f>IFERROR(INDEX(회사별_교통수단매핑!$C$2:$C$1000,MATCH(1,INDEX(($C$14=회사별_교통수단매핑!$A$2:$A$1000)*($Y169=회사별_교통수단매핑!$B$2:$B$1000),0),0)),"")</f>
        <v/>
      </c>
      <c r="I169">
        <f>IF(SUM(J169:U169)=0,"",SUM(J169:U169))</f>
        <v/>
      </c>
      <c r="Y169" s="58" t="n"/>
    </row>
    <row r="170">
      <c r="D170">
        <f>IFERROR(INDEX(회사별_교통수단매핑!$C$2:$C$1000,MATCH(1,INDEX(($C$14=회사별_교통수단매핑!$A$2:$A$1000)*($Y170=회사별_교통수단매핑!$B$2:$B$1000),0),0)),"")</f>
        <v/>
      </c>
      <c r="I170">
        <f>IF(SUM(J170:U170)=0,"",SUM(J170:U170))</f>
        <v/>
      </c>
      <c r="Y170" s="58" t="n"/>
    </row>
    <row r="171">
      <c r="D171">
        <f>IFERROR(INDEX(회사별_교통수단매핑!$C$2:$C$1000,MATCH(1,INDEX(($C$14=회사별_교통수단매핑!$A$2:$A$1000)*($Y171=회사별_교통수단매핑!$B$2:$B$1000),0),0)),"")</f>
        <v/>
      </c>
      <c r="I171">
        <f>IF(SUM(J171:U171)=0,"",SUM(J171:U171))</f>
        <v/>
      </c>
      <c r="Y171" s="58" t="n"/>
    </row>
    <row r="172">
      <c r="D172">
        <f>IFERROR(INDEX(회사별_교통수단매핑!$C$2:$C$1000,MATCH(1,INDEX(($C$14=회사별_교통수단매핑!$A$2:$A$1000)*($Y172=회사별_교통수단매핑!$B$2:$B$1000),0),0)),"")</f>
        <v/>
      </c>
      <c r="I172">
        <f>IF(SUM(J172:U172)=0,"",SUM(J172:U172))</f>
        <v/>
      </c>
      <c r="Y172" s="58" t="n"/>
    </row>
    <row r="173">
      <c r="D173">
        <f>IFERROR(INDEX(회사별_교통수단매핑!$C$2:$C$1000,MATCH(1,INDEX(($C$14=회사별_교통수단매핑!$A$2:$A$1000)*($Y173=회사별_교통수단매핑!$B$2:$B$1000),0),0)),"")</f>
        <v/>
      </c>
      <c r="I173">
        <f>IF(SUM(J173:U173)=0,"",SUM(J173:U173))</f>
        <v/>
      </c>
      <c r="Y173" s="58" t="n"/>
    </row>
    <row r="174">
      <c r="D174">
        <f>IFERROR(INDEX(회사별_교통수단매핑!$C$2:$C$1000,MATCH(1,INDEX(($C$14=회사별_교통수단매핑!$A$2:$A$1000)*($Y174=회사별_교통수단매핑!$B$2:$B$1000),0),0)),"")</f>
        <v/>
      </c>
      <c r="I174">
        <f>IF(SUM(J174:U174)=0,"",SUM(J174:U174))</f>
        <v/>
      </c>
      <c r="Y174" s="58" t="n"/>
    </row>
    <row r="175">
      <c r="D175">
        <f>IFERROR(INDEX(회사별_교통수단매핑!$C$2:$C$1000,MATCH(1,INDEX(($C$14=회사별_교통수단매핑!$A$2:$A$1000)*($Y175=회사별_교통수단매핑!$B$2:$B$1000),0),0)),"")</f>
        <v/>
      </c>
      <c r="I175">
        <f>IF(SUM(J175:U175)=0,"",SUM(J175:U175))</f>
        <v/>
      </c>
      <c r="Y175" s="58" t="n"/>
    </row>
    <row r="176">
      <c r="D176">
        <f>IFERROR(INDEX(회사별_교통수단매핑!$C$2:$C$1000,MATCH(1,INDEX(($C$14=회사별_교통수단매핑!$A$2:$A$1000)*($Y176=회사별_교통수단매핑!$B$2:$B$1000),0),0)),"")</f>
        <v/>
      </c>
      <c r="I176">
        <f>IF(SUM(J176:U176)=0,"",SUM(J176:U176))</f>
        <v/>
      </c>
      <c r="Y176" s="58" t="n"/>
    </row>
    <row r="177">
      <c r="D177">
        <f>IFERROR(INDEX(회사별_교통수단매핑!$C$2:$C$1000,MATCH(1,INDEX(($C$14=회사별_교통수단매핑!$A$2:$A$1000)*($Y177=회사별_교통수단매핑!$B$2:$B$1000),0),0)),"")</f>
        <v/>
      </c>
      <c r="I177">
        <f>IF(SUM(J177:U177)=0,"",SUM(J177:U177))</f>
        <v/>
      </c>
      <c r="Y177" s="58" t="n"/>
    </row>
    <row r="178">
      <c r="D178">
        <f>IFERROR(INDEX(회사별_교통수단매핑!$C$2:$C$1000,MATCH(1,INDEX(($C$14=회사별_교통수단매핑!$A$2:$A$1000)*($Y178=회사별_교통수단매핑!$B$2:$B$1000),0),0)),"")</f>
        <v/>
      </c>
      <c r="I178">
        <f>IF(SUM(J178:U178)=0,"",SUM(J178:U178))</f>
        <v/>
      </c>
      <c r="Y178" s="58" t="n"/>
    </row>
    <row r="179">
      <c r="D179">
        <f>IFERROR(INDEX(회사별_교통수단매핑!$C$2:$C$1000,MATCH(1,INDEX(($C$14=회사별_교통수단매핑!$A$2:$A$1000)*($Y179=회사별_교통수단매핑!$B$2:$B$1000),0),0)),"")</f>
        <v/>
      </c>
      <c r="I179">
        <f>IF(SUM(J179:U179)=0,"",SUM(J179:U179))</f>
        <v/>
      </c>
      <c r="Y179" s="58" t="n"/>
    </row>
    <row r="180">
      <c r="D180">
        <f>IFERROR(INDEX(회사별_교통수단매핑!$C$2:$C$1000,MATCH(1,INDEX(($C$14=회사별_교통수단매핑!$A$2:$A$1000)*($Y180=회사별_교통수단매핑!$B$2:$B$1000),0),0)),"")</f>
        <v/>
      </c>
      <c r="I180">
        <f>IF(SUM(J180:U180)=0,"",SUM(J180:U180))</f>
        <v/>
      </c>
      <c r="Y180" s="58" t="n"/>
    </row>
    <row r="181">
      <c r="D181">
        <f>IFERROR(INDEX(회사별_교통수단매핑!$C$2:$C$1000,MATCH(1,INDEX(($C$14=회사별_교통수단매핑!$A$2:$A$1000)*($Y181=회사별_교통수단매핑!$B$2:$B$1000),0),0)),"")</f>
        <v/>
      </c>
      <c r="I181">
        <f>IF(SUM(J181:U181)=0,"",SUM(J181:U181))</f>
        <v/>
      </c>
      <c r="Y181" s="58" t="n"/>
    </row>
    <row r="182">
      <c r="D182">
        <f>IFERROR(INDEX(회사별_교통수단매핑!$C$2:$C$1000,MATCH(1,INDEX(($C$14=회사별_교통수단매핑!$A$2:$A$1000)*($Y182=회사별_교통수단매핑!$B$2:$B$1000),0),0)),"")</f>
        <v/>
      </c>
      <c r="I182">
        <f>IF(SUM(J182:U182)=0,"",SUM(J182:U182))</f>
        <v/>
      </c>
      <c r="Y182" s="58" t="n"/>
    </row>
    <row r="183">
      <c r="D183">
        <f>IFERROR(INDEX(회사별_교통수단매핑!$C$2:$C$1000,MATCH(1,INDEX(($C$14=회사별_교통수단매핑!$A$2:$A$1000)*($Y183=회사별_교통수단매핑!$B$2:$B$1000),0),0)),"")</f>
        <v/>
      </c>
      <c r="I183">
        <f>IF(SUM(J183:U183)=0,"",SUM(J183:U183))</f>
        <v/>
      </c>
      <c r="Y183" s="58" t="n"/>
    </row>
    <row r="184">
      <c r="D184">
        <f>IFERROR(INDEX(회사별_교통수단매핑!$C$2:$C$1000,MATCH(1,INDEX(($C$14=회사별_교통수단매핑!$A$2:$A$1000)*($Y184=회사별_교통수단매핑!$B$2:$B$1000),0),0)),"")</f>
        <v/>
      </c>
      <c r="I184">
        <f>IF(SUM(J184:U184)=0,"",SUM(J184:U184))</f>
        <v/>
      </c>
      <c r="Y184" s="58" t="n"/>
    </row>
    <row r="185">
      <c r="D185">
        <f>IFERROR(INDEX(회사별_교통수단매핑!$C$2:$C$1000,MATCH(1,INDEX(($C$14=회사별_교통수단매핑!$A$2:$A$1000)*($Y185=회사별_교통수단매핑!$B$2:$B$1000),0),0)),"")</f>
        <v/>
      </c>
      <c r="I185">
        <f>IF(SUM(J185:U185)=0,"",SUM(J185:U185))</f>
        <v/>
      </c>
      <c r="Y185" s="58" t="n"/>
    </row>
    <row r="186">
      <c r="D186">
        <f>IFERROR(INDEX(회사별_교통수단매핑!$C$2:$C$1000,MATCH(1,INDEX(($C$14=회사별_교통수단매핑!$A$2:$A$1000)*($Y186=회사별_교통수단매핑!$B$2:$B$1000),0),0)),"")</f>
        <v/>
      </c>
      <c r="I186">
        <f>IF(SUM(J186:U186)=0,"",SUM(J186:U186))</f>
        <v/>
      </c>
      <c r="Y186" s="58" t="n"/>
    </row>
    <row r="187">
      <c r="D187">
        <f>IFERROR(INDEX(회사별_교통수단매핑!$C$2:$C$1000,MATCH(1,INDEX(($C$14=회사별_교통수단매핑!$A$2:$A$1000)*($Y187=회사별_교통수단매핑!$B$2:$B$1000),0),0)),"")</f>
        <v/>
      </c>
      <c r="I187">
        <f>IF(SUM(J187:U187)=0,"",SUM(J187:U187))</f>
        <v/>
      </c>
      <c r="Y187" s="58" t="n"/>
    </row>
    <row r="188">
      <c r="D188">
        <f>IFERROR(INDEX(회사별_교통수단매핑!$C$2:$C$1000,MATCH(1,INDEX(($C$14=회사별_교통수단매핑!$A$2:$A$1000)*($Y188=회사별_교통수단매핑!$B$2:$B$1000),0),0)),"")</f>
        <v/>
      </c>
      <c r="I188">
        <f>IF(SUM(J188:U188)=0,"",SUM(J188:U188))</f>
        <v/>
      </c>
      <c r="Y188" s="58" t="n"/>
    </row>
    <row r="189">
      <c r="D189">
        <f>IFERROR(INDEX(회사별_교통수단매핑!$C$2:$C$1000,MATCH(1,INDEX(($C$14=회사별_교통수단매핑!$A$2:$A$1000)*($Y189=회사별_교통수단매핑!$B$2:$B$1000),0),0)),"")</f>
        <v/>
      </c>
      <c r="I189">
        <f>IF(SUM(J189:U189)=0,"",SUM(J189:U189))</f>
        <v/>
      </c>
      <c r="Y189" s="58" t="n"/>
    </row>
    <row r="190">
      <c r="D190">
        <f>IFERROR(INDEX(회사별_교통수단매핑!$C$2:$C$1000,MATCH(1,INDEX(($C$14=회사별_교통수단매핑!$A$2:$A$1000)*($Y190=회사별_교통수단매핑!$B$2:$B$1000),0),0)),"")</f>
        <v/>
      </c>
      <c r="I190">
        <f>IF(SUM(J190:U190)=0,"",SUM(J190:U190))</f>
        <v/>
      </c>
      <c r="Y190" s="58" t="n"/>
    </row>
    <row r="191">
      <c r="D191">
        <f>IFERROR(INDEX(회사별_교통수단매핑!$C$2:$C$1000,MATCH(1,INDEX(($C$14=회사별_교통수단매핑!$A$2:$A$1000)*($Y191=회사별_교통수단매핑!$B$2:$B$1000),0),0)),"")</f>
        <v/>
      </c>
      <c r="I191">
        <f>IF(SUM(J191:U191)=0,"",SUM(J191:U191))</f>
        <v/>
      </c>
      <c r="Y191" s="58" t="n"/>
    </row>
    <row r="192">
      <c r="D192">
        <f>IFERROR(INDEX(회사별_교통수단매핑!$C$2:$C$1000,MATCH(1,INDEX(($C$14=회사별_교통수단매핑!$A$2:$A$1000)*($Y192=회사별_교통수단매핑!$B$2:$B$1000),0),0)),"")</f>
        <v/>
      </c>
      <c r="I192">
        <f>IF(SUM(J192:U192)=0,"",SUM(J192:U192))</f>
        <v/>
      </c>
      <c r="Y192" s="58" t="n"/>
    </row>
    <row r="193">
      <c r="D193">
        <f>IFERROR(INDEX(회사별_교통수단매핑!$C$2:$C$1000,MATCH(1,INDEX(($C$14=회사별_교통수단매핑!$A$2:$A$1000)*($Y193=회사별_교통수단매핑!$B$2:$B$1000),0),0)),"")</f>
        <v/>
      </c>
      <c r="I193">
        <f>IF(SUM(J193:U193)=0,"",SUM(J193:U193))</f>
        <v/>
      </c>
      <c r="Y193" s="58" t="n"/>
    </row>
    <row r="194">
      <c r="D194">
        <f>IFERROR(INDEX(회사별_교통수단매핑!$C$2:$C$1000,MATCH(1,INDEX(($C$14=회사별_교통수단매핑!$A$2:$A$1000)*($Y194=회사별_교통수단매핑!$B$2:$B$1000),0),0)),"")</f>
        <v/>
      </c>
      <c r="I194">
        <f>IF(SUM(J194:U194)=0,"",SUM(J194:U194))</f>
        <v/>
      </c>
      <c r="Y194" s="58" t="n"/>
    </row>
    <row r="195">
      <c r="D195">
        <f>IFERROR(INDEX(회사별_교통수단매핑!$C$2:$C$1000,MATCH(1,INDEX(($C$14=회사별_교통수단매핑!$A$2:$A$1000)*($Y195=회사별_교통수단매핑!$B$2:$B$1000),0),0)),"")</f>
        <v/>
      </c>
      <c r="I195">
        <f>IF(SUM(J195:U195)=0,"",SUM(J195:U195))</f>
        <v/>
      </c>
      <c r="Y195" s="58" t="n"/>
    </row>
    <row r="196">
      <c r="D196">
        <f>IFERROR(INDEX(회사별_교통수단매핑!$C$2:$C$1000,MATCH(1,INDEX(($C$14=회사별_교통수단매핑!$A$2:$A$1000)*($Y196=회사별_교통수단매핑!$B$2:$B$1000),0),0)),"")</f>
        <v/>
      </c>
      <c r="I196">
        <f>IF(SUM(J196:U196)=0,"",SUM(J196:U196))</f>
        <v/>
      </c>
      <c r="Y196" s="58" t="n"/>
    </row>
    <row r="197">
      <c r="D197">
        <f>IFERROR(INDEX(회사별_교통수단매핑!$C$2:$C$1000,MATCH(1,INDEX(($C$14=회사별_교통수단매핑!$A$2:$A$1000)*($Y197=회사별_교통수단매핑!$B$2:$B$1000),0),0)),"")</f>
        <v/>
      </c>
      <c r="I197">
        <f>IF(SUM(J197:U197)=0,"",SUM(J197:U197))</f>
        <v/>
      </c>
      <c r="Y197" s="58" t="n"/>
    </row>
    <row r="198">
      <c r="D198">
        <f>IFERROR(INDEX(회사별_교통수단매핑!$C$2:$C$1000,MATCH(1,INDEX(($C$14=회사별_교통수단매핑!$A$2:$A$1000)*($Y198=회사별_교통수단매핑!$B$2:$B$1000),0),0)),"")</f>
        <v/>
      </c>
      <c r="I198">
        <f>IF(SUM(J198:U198)=0,"",SUM(J198:U198))</f>
        <v/>
      </c>
      <c r="Y198" s="58" t="n"/>
    </row>
    <row r="199">
      <c r="D199">
        <f>IFERROR(INDEX(회사별_교통수단매핑!$C$2:$C$1000,MATCH(1,INDEX(($C$14=회사별_교통수단매핑!$A$2:$A$1000)*($Y199=회사별_교통수단매핑!$B$2:$B$1000),0),0)),"")</f>
        <v/>
      </c>
      <c r="I199">
        <f>IF(SUM(J199:U199)=0,"",SUM(J199:U199))</f>
        <v/>
      </c>
      <c r="Y199" s="58" t="n"/>
    </row>
    <row r="200">
      <c r="D200">
        <f>IFERROR(INDEX(회사별_교통수단매핑!$C$2:$C$1000,MATCH(1,INDEX(($C$14=회사별_교통수단매핑!$A$2:$A$1000)*($Y200=회사별_교통수단매핑!$B$2:$B$1000),0),0)),"")</f>
        <v/>
      </c>
      <c r="I200">
        <f>IF(SUM(J200:U200)=0,"",SUM(J200:U200))</f>
        <v/>
      </c>
      <c r="Y200" s="58" t="n"/>
    </row>
    <row r="201">
      <c r="D201">
        <f>IFERROR(INDEX(회사별_교통수단매핑!$C$2:$C$1000,MATCH(1,INDEX(($C$14=회사별_교통수단매핑!$A$2:$A$1000)*($Y201=회사별_교통수단매핑!$B$2:$B$1000),0),0)),"")</f>
        <v/>
      </c>
      <c r="I201">
        <f>IF(SUM(J201:U201)=0,"",SUM(J201:U201))</f>
        <v/>
      </c>
      <c r="Y201" s="58" t="n"/>
    </row>
    <row r="202">
      <c r="D202">
        <f>IFERROR(INDEX(회사별_교통수단매핑!$C$2:$C$1000,MATCH(1,INDEX(($C$14=회사별_교통수단매핑!$A$2:$A$1000)*($Y202=회사별_교통수단매핑!$B$2:$B$1000),0),0)),"")</f>
        <v/>
      </c>
      <c r="I202">
        <f>IF(SUM(J202:U202)=0,"",SUM(J202:U202))</f>
        <v/>
      </c>
      <c r="Y202" s="58" t="n"/>
    </row>
    <row r="203">
      <c r="D203">
        <f>IFERROR(INDEX(회사별_교통수단매핑!$C$2:$C$1000,MATCH(1,INDEX(($C$14=회사별_교통수단매핑!$A$2:$A$1000)*($Y203=회사별_교통수단매핑!$B$2:$B$1000),0),0)),"")</f>
        <v/>
      </c>
      <c r="I203">
        <f>IF(SUM(J203:U203)=0,"",SUM(J203:U203))</f>
        <v/>
      </c>
      <c r="Y203" s="58" t="n"/>
    </row>
    <row r="204">
      <c r="D204">
        <f>IFERROR(INDEX(회사별_교통수단매핑!$C$2:$C$1000,MATCH(1,INDEX(($C$14=회사별_교통수단매핑!$A$2:$A$1000)*($Y204=회사별_교통수단매핑!$B$2:$B$1000),0),0)),"")</f>
        <v/>
      </c>
      <c r="I204">
        <f>IF(SUM(J204:U204)=0,"",SUM(J204:U204))</f>
        <v/>
      </c>
      <c r="Y204" s="58" t="n"/>
    </row>
    <row r="205">
      <c r="D205">
        <f>IFERROR(INDEX(회사별_교통수단매핑!$C$2:$C$1000,MATCH(1,INDEX(($C$14=회사별_교통수단매핑!$A$2:$A$1000)*($Y205=회사별_교통수단매핑!$B$2:$B$1000),0),0)),"")</f>
        <v/>
      </c>
      <c r="I205">
        <f>IF(SUM(J205:U205)=0,"",SUM(J205:U205))</f>
        <v/>
      </c>
      <c r="Y205" s="58" t="n"/>
    </row>
    <row r="206">
      <c r="D206">
        <f>IFERROR(INDEX(회사별_교통수단매핑!$C$2:$C$1000,MATCH(1,INDEX(($C$14=회사별_교통수단매핑!$A$2:$A$1000)*($Y206=회사별_교통수단매핑!$B$2:$B$1000),0),0)),"")</f>
        <v/>
      </c>
      <c r="I206">
        <f>IF(SUM(J206:U206)=0,"",SUM(J206:U206))</f>
        <v/>
      </c>
      <c r="Y206" s="58" t="n"/>
    </row>
    <row r="207">
      <c r="D207">
        <f>IFERROR(INDEX(회사별_교통수단매핑!$C$2:$C$1000,MATCH(1,INDEX(($C$14=회사별_교통수단매핑!$A$2:$A$1000)*($Y207=회사별_교통수단매핑!$B$2:$B$1000),0),0)),"")</f>
        <v/>
      </c>
      <c r="I207">
        <f>IF(SUM(J207:U207)=0,"",SUM(J207:U207))</f>
        <v/>
      </c>
      <c r="Y207" s="58" t="n"/>
    </row>
    <row r="208">
      <c r="D208">
        <f>IFERROR(INDEX(회사별_교통수단매핑!$C$2:$C$1000,MATCH(1,INDEX(($C$14=회사별_교통수단매핑!$A$2:$A$1000)*($Y208=회사별_교통수단매핑!$B$2:$B$1000),0),0)),"")</f>
        <v/>
      </c>
      <c r="I208">
        <f>IF(SUM(J208:U208)=0,"",SUM(J208:U208))</f>
        <v/>
      </c>
      <c r="Y208" s="58" t="n"/>
    </row>
    <row r="209">
      <c r="D209">
        <f>IFERROR(INDEX(회사별_교통수단매핑!$C$2:$C$1000,MATCH(1,INDEX(($C$14=회사별_교통수단매핑!$A$2:$A$1000)*($Y209=회사별_교통수단매핑!$B$2:$B$1000),0),0)),"")</f>
        <v/>
      </c>
      <c r="I209">
        <f>IF(SUM(J209:U209)=0,"",SUM(J209:U209))</f>
        <v/>
      </c>
      <c r="Y209" s="58" t="n"/>
    </row>
    <row r="210">
      <c r="D210">
        <f>IFERROR(INDEX(회사별_교통수단매핑!$C$2:$C$1000,MATCH(1,INDEX(($C$14=회사별_교통수단매핑!$A$2:$A$1000)*($Y210=회사별_교통수단매핑!$B$2:$B$1000),0),0)),"")</f>
        <v/>
      </c>
      <c r="I210">
        <f>IF(SUM(J210:U210)=0,"",SUM(J210:U210))</f>
        <v/>
      </c>
      <c r="Y210" s="58" t="n"/>
    </row>
    <row r="211">
      <c r="D211">
        <f>IFERROR(INDEX(회사별_교통수단매핑!$C$2:$C$1000,MATCH(1,INDEX(($C$14=회사별_교통수단매핑!$A$2:$A$1000)*($Y211=회사별_교통수단매핑!$B$2:$B$1000),0),0)),"")</f>
        <v/>
      </c>
      <c r="I211">
        <f>IF(SUM(J211:U211)=0,"",SUM(J211:U211))</f>
        <v/>
      </c>
      <c r="Y211" s="58" t="n"/>
    </row>
    <row r="212">
      <c r="D212">
        <f>IFERROR(INDEX(회사별_교통수단매핑!$C$2:$C$1000,MATCH(1,INDEX(($C$14=회사별_교통수단매핑!$A$2:$A$1000)*($Y212=회사별_교통수단매핑!$B$2:$B$1000),0),0)),"")</f>
        <v/>
      </c>
      <c r="I212">
        <f>IF(SUM(J212:U212)=0,"",SUM(J212:U212))</f>
        <v/>
      </c>
      <c r="Y212" s="58" t="n"/>
    </row>
    <row r="213">
      <c r="D213">
        <f>IFERROR(INDEX(회사별_교통수단매핑!$C$2:$C$1000,MATCH(1,INDEX(($C$14=회사별_교통수단매핑!$A$2:$A$1000)*($Y213=회사별_교통수단매핑!$B$2:$B$1000),0),0)),"")</f>
        <v/>
      </c>
      <c r="I213">
        <f>IF(SUM(J213:U213)=0,"",SUM(J213:U213))</f>
        <v/>
      </c>
      <c r="Y213" s="58" t="n"/>
    </row>
    <row r="214">
      <c r="D214">
        <f>IFERROR(INDEX(회사별_교통수단매핑!$C$2:$C$1000,MATCH(1,INDEX(($C$14=회사별_교통수단매핑!$A$2:$A$1000)*($Y214=회사별_교통수단매핑!$B$2:$B$1000),0),0)),"")</f>
        <v/>
      </c>
      <c r="I214">
        <f>IF(SUM(J214:U214)=0,"",SUM(J214:U214))</f>
        <v/>
      </c>
      <c r="Y214" s="58" t="n"/>
    </row>
    <row r="215">
      <c r="D215">
        <f>IFERROR(INDEX(회사별_교통수단매핑!$C$2:$C$1000,MATCH(1,INDEX(($C$14=회사별_교통수단매핑!$A$2:$A$1000)*($Y215=회사별_교통수단매핑!$B$2:$B$1000),0),0)),"")</f>
        <v/>
      </c>
      <c r="I215">
        <f>IF(SUM(J215:U215)=0,"",SUM(J215:U215))</f>
        <v/>
      </c>
      <c r="Y215" s="58" t="n"/>
    </row>
    <row r="216">
      <c r="D216">
        <f>IFERROR(INDEX(회사별_교통수단매핑!$C$2:$C$1000,MATCH(1,INDEX(($C$14=회사별_교통수단매핑!$A$2:$A$1000)*($Y216=회사별_교통수단매핑!$B$2:$B$1000),0),0)),"")</f>
        <v/>
      </c>
      <c r="I216">
        <f>IF(SUM(J216:U216)=0,"",SUM(J216:U216))</f>
        <v/>
      </c>
      <c r="Y216" s="58" t="n"/>
    </row>
    <row r="217">
      <c r="D217">
        <f>IFERROR(INDEX(회사별_교통수단매핑!$C$2:$C$1000,MATCH(1,INDEX(($C$14=회사별_교통수단매핑!$A$2:$A$1000)*($Y217=회사별_교통수단매핑!$B$2:$B$1000),0),0)),"")</f>
        <v/>
      </c>
      <c r="I217">
        <f>IF(SUM(J217:U217)=0,"",SUM(J217:U217))</f>
        <v/>
      </c>
      <c r="Y217" s="58" t="n"/>
    </row>
    <row r="218">
      <c r="D218">
        <f>IFERROR(INDEX(회사별_교통수단매핑!$C$2:$C$1000,MATCH(1,INDEX(($C$14=회사별_교통수단매핑!$A$2:$A$1000)*($Y218=회사별_교통수단매핑!$B$2:$B$1000),0),0)),"")</f>
        <v/>
      </c>
      <c r="I218">
        <f>IF(SUM(J218:U218)=0,"",SUM(J218:U218))</f>
        <v/>
      </c>
      <c r="Y218" s="58" t="n"/>
    </row>
    <row r="219">
      <c r="D219">
        <f>IFERROR(INDEX(회사별_교통수단매핑!$C$2:$C$1000,MATCH(1,INDEX(($C$14=회사별_교통수단매핑!$A$2:$A$1000)*($Y219=회사별_교통수단매핑!$B$2:$B$1000),0),0)),"")</f>
        <v/>
      </c>
      <c r="I219">
        <f>IF(SUM(J219:U219)=0,"",SUM(J219:U219))</f>
        <v/>
      </c>
      <c r="Y219" s="58" t="n"/>
    </row>
    <row r="220">
      <c r="D220">
        <f>IFERROR(INDEX(회사별_교통수단매핑!$C$2:$C$1000,MATCH(1,INDEX(($C$14=회사별_교통수단매핑!$A$2:$A$1000)*($Y220=회사별_교통수단매핑!$B$2:$B$1000),0),0)),"")</f>
        <v/>
      </c>
      <c r="I220">
        <f>IF(SUM(J220:U220)=0,"",SUM(J220:U220))</f>
        <v/>
      </c>
      <c r="Y220" s="58" t="n"/>
    </row>
    <row r="221">
      <c r="D221">
        <f>IFERROR(INDEX(회사별_교통수단매핑!$C$2:$C$1000,MATCH(1,INDEX(($C$14=회사별_교통수단매핑!$A$2:$A$1000)*($Y221=회사별_교통수단매핑!$B$2:$B$1000),0),0)),"")</f>
        <v/>
      </c>
      <c r="I221">
        <f>IF(SUM(J221:U221)=0,"",SUM(J221:U221))</f>
        <v/>
      </c>
      <c r="Y221" s="58" t="n"/>
    </row>
  </sheetData>
  <mergeCells count="10">
    <mergeCell ref="D19:D20"/>
    <mergeCell ref="Y19:Y20"/>
    <mergeCell ref="W19:W20"/>
    <mergeCell ref="F19:G19"/>
    <mergeCell ref="J19:U19"/>
    <mergeCell ref="V19:V20"/>
    <mergeCell ref="E19:E20"/>
    <mergeCell ref="X19:X20"/>
    <mergeCell ref="B19:B20"/>
    <mergeCell ref="C19:C20"/>
  </mergeCells>
  <dataValidations count="1">
    <dataValidation sqref="D22:D221" showDropDown="0" showInputMessage="0" showErrorMessage="1" allowBlank="1" errorTitle="드롭다운 값 확인" error="배출계수 DB 기준 드롭다운 목록에서 선택해 주세요." type="list">
      <formula1>DD_TRAVEL_DISTANCE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U56"/>
  <sheetViews>
    <sheetView topLeftCell="A2" workbookViewId="0">
      <selection activeCell="D35" sqref="D34:D35"/>
    </sheetView>
  </sheetViews>
  <sheetFormatPr baseColWidth="8" defaultRowHeight="14.25"/>
  <cols>
    <col width="10" customWidth="1" style="71" min="2" max="2"/>
    <col width="16" customWidth="1" style="71" min="3" max="3"/>
    <col width="14" customWidth="1" style="71" min="4" max="4"/>
    <col width="10" customWidth="1" style="71" min="5" max="5"/>
    <col width="16" customWidth="1" style="71" min="6" max="6"/>
    <col width="8" customWidth="1" style="71" min="7" max="18"/>
    <col width="18" customWidth="1" style="71" min="19" max="19"/>
    <col width="20.75" bestFit="1" customWidth="1" style="71" min="20" max="20"/>
    <col width="16" customWidth="1" style="71" min="21" max="21"/>
  </cols>
  <sheetData>
    <row r="2" ht="20.25" customHeight="1" s="71">
      <c r="B2" s="1" t="inlineStr">
        <is>
          <t>C6. 임직원 출장 2안. 출장비 기반</t>
        </is>
      </c>
    </row>
    <row r="4">
      <c r="B4" s="2" t="inlineStr">
        <is>
          <t>카테고리 정의</t>
        </is>
      </c>
    </row>
    <row r="5">
      <c r="B5" s="11" t="inlineStr">
        <is>
          <t>- 보고년도에 임직원 업무 출장 시 지출한 금액을 경제적 배출계수로 적용하여 산정하는 온실가스 배출량</t>
        </is>
      </c>
    </row>
    <row r="6">
      <c r="B6" s="11" t="inlineStr">
        <is>
          <t>- 출발지, 도착지, 이동거리 정보를 알 수 없고 출장비만 확인 가능한 경우 작성</t>
        </is>
      </c>
    </row>
    <row r="9">
      <c r="B9" s="2" t="inlineStr">
        <is>
          <t>작성 기준</t>
        </is>
      </c>
    </row>
    <row r="10" ht="14.25" customHeight="1" s="71">
      <c r="B10" s="22" t="inlineStr">
        <is>
          <t>1) 온실가스 산정 식: Σ(출장지출금액 × 지출기반 배출계수)</t>
        </is>
      </c>
    </row>
    <row r="11" ht="14.25" customHeight="1" s="71">
      <c r="B11" s="22" t="inlineStr">
        <is>
          <t xml:space="preserve"> - 온실가스 배출계수는 US EPA Emission Factor 활용 (*US EPA Supply Chain Greenhouse Gas Emission Factors v1.3 by NAICS-6)</t>
        </is>
      </c>
    </row>
    <row r="12">
      <c r="B12" s="11" t="inlineStr">
        <is>
          <t>2) 출장항목은 항공, 철도, 택시, 렌터카, 숙박 등으로 작성</t>
        </is>
      </c>
    </row>
    <row r="13">
      <c r="B13" s="11" t="inlineStr">
        <is>
          <t>3) 거리 기반 정보가 있는 경우 C6-1 시트에 작성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5" customHeight="1" s="71">
      <c r="B19" s="60" t="inlineStr">
        <is>
          <t>*국가</t>
        </is>
      </c>
      <c r="C19" s="60" t="inlineStr">
        <is>
          <t>*출장주체</t>
        </is>
      </c>
      <c r="D19" s="16" t="n"/>
      <c r="E19" s="16" t="n"/>
      <c r="F19" s="62" t="inlineStr">
        <is>
          <t>연간 입력</t>
        </is>
      </c>
      <c r="G19" s="62" t="inlineStr">
        <is>
          <t>월별 지출금액</t>
        </is>
      </c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4" t="n"/>
      <c r="S19" s="60" t="inlineStr">
        <is>
          <t>비고(선택)</t>
        </is>
      </c>
      <c r="T19" s="60" t="inlineStr">
        <is>
          <t>배출계수(kgCO2e/원)</t>
        </is>
      </c>
      <c r="U19" s="60" t="inlineStr">
        <is>
          <t>배출량(tCO2e)</t>
        </is>
      </c>
    </row>
    <row r="20" ht="13.5" customHeight="1" s="71">
      <c r="B20" s="61" t="n"/>
      <c r="C20" s="61" t="n"/>
      <c r="D20" s="60" t="inlineStr">
        <is>
          <t>*출장항목</t>
        </is>
      </c>
      <c r="E20" s="60" t="inlineStr">
        <is>
          <t>*인원수</t>
        </is>
      </c>
      <c r="F20" s="60" t="inlineStr">
        <is>
          <t>연간지출금액(원)</t>
        </is>
      </c>
      <c r="G20" s="60" t="inlineStr">
        <is>
          <t>1월</t>
        </is>
      </c>
      <c r="H20" s="60" t="inlineStr">
        <is>
          <t>2월</t>
        </is>
      </c>
      <c r="I20" s="60" t="inlineStr">
        <is>
          <t>3월</t>
        </is>
      </c>
      <c r="J20" s="60" t="inlineStr">
        <is>
          <t>4월</t>
        </is>
      </c>
      <c r="K20" s="60" t="inlineStr">
        <is>
          <t>5월</t>
        </is>
      </c>
      <c r="L20" s="60" t="inlineStr">
        <is>
          <t>6월</t>
        </is>
      </c>
      <c r="M20" s="60" t="inlineStr">
        <is>
          <t>7월</t>
        </is>
      </c>
      <c r="N20" s="60" t="inlineStr">
        <is>
          <t>8월</t>
        </is>
      </c>
      <c r="O20" s="60" t="inlineStr">
        <is>
          <t>9월</t>
        </is>
      </c>
      <c r="P20" s="60" t="inlineStr">
        <is>
          <t>10월</t>
        </is>
      </c>
      <c r="Q20" s="60" t="inlineStr">
        <is>
          <t>11월</t>
        </is>
      </c>
      <c r="R20" s="60" t="inlineStr">
        <is>
          <t>12월</t>
        </is>
      </c>
      <c r="S20" s="61" t="n"/>
      <c r="T20" s="61" t="n"/>
      <c r="U20" s="61" t="n"/>
    </row>
    <row r="21" ht="28.5" customHeight="1" s="71">
      <c r="B21" s="3" t="inlineStr">
        <is>
          <t>영국</t>
        </is>
      </c>
      <c r="C21" s="3" t="inlineStr">
        <is>
          <t>강남지사</t>
        </is>
      </c>
      <c r="D21" s="3" t="inlineStr">
        <is>
          <t>항공권(여객·전세)</t>
        </is>
      </c>
      <c r="E21" s="3" t="n">
        <v>3</v>
      </c>
      <c r="F21" s="3">
        <f>IF(SUM(G21:R21)=0,"",SUM(G21:R21))</f>
        <v/>
      </c>
      <c r="G21" s="3" t="n">
        <v>360000</v>
      </c>
      <c r="H21" s="3" t="n">
        <v>360000</v>
      </c>
      <c r="I21" s="3" t="n">
        <v>360000</v>
      </c>
      <c r="J21" s="3" t="n">
        <v>360000</v>
      </c>
      <c r="K21" s="3" t="n">
        <v>360000</v>
      </c>
      <c r="L21" s="3" t="n">
        <v>360000</v>
      </c>
      <c r="M21" s="3" t="n">
        <v>360000</v>
      </c>
      <c r="N21" s="3" t="n">
        <v>360000</v>
      </c>
      <c r="O21" s="3" t="n">
        <v>360000</v>
      </c>
      <c r="P21" s="3" t="n">
        <v>360000</v>
      </c>
      <c r="Q21" s="3" t="n">
        <v>360000</v>
      </c>
      <c r="R21" s="3" t="n">
        <v>360000</v>
      </c>
      <c r="S21" s="4" t="inlineStr">
        <is>
          <t>해외 출장 항공권</t>
        </is>
      </c>
      <c r="T21" s="5" t="n"/>
      <c r="U21" s="5" t="n"/>
    </row>
    <row r="22">
      <c r="B22" s="6" t="n"/>
      <c r="C22" s="6" t="n"/>
      <c r="D22" s="6" t="n"/>
      <c r="E22" s="6" t="n"/>
      <c r="F22" s="6">
        <f>IF(SUM(G22:R22)=0,"",SUM(G22:R22))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7" t="n"/>
      <c r="T22" s="8" t="n"/>
      <c r="U22" s="8" t="n"/>
    </row>
    <row r="23">
      <c r="B23" s="6" t="n"/>
      <c r="C23" s="6" t="n"/>
      <c r="D23" s="6" t="n"/>
      <c r="E23" s="6" t="n"/>
      <c r="F23" s="6">
        <f>IF(SUM(G23:R23)=0,"",SUM(G23:R23))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7" t="n"/>
      <c r="T23" s="8" t="n"/>
      <c r="U23" s="8" t="n"/>
    </row>
    <row r="24">
      <c r="B24" s="6" t="n"/>
      <c r="C24" s="6" t="n"/>
      <c r="D24" s="6" t="n"/>
      <c r="E24" s="6" t="n"/>
      <c r="F24" s="6">
        <f>IF(SUM(G24:R24)=0,"",SUM(G24:R24))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7" t="n"/>
      <c r="T24" s="8" t="n"/>
      <c r="U24" s="8" t="n"/>
    </row>
    <row r="25">
      <c r="B25" s="6" t="n"/>
      <c r="C25" s="6" t="n"/>
      <c r="D25" s="6" t="n"/>
      <c r="E25" s="6" t="n"/>
      <c r="F25" s="6">
        <f>IF(SUM(G25:R25)=0,"",SUM(G25:R25))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7" t="n"/>
      <c r="T25" s="8" t="n"/>
      <c r="U25" s="8" t="n"/>
    </row>
    <row r="26">
      <c r="B26" s="6" t="n"/>
      <c r="C26" s="6" t="n"/>
      <c r="D26" s="6" t="n"/>
      <c r="E26" s="6" t="n"/>
      <c r="F26" s="6">
        <f>IF(SUM(G26:R26)=0,"",SUM(G26:R26))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7" t="n"/>
      <c r="T26" s="8" t="n"/>
      <c r="U26" s="8" t="n"/>
    </row>
    <row r="27">
      <c r="B27" s="6" t="n"/>
      <c r="C27" s="6" t="n"/>
      <c r="D27" s="6" t="n"/>
      <c r="E27" s="6" t="n"/>
      <c r="F27" s="6">
        <f>IF(SUM(G27:R27)=0,"",SUM(G27:R27))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7" t="n"/>
      <c r="T27" s="8" t="n"/>
      <c r="U27" s="8" t="n"/>
    </row>
    <row r="28">
      <c r="B28" s="6" t="n"/>
      <c r="C28" s="6" t="n"/>
      <c r="D28" s="6" t="n"/>
      <c r="E28" s="6" t="n"/>
      <c r="F28" s="6">
        <f>IF(SUM(G28:R28)=0,"",SUM(G28:R28))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7" t="n"/>
      <c r="T28" s="8" t="n"/>
      <c r="U28" s="8" t="n"/>
    </row>
    <row r="29">
      <c r="B29" s="6" t="n"/>
      <c r="C29" s="6" t="n"/>
      <c r="D29" s="6" t="n"/>
      <c r="E29" s="6" t="n"/>
      <c r="F29" s="6">
        <f>IF(SUM(G29:R29)=0,"",SUM(G29:R29))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7" t="n"/>
      <c r="T29" s="8" t="n"/>
      <c r="U29" s="8" t="n"/>
    </row>
    <row r="30">
      <c r="B30" s="6" t="n"/>
      <c r="C30" s="6" t="n"/>
      <c r="D30" s="6" t="n"/>
      <c r="E30" s="6" t="n"/>
      <c r="F30" s="6">
        <f>IF(SUM(G30:R30)=0,"",SUM(G30:R30))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7" t="n"/>
      <c r="T30" s="8" t="n"/>
      <c r="U30" s="8" t="n"/>
    </row>
    <row r="31">
      <c r="B31" s="6" t="n"/>
      <c r="C31" s="6" t="n"/>
      <c r="D31" s="6" t="n"/>
      <c r="E31" s="6" t="n"/>
      <c r="F31" s="6">
        <f>IF(SUM(G31:R31)=0,"",SUM(G31:R31))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7" t="n"/>
      <c r="T31" s="8" t="n"/>
      <c r="U31" s="8" t="n"/>
    </row>
    <row r="32">
      <c r="B32" s="6" t="n"/>
      <c r="C32" s="6" t="n"/>
      <c r="D32" s="6" t="n"/>
      <c r="E32" s="6" t="n"/>
      <c r="F32" s="6">
        <f>IF(SUM(G32:R32)=0,"",SUM(G32:R32))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7" t="n"/>
      <c r="T32" s="8" t="n"/>
      <c r="U32" s="8" t="n"/>
    </row>
    <row r="33">
      <c r="B33" s="6" t="n"/>
      <c r="C33" s="6" t="n"/>
      <c r="D33" s="6" t="n"/>
      <c r="E33" s="6" t="n"/>
      <c r="F33" s="6">
        <f>IF(SUM(G33:R33)=0,"",SUM(G33:R33))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7" t="n"/>
      <c r="T33" s="8" t="n"/>
      <c r="U33" s="8" t="n"/>
    </row>
    <row r="34">
      <c r="B34" s="6" t="n"/>
      <c r="C34" s="6" t="n"/>
      <c r="D34" s="6" t="n"/>
      <c r="E34" s="6" t="n"/>
      <c r="F34" s="6">
        <f>IF(SUM(G34:R34)=0,"",SUM(G34:R34))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7" t="n"/>
      <c r="T34" s="8" t="n"/>
      <c r="U34" s="8" t="n"/>
    </row>
    <row r="35">
      <c r="B35" s="6" t="n"/>
      <c r="C35" s="6" t="n"/>
      <c r="D35" s="6" t="n"/>
      <c r="E35" s="6" t="n"/>
      <c r="F35" s="6">
        <f>IF(SUM(G35:R35)=0,"",SUM(G35:R35))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7" t="n"/>
      <c r="T35" s="8" t="n"/>
      <c r="U35" s="8" t="n"/>
    </row>
    <row r="36">
      <c r="B36" s="6" t="n"/>
      <c r="C36" s="6" t="n"/>
      <c r="D36" s="6" t="n"/>
      <c r="E36" s="6" t="n"/>
      <c r="F36" s="6">
        <f>IF(SUM(G36:R36)=0,"",SUM(G36:R36))</f>
        <v/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7" t="n"/>
      <c r="T36" s="8" t="n"/>
      <c r="U36" s="8" t="n"/>
    </row>
    <row r="37">
      <c r="B37" s="6" t="n"/>
      <c r="C37" s="6" t="n"/>
      <c r="D37" s="6" t="n"/>
      <c r="E37" s="6" t="n"/>
      <c r="F37" s="6">
        <f>IF(SUM(G37:R37)=0,"",SUM(G37:R37))</f>
        <v/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7" t="n"/>
      <c r="T37" s="8" t="n"/>
      <c r="U37" s="8" t="n"/>
    </row>
    <row r="38">
      <c r="B38" s="6" t="n"/>
      <c r="C38" s="6" t="n"/>
      <c r="D38" s="6" t="n"/>
      <c r="E38" s="6" t="n"/>
      <c r="F38" s="6">
        <f>IF(SUM(G38:R38)=0,"",SUM(G38:R38))</f>
        <v/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7" t="n"/>
      <c r="T38" s="8" t="n"/>
      <c r="U38" s="8" t="n"/>
    </row>
    <row r="39">
      <c r="B39" s="6" t="n"/>
      <c r="C39" s="6" t="n"/>
      <c r="D39" s="6" t="n"/>
      <c r="E39" s="6" t="n"/>
      <c r="F39" s="6">
        <f>IF(SUM(G39:R39)=0,"",SUM(G39:R39))</f>
        <v/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7" t="n"/>
      <c r="T39" s="8" t="n"/>
      <c r="U39" s="8" t="n"/>
    </row>
    <row r="40">
      <c r="B40" s="6" t="n"/>
      <c r="C40" s="6" t="n"/>
      <c r="D40" s="6" t="n"/>
      <c r="E40" s="6" t="n"/>
      <c r="F40" s="6">
        <f>IF(SUM(G40:R40)=0,"",SUM(G40:R40))</f>
        <v/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7" t="n"/>
      <c r="T40" s="8" t="n"/>
      <c r="U40" s="8" t="n"/>
    </row>
    <row r="41">
      <c r="B41" s="6" t="n"/>
      <c r="C41" s="6" t="n"/>
      <c r="D41" s="6" t="n"/>
      <c r="E41" s="6" t="n"/>
      <c r="F41" s="6">
        <f>IF(SUM(G41:R41)=0,"",SUM(G41:R41))</f>
        <v/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7" t="n"/>
      <c r="T41" s="8" t="n"/>
      <c r="U41" s="8" t="n"/>
    </row>
    <row r="42">
      <c r="B42" s="6" t="n"/>
      <c r="C42" s="6" t="n"/>
      <c r="D42" s="6" t="n"/>
      <c r="E42" s="6" t="n"/>
      <c r="F42" s="6">
        <f>IF(SUM(G42:R42)=0,"",SUM(G42:R42))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7" t="n"/>
      <c r="T42" s="8" t="n"/>
      <c r="U42" s="8" t="n"/>
    </row>
    <row r="43">
      <c r="B43" s="6" t="n"/>
      <c r="C43" s="6" t="n"/>
      <c r="D43" s="6" t="n"/>
      <c r="E43" s="6" t="n"/>
      <c r="F43" s="6">
        <f>IF(SUM(G43:R43)=0,"",SUM(G43:R43))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7" t="n"/>
      <c r="T43" s="8" t="n"/>
      <c r="U43" s="8" t="n"/>
    </row>
    <row r="44">
      <c r="B44" s="6" t="n"/>
      <c r="C44" s="6" t="n"/>
      <c r="D44" s="6" t="n"/>
      <c r="E44" s="6" t="n"/>
      <c r="F44" s="6">
        <f>IF(SUM(G44:R44)=0,"",SUM(G44:R44))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7" t="n"/>
      <c r="T44" s="8" t="n"/>
      <c r="U44" s="8" t="n"/>
    </row>
    <row r="45">
      <c r="B45" s="6" t="n"/>
      <c r="C45" s="6" t="n"/>
      <c r="D45" s="6" t="n"/>
      <c r="E45" s="6" t="n"/>
      <c r="F45" s="6">
        <f>IF(SUM(G45:R45)=0,"",SUM(G45:R45))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7" t="n"/>
      <c r="T45" s="8" t="n"/>
      <c r="U45" s="8" t="n"/>
    </row>
    <row r="46">
      <c r="B46" s="6" t="n"/>
      <c r="C46" s="6" t="n"/>
      <c r="D46" s="6" t="n"/>
      <c r="E46" s="6" t="n"/>
      <c r="F46" s="6">
        <f>IF(SUM(G46:R46)=0,"",SUM(G46:R46))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7" t="n"/>
      <c r="T46" s="8" t="n"/>
      <c r="U46" s="8" t="n"/>
    </row>
    <row r="47">
      <c r="B47" s="6" t="n"/>
      <c r="C47" s="6" t="n"/>
      <c r="D47" s="6" t="n"/>
      <c r="E47" s="6" t="n"/>
      <c r="F47" s="6">
        <f>IF(SUM(G47:R47)=0,"",SUM(G47:R47))</f>
        <v/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7" t="n"/>
      <c r="T47" s="8" t="n"/>
      <c r="U47" s="8" t="n"/>
    </row>
    <row r="48">
      <c r="B48" s="6" t="n"/>
      <c r="C48" s="6" t="n"/>
      <c r="D48" s="6" t="n"/>
      <c r="E48" s="6" t="n"/>
      <c r="F48" s="6">
        <f>IF(SUM(G48:R48)=0,"",SUM(G48:R48))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7" t="n"/>
      <c r="T48" s="8" t="n"/>
      <c r="U48" s="8" t="n"/>
    </row>
    <row r="49">
      <c r="B49" s="6" t="n"/>
      <c r="C49" s="6" t="n"/>
      <c r="D49" s="6" t="n"/>
      <c r="E49" s="6" t="n"/>
      <c r="F49" s="6">
        <f>IF(SUM(G49:R49)=0,"",SUM(G49:R49))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7" t="n"/>
      <c r="T49" s="8" t="n"/>
      <c r="U49" s="8" t="n"/>
    </row>
    <row r="50">
      <c r="B50" s="6" t="n"/>
      <c r="C50" s="6" t="n"/>
      <c r="D50" s="6" t="n"/>
      <c r="E50" s="6" t="n"/>
      <c r="F50" s="6">
        <f>IF(SUM(G50:R50)=0,"",SUM(G50:R50))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7" t="n"/>
      <c r="T50" s="8" t="n"/>
      <c r="U50" s="8" t="n"/>
    </row>
    <row r="51">
      <c r="B51" s="6" t="n"/>
      <c r="C51" s="6" t="n"/>
      <c r="D51" s="6" t="n"/>
      <c r="E51" s="6" t="n"/>
      <c r="F51" s="6">
        <f>IF(SUM(G51:R51)=0,"",SUM(G51:R51))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7" t="n"/>
      <c r="T51" s="8" t="n"/>
      <c r="U51" s="8" t="n"/>
    </row>
    <row r="52">
      <c r="B52" s="6" t="n"/>
      <c r="C52" s="6" t="n"/>
      <c r="D52" s="6" t="n"/>
      <c r="E52" s="6" t="n"/>
      <c r="F52" s="6">
        <f>IF(SUM(G52:R52)=0,"",SUM(G52:R52))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7" t="n"/>
      <c r="T52" s="8" t="n"/>
      <c r="U52" s="8" t="n"/>
    </row>
    <row r="53">
      <c r="B53" s="6" t="n"/>
      <c r="C53" s="6" t="n"/>
      <c r="D53" s="6" t="n"/>
      <c r="E53" s="6" t="n"/>
      <c r="F53" s="6">
        <f>IF(SUM(G53:R53)=0,"",SUM(G53:R53))</f>
        <v/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7" t="n"/>
      <c r="T53" s="8" t="n"/>
      <c r="U53" s="8" t="n"/>
    </row>
    <row r="54">
      <c r="B54" s="6" t="n"/>
      <c r="C54" s="6" t="n"/>
      <c r="D54" s="6" t="n"/>
      <c r="E54" s="6" t="n"/>
      <c r="F54" s="6">
        <f>IF(SUM(G54:R54)=0,"",SUM(G54:R54))</f>
        <v/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7" t="n"/>
      <c r="T54" s="8" t="n"/>
      <c r="U54" s="8" t="n"/>
    </row>
    <row r="55">
      <c r="B55" s="6" t="n"/>
      <c r="C55" s="6" t="n"/>
      <c r="D55" s="6" t="n"/>
      <c r="E55" s="6" t="n"/>
      <c r="F55" s="6">
        <f>IF(SUM(G55:R55)=0,"",SUM(G55:R55))</f>
        <v/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7" t="n"/>
      <c r="T55" s="8" t="n"/>
      <c r="U55" s="8" t="n"/>
    </row>
    <row r="56">
      <c r="B56" s="6" t="n"/>
      <c r="C56" s="6" t="n"/>
      <c r="D56" s="6" t="n"/>
      <c r="E56" s="6" t="n"/>
      <c r="F56" s="6">
        <f>IF(SUM(G56:R56)=0,"",SUM(G56:R56))</f>
        <v/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7" t="n"/>
      <c r="T56" s="8" t="n"/>
      <c r="U56" s="8" t="n"/>
    </row>
  </sheetData>
  <mergeCells count="6">
    <mergeCell ref="U19:U20"/>
    <mergeCell ref="S19:S20"/>
    <mergeCell ref="G19:R19"/>
    <mergeCell ref="T19:T20"/>
    <mergeCell ref="B19:B20"/>
    <mergeCell ref="C19:C20"/>
  </mergeCells>
  <dataValidations count="1">
    <dataValidation sqref="D22:D221" showDropDown="0" showInputMessage="0" showErrorMessage="1" allowBlank="1" errorTitle="드롭다운 값 확인" error="배출계수 DB 기준 드롭다운 목록에서 선택해 주세요." type="list">
      <formula1>DD_TRAVEL_SPEND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Y222"/>
  <sheetViews>
    <sheetView topLeftCell="A3" workbookViewId="0">
      <selection activeCell="G10" sqref="G10"/>
    </sheetView>
  </sheetViews>
  <sheetFormatPr baseColWidth="8" defaultRowHeight="14.25"/>
  <cols>
    <col width="11.625" customWidth="1" style="71" min="2" max="2"/>
    <col width="16" customWidth="1" style="71" min="3" max="3"/>
    <col width="18" customWidth="1" style="71" min="4" max="4"/>
    <col width="10" customWidth="1" style="71" min="5" max="5"/>
    <col width="22" customWidth="1" style="71" min="6" max="7"/>
    <col width="18" customWidth="1" style="71" min="8" max="8"/>
    <col width="16" customWidth="1" style="71" min="9" max="9"/>
    <col width="8" customWidth="1" style="71" min="10" max="21"/>
    <col width="18" customWidth="1" style="71" min="22" max="23"/>
    <col width="16" customWidth="1" style="71" min="24" max="24"/>
    <col width="20" customWidth="1" style="71" min="25" max="25"/>
  </cols>
  <sheetData>
    <row r="2" ht="20.25" customHeight="1" s="71">
      <c r="B2" s="1" t="inlineStr">
        <is>
          <t>C7. 임직원 통근</t>
        </is>
      </c>
    </row>
    <row r="4">
      <c r="B4" s="2" t="inlineStr">
        <is>
          <t>카테고리 정의</t>
        </is>
      </c>
    </row>
    <row r="5">
      <c r="B5" s="11" t="inlineStr">
        <is>
          <t>- 보고년도에 직원이 출퇴근 과정에서 발생하는 온실가스 배출량</t>
        </is>
      </c>
    </row>
    <row r="6">
      <c r="B6" s="11" t="inlineStr">
        <is>
          <t>- 보유하지 않거나 운영하지 않는 교통수단을 이용한 내역만 해당</t>
        </is>
      </c>
    </row>
    <row r="9">
      <c r="B9" s="2" t="inlineStr">
        <is>
          <t>작성 기준</t>
        </is>
      </c>
    </row>
    <row r="10">
      <c r="B10" s="11" t="inlineStr">
        <is>
          <t>1) 온실가스 산정 식: Σ(왕복 이동거리 × 연간 근무일수 × 교통수단별 배출계수 × 인원수)</t>
        </is>
      </c>
    </row>
    <row r="11">
      <c r="B11" s="22" t="inlineStr">
        <is>
          <t xml:space="preserve"> - 온실가스 배출계수는 UK defra 평가계수를 활용 (*UK Government GHG Conversion Factor )</t>
        </is>
      </c>
    </row>
    <row r="12">
      <c r="B12" s="22" t="inlineStr">
        <is>
          <t>2) 편도거리나 출도착지 둘 중 하나는 반드시 작성(노란 박스) / 항공을 이용한 경우 출도착지는 도시명·주소 대신 공항명(예: 인천국제공항)으로 작성 권장 - 미기재 시 AI가 가까운 주요 공항으로 추정해 거리를 계산합니다(주소 기준으로 바로 계산하면 실제 항공 이동거리와 달라질 수 있음)</t>
        </is>
      </c>
    </row>
    <row r="13">
      <c r="B13" s="22" t="inlineStr">
        <is>
          <t xml:space="preserve"> - 출발지는 거주지 또는 주요 출발지, 도착지는 회사 주소로 작성 </t>
        </is>
      </c>
    </row>
    <row r="14">
      <c r="B14" s="11" t="inlineStr">
        <is>
          <t>3) 근무일수는 연도별 실제 근무일수(365일 - 공제일 수)로 집계 : 공제일 (토/일요일, 공휴일, 대체공휴일, 회사지정휴일 등) 평균적으로 245일 활용</t>
        </is>
      </c>
    </row>
    <row r="15" ht="15" customHeight="1" s="71">
      <c r="B15" s="69" t="inlineStr">
        <is>
          <t>*적용 기업명</t>
        </is>
      </c>
      <c r="C15" s="57">
        <f>기업정보!$C$7</f>
        <v/>
      </c>
    </row>
    <row r="16">
      <c r="B16" s="56" t="inlineStr">
        <is>
          <t>※ '기업정보' 시트에서 선택한 적용 기업명이 자동 반영됩니다. 상세 교통수단명(Y열) 입력 시 *교통수단(D열)이 '회사별_교통수단매핑' 매핑표를 기준으로 자동 매칭됩니다.</t>
        </is>
      </c>
    </row>
    <row r="17">
      <c r="B17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8">
      <c r="B18" s="20" t="inlineStr">
        <is>
          <t xml:space="preserve">※ 주황색으로 표시된 필수 입력칸은 반드시 작성해야 합니다. </t>
        </is>
      </c>
    </row>
    <row r="19">
      <c r="B19" s="50" t="inlineStr">
        <is>
          <t>※ 회색으로 표시된 입력란(배출계수, 배출량)은 자동으로 산출되므로 별도로 입력하지 않으셔도 됩니다.</t>
        </is>
      </c>
    </row>
    <row r="20" ht="15" customHeight="1" s="71">
      <c r="B20" s="60" t="inlineStr">
        <is>
          <t>*국가</t>
        </is>
      </c>
      <c r="C20" s="60" t="inlineStr">
        <is>
          <t>*사업장</t>
        </is>
      </c>
      <c r="D20" s="60" t="inlineStr">
        <is>
          <t>*교통수단</t>
        </is>
      </c>
      <c r="E20" s="60" t="inlineStr">
        <is>
          <t>*인원수</t>
        </is>
      </c>
      <c r="F20" s="62" t="inlineStr">
        <is>
          <t>출도착지</t>
        </is>
      </c>
      <c r="G20" s="64" t="n"/>
      <c r="H20" s="60" t="inlineStr">
        <is>
          <t>편도거리(km)(선택)</t>
        </is>
      </c>
      <c r="I20" s="62" t="inlineStr">
        <is>
          <t>연간 입력</t>
        </is>
      </c>
      <c r="J20" s="62" t="inlineStr">
        <is>
          <t>월별 근무일수</t>
        </is>
      </c>
      <c r="K20" s="63" t="n"/>
      <c r="L20" s="63" t="n"/>
      <c r="M20" s="63" t="n"/>
      <c r="N20" s="63" t="n"/>
      <c r="O20" s="63" t="n"/>
      <c r="P20" s="63" t="n"/>
      <c r="Q20" s="63" t="n"/>
      <c r="R20" s="63" t="n"/>
      <c r="S20" s="63" t="n"/>
      <c r="T20" s="63" t="n"/>
      <c r="U20" s="64" t="n"/>
      <c r="V20" s="60" t="inlineStr">
        <is>
          <t>비고(선택)</t>
        </is>
      </c>
      <c r="W20" s="60" t="inlineStr">
        <is>
          <t>배출계수(tCO2e/km)</t>
        </is>
      </c>
      <c r="X20" s="60" t="inlineStr">
        <is>
          <t>배출량(tCO2e)</t>
        </is>
      </c>
      <c r="Y20" s="69" t="inlineStr">
        <is>
          <t>상세 교통수단명(선택)</t>
        </is>
      </c>
    </row>
    <row r="21" ht="16.5" customHeight="1" s="71">
      <c r="B21" s="61" t="n"/>
      <c r="C21" s="61" t="n"/>
      <c r="D21" s="61" t="n"/>
      <c r="E21" s="61" t="n"/>
      <c r="F21" s="67" t="inlineStr">
        <is>
          <t>출발지</t>
        </is>
      </c>
      <c r="G21" s="67" t="inlineStr">
        <is>
          <t>도착지</t>
        </is>
      </c>
      <c r="H21" s="61" t="n"/>
      <c r="I21" s="60" t="inlineStr">
        <is>
          <t>연간근무일수</t>
        </is>
      </c>
      <c r="J21" s="60" t="inlineStr">
        <is>
          <t>1월</t>
        </is>
      </c>
      <c r="K21" s="60" t="inlineStr">
        <is>
          <t>2월</t>
        </is>
      </c>
      <c r="L21" s="60" t="inlineStr">
        <is>
          <t>3월</t>
        </is>
      </c>
      <c r="M21" s="60" t="inlineStr">
        <is>
          <t>4월</t>
        </is>
      </c>
      <c r="N21" s="60" t="inlineStr">
        <is>
          <t>5월</t>
        </is>
      </c>
      <c r="O21" s="60" t="inlineStr">
        <is>
          <t>6월</t>
        </is>
      </c>
      <c r="P21" s="60" t="inlineStr">
        <is>
          <t>7월</t>
        </is>
      </c>
      <c r="Q21" s="60" t="inlineStr">
        <is>
          <t>8월</t>
        </is>
      </c>
      <c r="R21" s="60" t="inlineStr">
        <is>
          <t>9월</t>
        </is>
      </c>
      <c r="S21" s="60" t="inlineStr">
        <is>
          <t>10월</t>
        </is>
      </c>
      <c r="T21" s="60" t="inlineStr">
        <is>
          <t>11월</t>
        </is>
      </c>
      <c r="U21" s="60" t="inlineStr">
        <is>
          <t>12월</t>
        </is>
      </c>
      <c r="V21" s="61" t="n"/>
      <c r="W21" s="61" t="n"/>
      <c r="X21" s="61" t="n"/>
      <c r="Y21" s="61" t="n"/>
    </row>
    <row r="22">
      <c r="B22" s="3" t="inlineStr">
        <is>
          <t>대한민국</t>
        </is>
      </c>
      <c r="C22" s="3" t="inlineStr">
        <is>
          <t>본사</t>
        </is>
      </c>
      <c r="D22" s="3" t="inlineStr">
        <is>
          <t>지하철/도시철도</t>
        </is>
      </c>
      <c r="E22" s="3" t="n">
        <v>35</v>
      </c>
      <c r="F22" s="9" t="inlineStr">
        <is>
          <t>제주시 서귀포시 강정동</t>
        </is>
      </c>
      <c r="G22" s="9" t="inlineStr">
        <is>
          <t>제주시 본사</t>
        </is>
      </c>
      <c r="H22" s="13" t="n"/>
      <c r="I22" s="3">
        <f>IF(SUM(J22:U22)=0,"",SUM(J22:U22))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inlineStr">
        <is>
          <t>임직원 통근</t>
        </is>
      </c>
      <c r="W22" s="5" t="n"/>
      <c r="X22" s="5" t="n"/>
      <c r="Y22" s="58" t="n"/>
    </row>
    <row r="23">
      <c r="B23" s="6" t="n"/>
      <c r="C23" s="6" t="n"/>
      <c r="D23" s="6">
        <f>IFERROR(INDEX(회사별_교통수단매핑!$C$2:$C$1000,MATCH(1,INDEX(($C$15=회사별_교통수단매핑!$A$2:$A$1000)*($Y23=회사별_교통수단매핑!$B$2:$B$1000),0),0)),"")</f>
        <v/>
      </c>
      <c r="E23" s="6" t="n"/>
      <c r="F23" s="10" t="n"/>
      <c r="G23" s="10" t="n"/>
      <c r="H23" s="14" t="n"/>
      <c r="I23" s="6">
        <f>IF(SUM(J23:U23)=0,"",SUM(J23:U23))</f>
        <v/>
      </c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7" t="n"/>
      <c r="W23" s="8" t="n"/>
      <c r="X23" s="8" t="n"/>
      <c r="Y23" s="58" t="n"/>
    </row>
    <row r="24">
      <c r="B24" s="6" t="n"/>
      <c r="C24" s="6" t="n"/>
      <c r="D24" s="6">
        <f>IFERROR(INDEX(회사별_교통수단매핑!$C$2:$C$1000,MATCH(1,INDEX(($C$15=회사별_교통수단매핑!$A$2:$A$1000)*($Y24=회사별_교통수단매핑!$B$2:$B$1000),0),0)),"")</f>
        <v/>
      </c>
      <c r="E24" s="6" t="n"/>
      <c r="F24" s="10" t="n"/>
      <c r="G24" s="10" t="n"/>
      <c r="H24" s="14" t="n"/>
      <c r="I24" s="6">
        <f>IF(SUM(J24:U24)=0,"",SUM(J24:U24))</f>
        <v/>
      </c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7" t="n"/>
      <c r="W24" s="8" t="n"/>
      <c r="X24" s="8" t="n"/>
      <c r="Y24" s="58" t="n"/>
    </row>
    <row r="25">
      <c r="B25" s="6" t="n"/>
      <c r="C25" s="6" t="n"/>
      <c r="D25" s="6">
        <f>IFERROR(INDEX(회사별_교통수단매핑!$C$2:$C$1000,MATCH(1,INDEX(($C$15=회사별_교통수단매핑!$A$2:$A$1000)*($Y25=회사별_교통수단매핑!$B$2:$B$1000),0),0)),"")</f>
        <v/>
      </c>
      <c r="E25" s="6" t="n"/>
      <c r="F25" s="10" t="n"/>
      <c r="G25" s="10" t="n"/>
      <c r="H25" s="14" t="n"/>
      <c r="I25" s="6">
        <f>IF(SUM(J25:U25)=0,"",SUM(J25:U25))</f>
        <v/>
      </c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7" t="n"/>
      <c r="W25" s="8" t="n"/>
      <c r="X25" s="8" t="n"/>
      <c r="Y25" s="58" t="n"/>
    </row>
    <row r="26">
      <c r="B26" s="6" t="n"/>
      <c r="C26" s="6" t="n"/>
      <c r="D26" s="6">
        <f>IFERROR(INDEX(회사별_교통수단매핑!$C$2:$C$1000,MATCH(1,INDEX(($C$15=회사별_교통수단매핑!$A$2:$A$1000)*($Y26=회사별_교통수단매핑!$B$2:$B$1000),0),0)),"")</f>
        <v/>
      </c>
      <c r="E26" s="6" t="n"/>
      <c r="F26" s="10" t="n"/>
      <c r="G26" s="10" t="n"/>
      <c r="H26" s="14" t="n"/>
      <c r="I26" s="6">
        <f>IF(SUM(J26:U26)=0,"",SUM(J26:U26))</f>
        <v/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7" t="n"/>
      <c r="W26" s="8" t="n"/>
      <c r="X26" s="8" t="n"/>
      <c r="Y26" s="58" t="n"/>
    </row>
    <row r="27">
      <c r="B27" s="6" t="n"/>
      <c r="C27" s="6" t="n"/>
      <c r="D27" s="6">
        <f>IFERROR(INDEX(회사별_교통수단매핑!$C$2:$C$1000,MATCH(1,INDEX(($C$15=회사별_교통수단매핑!$A$2:$A$1000)*($Y27=회사별_교통수단매핑!$B$2:$B$1000),0),0)),"")</f>
        <v/>
      </c>
      <c r="E27" s="6" t="n"/>
      <c r="F27" s="10" t="n"/>
      <c r="G27" s="10" t="n"/>
      <c r="H27" s="14" t="n"/>
      <c r="I27" s="6">
        <f>IF(SUM(J27:U27)=0,"",SUM(J27:U27))</f>
        <v/>
      </c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7" t="n"/>
      <c r="W27" s="8" t="n"/>
      <c r="X27" s="8" t="n"/>
      <c r="Y27" s="58" t="n"/>
    </row>
    <row r="28">
      <c r="B28" s="6" t="n"/>
      <c r="C28" s="6" t="n"/>
      <c r="D28" s="6">
        <f>IFERROR(INDEX(회사별_교통수단매핑!$C$2:$C$1000,MATCH(1,INDEX(($C$15=회사별_교통수단매핑!$A$2:$A$1000)*($Y28=회사별_교통수단매핑!$B$2:$B$1000),0),0)),"")</f>
        <v/>
      </c>
      <c r="E28" s="6" t="n"/>
      <c r="F28" s="10" t="n"/>
      <c r="G28" s="10" t="n"/>
      <c r="H28" s="14" t="n"/>
      <c r="I28" s="6">
        <f>IF(SUM(J28:U28)=0,"",SUM(J28:U28))</f>
        <v/>
      </c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7" t="n"/>
      <c r="W28" s="8" t="n"/>
      <c r="X28" s="8" t="n"/>
      <c r="Y28" s="58" t="n"/>
    </row>
    <row r="29">
      <c r="B29" s="6" t="n"/>
      <c r="C29" s="6" t="n"/>
      <c r="D29" s="6">
        <f>IFERROR(INDEX(회사별_교통수단매핑!$C$2:$C$1000,MATCH(1,INDEX(($C$15=회사별_교통수단매핑!$A$2:$A$1000)*($Y29=회사별_교통수단매핑!$B$2:$B$1000),0),0)),"")</f>
        <v/>
      </c>
      <c r="E29" s="6" t="n"/>
      <c r="F29" s="10" t="n"/>
      <c r="G29" s="10" t="n"/>
      <c r="H29" s="14" t="n"/>
      <c r="I29" s="6">
        <f>IF(SUM(J29:U29)=0,"",SUM(J29:U29))</f>
        <v/>
      </c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7" t="n"/>
      <c r="W29" s="8" t="n"/>
      <c r="X29" s="8" t="n"/>
      <c r="Y29" s="58" t="n"/>
    </row>
    <row r="30">
      <c r="B30" s="6" t="n"/>
      <c r="C30" s="6" t="n"/>
      <c r="D30" s="6">
        <f>IFERROR(INDEX(회사별_교통수단매핑!$C$2:$C$1000,MATCH(1,INDEX(($C$15=회사별_교통수단매핑!$A$2:$A$1000)*($Y30=회사별_교통수단매핑!$B$2:$B$1000),0),0)),"")</f>
        <v/>
      </c>
      <c r="E30" s="6" t="n"/>
      <c r="F30" s="10" t="n"/>
      <c r="G30" s="10" t="n"/>
      <c r="H30" s="14" t="n"/>
      <c r="I30" s="6">
        <f>IF(SUM(J30:U30)=0,"",SUM(J30:U30))</f>
        <v/>
      </c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7" t="n"/>
      <c r="W30" s="8" t="n"/>
      <c r="X30" s="8" t="n"/>
      <c r="Y30" s="58" t="n"/>
    </row>
    <row r="31">
      <c r="B31" s="6" t="n"/>
      <c r="C31" s="6" t="n"/>
      <c r="D31" s="6">
        <f>IFERROR(INDEX(회사별_교통수단매핑!$C$2:$C$1000,MATCH(1,INDEX(($C$15=회사별_교통수단매핑!$A$2:$A$1000)*($Y31=회사별_교통수단매핑!$B$2:$B$1000),0),0)),"")</f>
        <v/>
      </c>
      <c r="E31" s="6" t="n"/>
      <c r="F31" s="10" t="n"/>
      <c r="G31" s="10" t="n"/>
      <c r="H31" s="14" t="n"/>
      <c r="I31" s="6">
        <f>IF(SUM(J31:U31)=0,"",SUM(J31:U31))</f>
        <v/>
      </c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7" t="n"/>
      <c r="W31" s="8" t="n"/>
      <c r="X31" s="8" t="n"/>
      <c r="Y31" s="58" t="n"/>
    </row>
    <row r="32">
      <c r="B32" s="6" t="n"/>
      <c r="C32" s="6" t="n"/>
      <c r="D32" s="6">
        <f>IFERROR(INDEX(회사별_교통수단매핑!$C$2:$C$1000,MATCH(1,INDEX(($C$15=회사별_교통수단매핑!$A$2:$A$1000)*($Y32=회사별_교통수단매핑!$B$2:$B$1000),0),0)),"")</f>
        <v/>
      </c>
      <c r="E32" s="6" t="n"/>
      <c r="F32" s="10" t="n"/>
      <c r="G32" s="10" t="n"/>
      <c r="H32" s="14" t="n"/>
      <c r="I32" s="6">
        <f>IF(SUM(J32:U32)=0,"",SUM(J32:U32))</f>
        <v/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7" t="n"/>
      <c r="W32" s="8" t="n"/>
      <c r="X32" s="8" t="n"/>
      <c r="Y32" s="58" t="n"/>
    </row>
    <row r="33">
      <c r="B33" s="6" t="n"/>
      <c r="C33" s="6" t="n"/>
      <c r="D33" s="6">
        <f>IFERROR(INDEX(회사별_교통수단매핑!$C$2:$C$1000,MATCH(1,INDEX(($C$15=회사별_교통수단매핑!$A$2:$A$1000)*($Y33=회사별_교통수단매핑!$B$2:$B$1000),0),0)),"")</f>
        <v/>
      </c>
      <c r="E33" s="6" t="n"/>
      <c r="F33" s="10" t="n"/>
      <c r="G33" s="10" t="n"/>
      <c r="H33" s="14" t="n"/>
      <c r="I33" s="6">
        <f>IF(SUM(J33:U33)=0,"",SUM(J33:U33))</f>
        <v/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7" t="n"/>
      <c r="W33" s="8" t="n"/>
      <c r="X33" s="8" t="n"/>
      <c r="Y33" s="58" t="n"/>
    </row>
    <row r="34">
      <c r="B34" s="6" t="n"/>
      <c r="C34" s="6" t="n"/>
      <c r="D34" s="6">
        <f>IFERROR(INDEX(회사별_교통수단매핑!$C$2:$C$1000,MATCH(1,INDEX(($C$15=회사별_교통수단매핑!$A$2:$A$1000)*($Y34=회사별_교통수단매핑!$B$2:$B$1000),0),0)),"")</f>
        <v/>
      </c>
      <c r="E34" s="6" t="n"/>
      <c r="F34" s="10" t="n"/>
      <c r="G34" s="10" t="n"/>
      <c r="H34" s="14" t="n"/>
      <c r="I34" s="6">
        <f>IF(SUM(J34:U34)=0,"",SUM(J34:U34))</f>
        <v/>
      </c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7" t="n"/>
      <c r="W34" s="8" t="n"/>
      <c r="X34" s="8" t="n"/>
      <c r="Y34" s="58" t="n"/>
    </row>
    <row r="35">
      <c r="B35" s="6" t="n"/>
      <c r="C35" s="6" t="n"/>
      <c r="D35" s="6">
        <f>IFERROR(INDEX(회사별_교통수단매핑!$C$2:$C$1000,MATCH(1,INDEX(($C$15=회사별_교통수단매핑!$A$2:$A$1000)*($Y35=회사별_교통수단매핑!$B$2:$B$1000),0),0)),"")</f>
        <v/>
      </c>
      <c r="E35" s="6" t="n"/>
      <c r="F35" s="10" t="n"/>
      <c r="G35" s="10" t="n"/>
      <c r="H35" s="14" t="n"/>
      <c r="I35" s="6">
        <f>IF(SUM(J35:U35)=0,"",SUM(J35:U35))</f>
        <v/>
      </c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7" t="n"/>
      <c r="W35" s="8" t="n"/>
      <c r="X35" s="8" t="n"/>
      <c r="Y35" s="58" t="n"/>
    </row>
    <row r="36">
      <c r="B36" s="6" t="n"/>
      <c r="C36" s="6" t="n"/>
      <c r="D36" s="6">
        <f>IFERROR(INDEX(회사별_교통수단매핑!$C$2:$C$1000,MATCH(1,INDEX(($C$15=회사별_교통수단매핑!$A$2:$A$1000)*($Y36=회사별_교통수단매핑!$B$2:$B$1000),0),0)),"")</f>
        <v/>
      </c>
      <c r="E36" s="6" t="n"/>
      <c r="F36" s="10" t="n"/>
      <c r="G36" s="10" t="n"/>
      <c r="H36" s="14" t="n"/>
      <c r="I36" s="6">
        <f>IF(SUM(J36:U36)=0,"",SUM(J36:U36))</f>
        <v/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7" t="n"/>
      <c r="W36" s="8" t="n"/>
      <c r="X36" s="8" t="n"/>
      <c r="Y36" s="58" t="n"/>
    </row>
    <row r="37">
      <c r="B37" s="6" t="n"/>
      <c r="C37" s="6" t="n"/>
      <c r="D37" s="6">
        <f>IFERROR(INDEX(회사별_교통수단매핑!$C$2:$C$1000,MATCH(1,INDEX(($C$15=회사별_교통수단매핑!$A$2:$A$1000)*($Y37=회사별_교통수단매핑!$B$2:$B$1000),0),0)),"")</f>
        <v/>
      </c>
      <c r="E37" s="6" t="n"/>
      <c r="F37" s="10" t="n"/>
      <c r="G37" s="10" t="n"/>
      <c r="H37" s="14" t="n"/>
      <c r="I37" s="6">
        <f>IF(SUM(J37:U37)=0,"",SUM(J37:U37))</f>
        <v/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7" t="n"/>
      <c r="W37" s="8" t="n"/>
      <c r="X37" s="8" t="n"/>
      <c r="Y37" s="58" t="n"/>
    </row>
    <row r="38">
      <c r="B38" s="6" t="n"/>
      <c r="C38" s="6" t="n"/>
      <c r="D38" s="6">
        <f>IFERROR(INDEX(회사별_교통수단매핑!$C$2:$C$1000,MATCH(1,INDEX(($C$15=회사별_교통수단매핑!$A$2:$A$1000)*($Y38=회사별_교통수단매핑!$B$2:$B$1000),0),0)),"")</f>
        <v/>
      </c>
      <c r="E38" s="6" t="n"/>
      <c r="F38" s="10" t="n"/>
      <c r="G38" s="10" t="n"/>
      <c r="H38" s="14" t="n"/>
      <c r="I38" s="6">
        <f>IF(SUM(J38:U38)=0,"",SUM(J38:U38))</f>
        <v/>
      </c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7" t="n"/>
      <c r="W38" s="8" t="n"/>
      <c r="X38" s="8" t="n"/>
      <c r="Y38" s="58" t="n"/>
    </row>
    <row r="39">
      <c r="B39" s="6" t="n"/>
      <c r="C39" s="6" t="n"/>
      <c r="D39" s="6">
        <f>IFERROR(INDEX(회사별_교통수단매핑!$C$2:$C$1000,MATCH(1,INDEX(($C$15=회사별_교통수단매핑!$A$2:$A$1000)*($Y39=회사별_교통수단매핑!$B$2:$B$1000),0),0)),"")</f>
        <v/>
      </c>
      <c r="E39" s="6" t="n"/>
      <c r="F39" s="10" t="n"/>
      <c r="G39" s="10" t="n"/>
      <c r="H39" s="14" t="n"/>
      <c r="I39" s="6">
        <f>IF(SUM(J39:U39)=0,"",SUM(J39:U39))</f>
        <v/>
      </c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7" t="n"/>
      <c r="W39" s="8" t="n"/>
      <c r="X39" s="8" t="n"/>
      <c r="Y39" s="58" t="n"/>
    </row>
    <row r="40">
      <c r="B40" s="6" t="n"/>
      <c r="C40" s="6" t="n"/>
      <c r="D40" s="6">
        <f>IFERROR(INDEX(회사별_교통수단매핑!$C$2:$C$1000,MATCH(1,INDEX(($C$15=회사별_교통수단매핑!$A$2:$A$1000)*($Y40=회사별_교통수단매핑!$B$2:$B$1000),0),0)),"")</f>
        <v/>
      </c>
      <c r="E40" s="6" t="n"/>
      <c r="F40" s="10" t="n"/>
      <c r="G40" s="10" t="n"/>
      <c r="H40" s="14" t="n"/>
      <c r="I40" s="6">
        <f>IF(SUM(J40:U40)=0,"",SUM(J40:U40))</f>
        <v/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7" t="n"/>
      <c r="W40" s="8" t="n"/>
      <c r="X40" s="8" t="n"/>
      <c r="Y40" s="58" t="n"/>
    </row>
    <row r="41">
      <c r="B41" s="6" t="n"/>
      <c r="C41" s="6" t="n"/>
      <c r="D41" s="6">
        <f>IFERROR(INDEX(회사별_교통수단매핑!$C$2:$C$1000,MATCH(1,INDEX(($C$15=회사별_교통수단매핑!$A$2:$A$1000)*($Y41=회사별_교통수단매핑!$B$2:$B$1000),0),0)),"")</f>
        <v/>
      </c>
      <c r="E41" s="6" t="n"/>
      <c r="F41" s="10" t="n"/>
      <c r="G41" s="10" t="n"/>
      <c r="H41" s="14" t="n"/>
      <c r="I41" s="6">
        <f>IF(SUM(J41:U41)=0,"",SUM(J41:U41))</f>
        <v/>
      </c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7" t="n"/>
      <c r="W41" s="8" t="n"/>
      <c r="X41" s="8" t="n"/>
      <c r="Y41" s="58" t="n"/>
    </row>
    <row r="42">
      <c r="B42" s="6" t="n"/>
      <c r="C42" s="6" t="n"/>
      <c r="D42" s="6">
        <f>IFERROR(INDEX(회사별_교통수단매핑!$C$2:$C$1000,MATCH(1,INDEX(($C$15=회사별_교통수단매핑!$A$2:$A$1000)*($Y42=회사별_교통수단매핑!$B$2:$B$1000),0),0)),"")</f>
        <v/>
      </c>
      <c r="E42" s="6" t="n"/>
      <c r="F42" s="10" t="n"/>
      <c r="G42" s="10" t="n"/>
      <c r="H42" s="14" t="n"/>
      <c r="I42" s="6">
        <f>IF(SUM(J42:U42)=0,"",SUM(J42:U42))</f>
        <v/>
      </c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7" t="n"/>
      <c r="W42" s="8" t="n"/>
      <c r="X42" s="8" t="n"/>
      <c r="Y42" s="58" t="n"/>
    </row>
    <row r="43">
      <c r="B43" s="6" t="n"/>
      <c r="C43" s="6" t="n"/>
      <c r="D43" s="6">
        <f>IFERROR(INDEX(회사별_교통수단매핑!$C$2:$C$1000,MATCH(1,INDEX(($C$15=회사별_교통수단매핑!$A$2:$A$1000)*($Y43=회사별_교통수단매핑!$B$2:$B$1000),0),0)),"")</f>
        <v/>
      </c>
      <c r="E43" s="6" t="n"/>
      <c r="F43" s="10" t="n"/>
      <c r="G43" s="10" t="n"/>
      <c r="H43" s="14" t="n"/>
      <c r="I43" s="6">
        <f>IF(SUM(J43:U43)=0,"",SUM(J43:U43))</f>
        <v/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7" t="n"/>
      <c r="W43" s="8" t="n"/>
      <c r="X43" s="8" t="n"/>
      <c r="Y43" s="58" t="n"/>
    </row>
    <row r="44">
      <c r="B44" s="6" t="n"/>
      <c r="C44" s="6" t="n"/>
      <c r="D44" s="6">
        <f>IFERROR(INDEX(회사별_교통수단매핑!$C$2:$C$1000,MATCH(1,INDEX(($C$15=회사별_교통수단매핑!$A$2:$A$1000)*($Y44=회사별_교통수단매핑!$B$2:$B$1000),0),0)),"")</f>
        <v/>
      </c>
      <c r="E44" s="6" t="n"/>
      <c r="F44" s="10" t="n"/>
      <c r="G44" s="10" t="n"/>
      <c r="H44" s="14" t="n"/>
      <c r="I44" s="6">
        <f>IF(SUM(J44:U44)=0,"",SUM(J44:U44))</f>
        <v/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7" t="n"/>
      <c r="W44" s="8" t="n"/>
      <c r="X44" s="8" t="n"/>
      <c r="Y44" s="58" t="n"/>
    </row>
    <row r="45">
      <c r="B45" s="6" t="n"/>
      <c r="C45" s="6" t="n"/>
      <c r="D45" s="6">
        <f>IFERROR(INDEX(회사별_교통수단매핑!$C$2:$C$1000,MATCH(1,INDEX(($C$15=회사별_교통수단매핑!$A$2:$A$1000)*($Y45=회사별_교통수단매핑!$B$2:$B$1000),0),0)),"")</f>
        <v/>
      </c>
      <c r="E45" s="6" t="n"/>
      <c r="F45" s="10" t="n"/>
      <c r="G45" s="10" t="n"/>
      <c r="H45" s="14" t="n"/>
      <c r="I45" s="6">
        <f>IF(SUM(J45:U45)=0,"",SUM(J45:U45))</f>
        <v/>
      </c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7" t="n"/>
      <c r="W45" s="8" t="n"/>
      <c r="X45" s="8" t="n"/>
      <c r="Y45" s="58" t="n"/>
    </row>
    <row r="46">
      <c r="B46" s="6" t="n"/>
      <c r="C46" s="6" t="n"/>
      <c r="D46" s="6">
        <f>IFERROR(INDEX(회사별_교통수단매핑!$C$2:$C$1000,MATCH(1,INDEX(($C$15=회사별_교통수단매핑!$A$2:$A$1000)*($Y46=회사별_교통수단매핑!$B$2:$B$1000),0),0)),"")</f>
        <v/>
      </c>
      <c r="E46" s="6" t="n"/>
      <c r="F46" s="10" t="n"/>
      <c r="G46" s="10" t="n"/>
      <c r="H46" s="14" t="n"/>
      <c r="I46" s="6">
        <f>IF(SUM(J46:U46)=0,"",SUM(J46:U46))</f>
        <v/>
      </c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7" t="n"/>
      <c r="W46" s="8" t="n"/>
      <c r="X46" s="8" t="n"/>
      <c r="Y46" s="58" t="n"/>
    </row>
    <row r="47">
      <c r="B47" s="6" t="n"/>
      <c r="C47" s="6" t="n"/>
      <c r="D47" s="6">
        <f>IFERROR(INDEX(회사별_교통수단매핑!$C$2:$C$1000,MATCH(1,INDEX(($C$15=회사별_교통수단매핑!$A$2:$A$1000)*($Y47=회사별_교통수단매핑!$B$2:$B$1000),0),0)),"")</f>
        <v/>
      </c>
      <c r="E47" s="6" t="n"/>
      <c r="F47" s="10" t="n"/>
      <c r="G47" s="10" t="n"/>
      <c r="H47" s="14" t="n"/>
      <c r="I47" s="6">
        <f>IF(SUM(J47:U47)=0,"",SUM(J47:U47))</f>
        <v/>
      </c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7" t="n"/>
      <c r="W47" s="8" t="n"/>
      <c r="X47" s="8" t="n"/>
      <c r="Y47" s="58" t="n"/>
    </row>
    <row r="48">
      <c r="B48" s="6" t="n"/>
      <c r="C48" s="6" t="n"/>
      <c r="D48" s="6">
        <f>IFERROR(INDEX(회사별_교통수단매핑!$C$2:$C$1000,MATCH(1,INDEX(($C$15=회사별_교통수단매핑!$A$2:$A$1000)*($Y48=회사별_교통수단매핑!$B$2:$B$1000),0),0)),"")</f>
        <v/>
      </c>
      <c r="E48" s="6" t="n"/>
      <c r="F48" s="10" t="n"/>
      <c r="G48" s="10" t="n"/>
      <c r="H48" s="14" t="n"/>
      <c r="I48" s="6">
        <f>IF(SUM(J48:U48)=0,"",SUM(J48:U48))</f>
        <v/>
      </c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7" t="n"/>
      <c r="W48" s="8" t="n"/>
      <c r="X48" s="8" t="n"/>
      <c r="Y48" s="58" t="n"/>
    </row>
    <row r="49">
      <c r="B49" s="6" t="n"/>
      <c r="C49" s="6" t="n"/>
      <c r="D49" s="6">
        <f>IFERROR(INDEX(회사별_교통수단매핑!$C$2:$C$1000,MATCH(1,INDEX(($C$15=회사별_교통수단매핑!$A$2:$A$1000)*($Y49=회사별_교통수단매핑!$B$2:$B$1000),0),0)),"")</f>
        <v/>
      </c>
      <c r="E49" s="6" t="n"/>
      <c r="F49" s="10" t="n"/>
      <c r="G49" s="10" t="n"/>
      <c r="H49" s="14" t="n"/>
      <c r="I49" s="6">
        <f>IF(SUM(J49:U49)=0,"",SUM(J49:U49))</f>
        <v/>
      </c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7" t="n"/>
      <c r="W49" s="8" t="n"/>
      <c r="X49" s="8" t="n"/>
      <c r="Y49" s="58" t="n"/>
    </row>
    <row r="50">
      <c r="B50" s="6" t="n"/>
      <c r="C50" s="6" t="n"/>
      <c r="D50" s="6">
        <f>IFERROR(INDEX(회사별_교통수단매핑!$C$2:$C$1000,MATCH(1,INDEX(($C$15=회사별_교통수단매핑!$A$2:$A$1000)*($Y50=회사별_교통수단매핑!$B$2:$B$1000),0),0)),"")</f>
        <v/>
      </c>
      <c r="E50" s="6" t="n"/>
      <c r="F50" s="10" t="n"/>
      <c r="G50" s="10" t="n"/>
      <c r="H50" s="14" t="n"/>
      <c r="I50" s="6">
        <f>IF(SUM(J50:U50)=0,"",SUM(J50:U50))</f>
        <v/>
      </c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7" t="n"/>
      <c r="W50" s="8" t="n"/>
      <c r="X50" s="8" t="n"/>
      <c r="Y50" s="58" t="n"/>
    </row>
    <row r="51">
      <c r="B51" s="6" t="n"/>
      <c r="C51" s="6" t="n"/>
      <c r="D51" s="6">
        <f>IFERROR(INDEX(회사별_교통수단매핑!$C$2:$C$1000,MATCH(1,INDEX(($C$15=회사별_교통수단매핑!$A$2:$A$1000)*($Y51=회사별_교통수단매핑!$B$2:$B$1000),0),0)),"")</f>
        <v/>
      </c>
      <c r="E51" s="6" t="n"/>
      <c r="F51" s="10" t="n"/>
      <c r="G51" s="10" t="n"/>
      <c r="H51" s="14" t="n"/>
      <c r="I51" s="6">
        <f>IF(SUM(J51:U51)=0,"",SUM(J51:U51))</f>
        <v/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7" t="n"/>
      <c r="W51" s="8" t="n"/>
      <c r="X51" s="8" t="n"/>
      <c r="Y51" s="58" t="n"/>
    </row>
    <row r="52">
      <c r="B52" s="6" t="n"/>
      <c r="C52" s="6" t="n"/>
      <c r="D52" s="6">
        <f>IFERROR(INDEX(회사별_교통수단매핑!$C$2:$C$1000,MATCH(1,INDEX(($C$15=회사별_교통수단매핑!$A$2:$A$1000)*($Y52=회사별_교통수단매핑!$B$2:$B$1000),0),0)),"")</f>
        <v/>
      </c>
      <c r="E52" s="6" t="n"/>
      <c r="F52" s="10" t="n"/>
      <c r="G52" s="10" t="n"/>
      <c r="H52" s="14" t="n"/>
      <c r="I52" s="6">
        <f>IF(SUM(J52:U52)=0,"",SUM(J52:U52))</f>
        <v/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7" t="n"/>
      <c r="W52" s="8" t="n"/>
      <c r="X52" s="8" t="n"/>
      <c r="Y52" s="58" t="n"/>
    </row>
    <row r="53">
      <c r="B53" s="6" t="n"/>
      <c r="C53" s="6" t="n"/>
      <c r="D53" s="6">
        <f>IFERROR(INDEX(회사별_교통수단매핑!$C$2:$C$1000,MATCH(1,INDEX(($C$15=회사별_교통수단매핑!$A$2:$A$1000)*($Y53=회사별_교통수단매핑!$B$2:$B$1000),0),0)),"")</f>
        <v/>
      </c>
      <c r="E53" s="6" t="n"/>
      <c r="F53" s="10" t="n"/>
      <c r="G53" s="10" t="n"/>
      <c r="H53" s="14" t="n"/>
      <c r="I53" s="6">
        <f>IF(SUM(J53:U53)=0,"",SUM(J53:U53))</f>
        <v/>
      </c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7" t="n"/>
      <c r="W53" s="8" t="n"/>
      <c r="X53" s="8" t="n"/>
      <c r="Y53" s="58" t="n"/>
    </row>
    <row r="54">
      <c r="B54" s="6" t="n"/>
      <c r="C54" s="6" t="n"/>
      <c r="D54" s="6">
        <f>IFERROR(INDEX(회사별_교통수단매핑!$C$2:$C$1000,MATCH(1,INDEX(($C$15=회사별_교통수단매핑!$A$2:$A$1000)*($Y54=회사별_교통수단매핑!$B$2:$B$1000),0),0)),"")</f>
        <v/>
      </c>
      <c r="E54" s="6" t="n"/>
      <c r="F54" s="10" t="n"/>
      <c r="G54" s="10" t="n"/>
      <c r="H54" s="14" t="n"/>
      <c r="I54" s="6">
        <f>IF(SUM(J54:U54)=0,"",SUM(J54:U54))</f>
        <v/>
      </c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7" t="n"/>
      <c r="W54" s="8" t="n"/>
      <c r="X54" s="8" t="n"/>
      <c r="Y54" s="58" t="n"/>
    </row>
    <row r="55">
      <c r="B55" s="6" t="n"/>
      <c r="C55" s="6" t="n"/>
      <c r="D55" s="6">
        <f>IFERROR(INDEX(회사별_교통수단매핑!$C$2:$C$1000,MATCH(1,INDEX(($C$15=회사별_교통수단매핑!$A$2:$A$1000)*($Y55=회사별_교통수단매핑!$B$2:$B$1000),0),0)),"")</f>
        <v/>
      </c>
      <c r="E55" s="6" t="n"/>
      <c r="F55" s="10" t="n"/>
      <c r="G55" s="10" t="n"/>
      <c r="H55" s="14" t="n"/>
      <c r="I55" s="6">
        <f>IF(SUM(J55:U55)=0,"",SUM(J55:U55))</f>
        <v/>
      </c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7" t="n"/>
      <c r="W55" s="8" t="n"/>
      <c r="X55" s="8" t="n"/>
      <c r="Y55" s="58" t="n"/>
    </row>
    <row r="56">
      <c r="B56" s="6" t="n"/>
      <c r="C56" s="6" t="n"/>
      <c r="D56" s="6">
        <f>IFERROR(INDEX(회사별_교통수단매핑!$C$2:$C$1000,MATCH(1,INDEX(($C$15=회사별_교통수단매핑!$A$2:$A$1000)*($Y56=회사별_교통수단매핑!$B$2:$B$1000),0),0)),"")</f>
        <v/>
      </c>
      <c r="E56" s="6" t="n"/>
      <c r="F56" s="10" t="n"/>
      <c r="G56" s="10" t="n"/>
      <c r="H56" s="14" t="n"/>
      <c r="I56" s="6">
        <f>IF(SUM(J56:U56)=0,"",SUM(J56:U56))</f>
        <v/>
      </c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7" t="n"/>
      <c r="W56" s="8" t="n"/>
      <c r="X56" s="8" t="n"/>
      <c r="Y56" s="58" t="n"/>
    </row>
    <row r="57">
      <c r="B57" s="6" t="n"/>
      <c r="C57" s="6" t="n"/>
      <c r="D57" s="6">
        <f>IFERROR(INDEX(회사별_교통수단매핑!$C$2:$C$1000,MATCH(1,INDEX(($C$15=회사별_교통수단매핑!$A$2:$A$1000)*($Y57=회사별_교통수단매핑!$B$2:$B$1000),0),0)),"")</f>
        <v/>
      </c>
      <c r="E57" s="6" t="n"/>
      <c r="F57" s="10" t="n"/>
      <c r="G57" s="10" t="n"/>
      <c r="H57" s="15" t="n"/>
      <c r="I57" s="6">
        <f>IF(SUM(J57:U57)=0,"",SUM(J57:U57))</f>
        <v/>
      </c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7" t="n"/>
      <c r="W57" s="8" t="n"/>
      <c r="X57" s="8" t="n"/>
      <c r="Y57" s="58" t="n"/>
    </row>
    <row r="58">
      <c r="D58">
        <f>IFERROR(INDEX(회사별_교통수단매핑!$C$2:$C$1000,MATCH(1,INDEX(($C$15=회사별_교통수단매핑!$A$2:$A$1000)*($Y58=회사별_교통수단매핑!$B$2:$B$1000),0),0)),"")</f>
        <v/>
      </c>
      <c r="I58">
        <f>IF(SUM(J58:U58)=0,"",SUM(J58:U58))</f>
        <v/>
      </c>
      <c r="Y58" s="58" t="n"/>
    </row>
    <row r="59">
      <c r="D59">
        <f>IFERROR(INDEX(회사별_교통수단매핑!$C$2:$C$1000,MATCH(1,INDEX(($C$15=회사별_교통수단매핑!$A$2:$A$1000)*($Y59=회사별_교통수단매핑!$B$2:$B$1000),0),0)),"")</f>
        <v/>
      </c>
      <c r="I59">
        <f>IF(SUM(J59:U59)=0,"",SUM(J59:U59))</f>
        <v/>
      </c>
      <c r="Y59" s="58" t="n"/>
    </row>
    <row r="60">
      <c r="D60">
        <f>IFERROR(INDEX(회사별_교통수단매핑!$C$2:$C$1000,MATCH(1,INDEX(($C$15=회사별_교통수단매핑!$A$2:$A$1000)*($Y60=회사별_교통수단매핑!$B$2:$B$1000),0),0)),"")</f>
        <v/>
      </c>
      <c r="I60">
        <f>IF(SUM(J60:U60)=0,"",SUM(J60:U60))</f>
        <v/>
      </c>
      <c r="Y60" s="58" t="n"/>
    </row>
    <row r="61">
      <c r="D61">
        <f>IFERROR(INDEX(회사별_교통수단매핑!$C$2:$C$1000,MATCH(1,INDEX(($C$15=회사별_교통수단매핑!$A$2:$A$1000)*($Y61=회사별_교통수단매핑!$B$2:$B$1000),0),0)),"")</f>
        <v/>
      </c>
      <c r="I61">
        <f>IF(SUM(J61:U61)=0,"",SUM(J61:U61))</f>
        <v/>
      </c>
      <c r="Y61" s="58" t="n"/>
    </row>
    <row r="62">
      <c r="D62">
        <f>IFERROR(INDEX(회사별_교통수단매핑!$C$2:$C$1000,MATCH(1,INDEX(($C$15=회사별_교통수단매핑!$A$2:$A$1000)*($Y62=회사별_교통수단매핑!$B$2:$B$1000),0),0)),"")</f>
        <v/>
      </c>
      <c r="I62">
        <f>IF(SUM(J62:U62)=0,"",SUM(J62:U62))</f>
        <v/>
      </c>
      <c r="Y62" s="58" t="n"/>
    </row>
    <row r="63">
      <c r="D63">
        <f>IFERROR(INDEX(회사별_교통수단매핑!$C$2:$C$1000,MATCH(1,INDEX(($C$15=회사별_교통수단매핑!$A$2:$A$1000)*($Y63=회사별_교통수단매핑!$B$2:$B$1000),0),0)),"")</f>
        <v/>
      </c>
      <c r="I63">
        <f>IF(SUM(J63:U63)=0,"",SUM(J63:U63))</f>
        <v/>
      </c>
      <c r="Y63" s="58" t="n"/>
    </row>
    <row r="64">
      <c r="D64">
        <f>IFERROR(INDEX(회사별_교통수단매핑!$C$2:$C$1000,MATCH(1,INDEX(($C$15=회사별_교통수단매핑!$A$2:$A$1000)*($Y64=회사별_교통수단매핑!$B$2:$B$1000),0),0)),"")</f>
        <v/>
      </c>
      <c r="I64">
        <f>IF(SUM(J64:U64)=0,"",SUM(J64:U64))</f>
        <v/>
      </c>
      <c r="Y64" s="58" t="n"/>
    </row>
    <row r="65">
      <c r="D65">
        <f>IFERROR(INDEX(회사별_교통수단매핑!$C$2:$C$1000,MATCH(1,INDEX(($C$15=회사별_교통수단매핑!$A$2:$A$1000)*($Y65=회사별_교통수단매핑!$B$2:$B$1000),0),0)),"")</f>
        <v/>
      </c>
      <c r="I65">
        <f>IF(SUM(J65:U65)=0,"",SUM(J65:U65))</f>
        <v/>
      </c>
      <c r="Y65" s="58" t="n"/>
    </row>
    <row r="66">
      <c r="D66">
        <f>IFERROR(INDEX(회사별_교통수단매핑!$C$2:$C$1000,MATCH(1,INDEX(($C$15=회사별_교통수단매핑!$A$2:$A$1000)*($Y66=회사별_교통수단매핑!$B$2:$B$1000),0),0)),"")</f>
        <v/>
      </c>
      <c r="I66">
        <f>IF(SUM(J66:U66)=0,"",SUM(J66:U66))</f>
        <v/>
      </c>
      <c r="Y66" s="58" t="n"/>
    </row>
    <row r="67">
      <c r="D67">
        <f>IFERROR(INDEX(회사별_교통수단매핑!$C$2:$C$1000,MATCH(1,INDEX(($C$15=회사별_교통수단매핑!$A$2:$A$1000)*($Y67=회사별_교통수단매핑!$B$2:$B$1000),0),0)),"")</f>
        <v/>
      </c>
      <c r="I67">
        <f>IF(SUM(J67:U67)=0,"",SUM(J67:U67))</f>
        <v/>
      </c>
      <c r="Y67" s="58" t="n"/>
    </row>
    <row r="68">
      <c r="D68">
        <f>IFERROR(INDEX(회사별_교통수단매핑!$C$2:$C$1000,MATCH(1,INDEX(($C$15=회사별_교통수단매핑!$A$2:$A$1000)*($Y68=회사별_교통수단매핑!$B$2:$B$1000),0),0)),"")</f>
        <v/>
      </c>
      <c r="I68">
        <f>IF(SUM(J68:U68)=0,"",SUM(J68:U68))</f>
        <v/>
      </c>
      <c r="Y68" s="58" t="n"/>
    </row>
    <row r="69">
      <c r="D69">
        <f>IFERROR(INDEX(회사별_교통수단매핑!$C$2:$C$1000,MATCH(1,INDEX(($C$15=회사별_교통수단매핑!$A$2:$A$1000)*($Y69=회사별_교통수단매핑!$B$2:$B$1000),0),0)),"")</f>
        <v/>
      </c>
      <c r="I69">
        <f>IF(SUM(J69:U69)=0,"",SUM(J69:U69))</f>
        <v/>
      </c>
      <c r="Y69" s="58" t="n"/>
    </row>
    <row r="70">
      <c r="D70">
        <f>IFERROR(INDEX(회사별_교통수단매핑!$C$2:$C$1000,MATCH(1,INDEX(($C$15=회사별_교통수단매핑!$A$2:$A$1000)*($Y70=회사별_교통수단매핑!$B$2:$B$1000),0),0)),"")</f>
        <v/>
      </c>
      <c r="I70">
        <f>IF(SUM(J70:U70)=0,"",SUM(J70:U70))</f>
        <v/>
      </c>
      <c r="Y70" s="58" t="n"/>
    </row>
    <row r="71">
      <c r="D71">
        <f>IFERROR(INDEX(회사별_교통수단매핑!$C$2:$C$1000,MATCH(1,INDEX(($C$15=회사별_교통수단매핑!$A$2:$A$1000)*($Y71=회사별_교통수단매핑!$B$2:$B$1000),0),0)),"")</f>
        <v/>
      </c>
      <c r="I71">
        <f>IF(SUM(J71:U71)=0,"",SUM(J71:U71))</f>
        <v/>
      </c>
      <c r="Y71" s="58" t="n"/>
    </row>
    <row r="72">
      <c r="D72">
        <f>IFERROR(INDEX(회사별_교통수단매핑!$C$2:$C$1000,MATCH(1,INDEX(($C$15=회사별_교통수단매핑!$A$2:$A$1000)*($Y72=회사별_교통수단매핑!$B$2:$B$1000),0),0)),"")</f>
        <v/>
      </c>
      <c r="I72">
        <f>IF(SUM(J72:U72)=0,"",SUM(J72:U72))</f>
        <v/>
      </c>
      <c r="Y72" s="58" t="n"/>
    </row>
    <row r="73">
      <c r="D73">
        <f>IFERROR(INDEX(회사별_교통수단매핑!$C$2:$C$1000,MATCH(1,INDEX(($C$15=회사별_교통수단매핑!$A$2:$A$1000)*($Y73=회사별_교통수단매핑!$B$2:$B$1000),0),0)),"")</f>
        <v/>
      </c>
      <c r="I73">
        <f>IF(SUM(J73:U73)=0,"",SUM(J73:U73))</f>
        <v/>
      </c>
      <c r="Y73" s="58" t="n"/>
    </row>
    <row r="74">
      <c r="D74">
        <f>IFERROR(INDEX(회사별_교통수단매핑!$C$2:$C$1000,MATCH(1,INDEX(($C$15=회사별_교통수단매핑!$A$2:$A$1000)*($Y74=회사별_교통수단매핑!$B$2:$B$1000),0),0)),"")</f>
        <v/>
      </c>
      <c r="I74">
        <f>IF(SUM(J74:U74)=0,"",SUM(J74:U74))</f>
        <v/>
      </c>
      <c r="Y74" s="58" t="n"/>
    </row>
    <row r="75">
      <c r="D75">
        <f>IFERROR(INDEX(회사별_교통수단매핑!$C$2:$C$1000,MATCH(1,INDEX(($C$15=회사별_교통수단매핑!$A$2:$A$1000)*($Y75=회사별_교통수단매핑!$B$2:$B$1000),0),0)),"")</f>
        <v/>
      </c>
      <c r="I75">
        <f>IF(SUM(J75:U75)=0,"",SUM(J75:U75))</f>
        <v/>
      </c>
      <c r="Y75" s="58" t="n"/>
    </row>
    <row r="76">
      <c r="D76">
        <f>IFERROR(INDEX(회사별_교통수단매핑!$C$2:$C$1000,MATCH(1,INDEX(($C$15=회사별_교통수단매핑!$A$2:$A$1000)*($Y76=회사별_교통수단매핑!$B$2:$B$1000),0),0)),"")</f>
        <v/>
      </c>
      <c r="I76">
        <f>IF(SUM(J76:U76)=0,"",SUM(J76:U76))</f>
        <v/>
      </c>
      <c r="Y76" s="58" t="n"/>
    </row>
    <row r="77">
      <c r="D77">
        <f>IFERROR(INDEX(회사별_교통수단매핑!$C$2:$C$1000,MATCH(1,INDEX(($C$15=회사별_교통수단매핑!$A$2:$A$1000)*($Y77=회사별_교통수단매핑!$B$2:$B$1000),0),0)),"")</f>
        <v/>
      </c>
      <c r="I77">
        <f>IF(SUM(J77:U77)=0,"",SUM(J77:U77))</f>
        <v/>
      </c>
      <c r="Y77" s="58" t="n"/>
    </row>
    <row r="78">
      <c r="D78">
        <f>IFERROR(INDEX(회사별_교통수단매핑!$C$2:$C$1000,MATCH(1,INDEX(($C$15=회사별_교통수단매핑!$A$2:$A$1000)*($Y78=회사별_교통수단매핑!$B$2:$B$1000),0),0)),"")</f>
        <v/>
      </c>
      <c r="I78">
        <f>IF(SUM(J78:U78)=0,"",SUM(J78:U78))</f>
        <v/>
      </c>
      <c r="Y78" s="58" t="n"/>
    </row>
    <row r="79">
      <c r="D79">
        <f>IFERROR(INDEX(회사별_교통수단매핑!$C$2:$C$1000,MATCH(1,INDEX(($C$15=회사별_교통수단매핑!$A$2:$A$1000)*($Y79=회사별_교통수단매핑!$B$2:$B$1000),0),0)),"")</f>
        <v/>
      </c>
      <c r="I79">
        <f>IF(SUM(J79:U79)=0,"",SUM(J79:U79))</f>
        <v/>
      </c>
      <c r="Y79" s="58" t="n"/>
    </row>
    <row r="80">
      <c r="D80">
        <f>IFERROR(INDEX(회사별_교통수단매핑!$C$2:$C$1000,MATCH(1,INDEX(($C$15=회사별_교통수단매핑!$A$2:$A$1000)*($Y80=회사별_교통수단매핑!$B$2:$B$1000),0),0)),"")</f>
        <v/>
      </c>
      <c r="I80">
        <f>IF(SUM(J80:U80)=0,"",SUM(J80:U80))</f>
        <v/>
      </c>
      <c r="Y80" s="58" t="n"/>
    </row>
    <row r="81">
      <c r="D81">
        <f>IFERROR(INDEX(회사별_교통수단매핑!$C$2:$C$1000,MATCH(1,INDEX(($C$15=회사별_교통수단매핑!$A$2:$A$1000)*($Y81=회사별_교통수단매핑!$B$2:$B$1000),0),0)),"")</f>
        <v/>
      </c>
      <c r="I81">
        <f>IF(SUM(J81:U81)=0,"",SUM(J81:U81))</f>
        <v/>
      </c>
      <c r="Y81" s="58" t="n"/>
    </row>
    <row r="82">
      <c r="D82">
        <f>IFERROR(INDEX(회사별_교통수단매핑!$C$2:$C$1000,MATCH(1,INDEX(($C$15=회사별_교통수단매핑!$A$2:$A$1000)*($Y82=회사별_교통수단매핑!$B$2:$B$1000),0),0)),"")</f>
        <v/>
      </c>
      <c r="I82">
        <f>IF(SUM(J82:U82)=0,"",SUM(J82:U82))</f>
        <v/>
      </c>
      <c r="Y82" s="58" t="n"/>
    </row>
    <row r="83">
      <c r="D83">
        <f>IFERROR(INDEX(회사별_교통수단매핑!$C$2:$C$1000,MATCH(1,INDEX(($C$15=회사별_교통수단매핑!$A$2:$A$1000)*($Y83=회사별_교통수단매핑!$B$2:$B$1000),0),0)),"")</f>
        <v/>
      </c>
      <c r="I83">
        <f>IF(SUM(J83:U83)=0,"",SUM(J83:U83))</f>
        <v/>
      </c>
      <c r="Y83" s="58" t="n"/>
    </row>
    <row r="84">
      <c r="D84">
        <f>IFERROR(INDEX(회사별_교통수단매핑!$C$2:$C$1000,MATCH(1,INDEX(($C$15=회사별_교통수단매핑!$A$2:$A$1000)*($Y84=회사별_교통수단매핑!$B$2:$B$1000),0),0)),"")</f>
        <v/>
      </c>
      <c r="I84">
        <f>IF(SUM(J84:U84)=0,"",SUM(J84:U84))</f>
        <v/>
      </c>
      <c r="Y84" s="58" t="n"/>
    </row>
    <row r="85">
      <c r="D85">
        <f>IFERROR(INDEX(회사별_교통수단매핑!$C$2:$C$1000,MATCH(1,INDEX(($C$15=회사별_교통수단매핑!$A$2:$A$1000)*($Y85=회사별_교통수단매핑!$B$2:$B$1000),0),0)),"")</f>
        <v/>
      </c>
      <c r="I85">
        <f>IF(SUM(J85:U85)=0,"",SUM(J85:U85))</f>
        <v/>
      </c>
      <c r="Y85" s="58" t="n"/>
    </row>
    <row r="86">
      <c r="D86">
        <f>IFERROR(INDEX(회사별_교통수단매핑!$C$2:$C$1000,MATCH(1,INDEX(($C$15=회사별_교통수단매핑!$A$2:$A$1000)*($Y86=회사별_교통수단매핑!$B$2:$B$1000),0),0)),"")</f>
        <v/>
      </c>
      <c r="I86">
        <f>IF(SUM(J86:U86)=0,"",SUM(J86:U86))</f>
        <v/>
      </c>
      <c r="Y86" s="58" t="n"/>
    </row>
    <row r="87">
      <c r="D87">
        <f>IFERROR(INDEX(회사별_교통수단매핑!$C$2:$C$1000,MATCH(1,INDEX(($C$15=회사별_교통수단매핑!$A$2:$A$1000)*($Y87=회사별_교통수단매핑!$B$2:$B$1000),0),0)),"")</f>
        <v/>
      </c>
      <c r="I87">
        <f>IF(SUM(J87:U87)=0,"",SUM(J87:U87))</f>
        <v/>
      </c>
      <c r="Y87" s="58" t="n"/>
    </row>
    <row r="88">
      <c r="D88">
        <f>IFERROR(INDEX(회사별_교통수단매핑!$C$2:$C$1000,MATCH(1,INDEX(($C$15=회사별_교통수단매핑!$A$2:$A$1000)*($Y88=회사별_교통수단매핑!$B$2:$B$1000),0),0)),"")</f>
        <v/>
      </c>
      <c r="I88">
        <f>IF(SUM(J88:U88)=0,"",SUM(J88:U88))</f>
        <v/>
      </c>
      <c r="Y88" s="58" t="n"/>
    </row>
    <row r="89">
      <c r="D89">
        <f>IFERROR(INDEX(회사별_교통수단매핑!$C$2:$C$1000,MATCH(1,INDEX(($C$15=회사별_교통수단매핑!$A$2:$A$1000)*($Y89=회사별_교통수단매핑!$B$2:$B$1000),0),0)),"")</f>
        <v/>
      </c>
      <c r="I89">
        <f>IF(SUM(J89:U89)=0,"",SUM(J89:U89))</f>
        <v/>
      </c>
      <c r="Y89" s="58" t="n"/>
    </row>
    <row r="90">
      <c r="D90">
        <f>IFERROR(INDEX(회사별_교통수단매핑!$C$2:$C$1000,MATCH(1,INDEX(($C$15=회사별_교통수단매핑!$A$2:$A$1000)*($Y90=회사별_교통수단매핑!$B$2:$B$1000),0),0)),"")</f>
        <v/>
      </c>
      <c r="I90">
        <f>IF(SUM(J90:U90)=0,"",SUM(J90:U90))</f>
        <v/>
      </c>
      <c r="Y90" s="58" t="n"/>
    </row>
    <row r="91">
      <c r="D91">
        <f>IFERROR(INDEX(회사별_교통수단매핑!$C$2:$C$1000,MATCH(1,INDEX(($C$15=회사별_교통수단매핑!$A$2:$A$1000)*($Y91=회사별_교통수단매핑!$B$2:$B$1000),0),0)),"")</f>
        <v/>
      </c>
      <c r="I91">
        <f>IF(SUM(J91:U91)=0,"",SUM(J91:U91))</f>
        <v/>
      </c>
      <c r="Y91" s="58" t="n"/>
    </row>
    <row r="92">
      <c r="D92">
        <f>IFERROR(INDEX(회사별_교통수단매핑!$C$2:$C$1000,MATCH(1,INDEX(($C$15=회사별_교통수단매핑!$A$2:$A$1000)*($Y92=회사별_교통수단매핑!$B$2:$B$1000),0),0)),"")</f>
        <v/>
      </c>
      <c r="I92">
        <f>IF(SUM(J92:U92)=0,"",SUM(J92:U92))</f>
        <v/>
      </c>
      <c r="Y92" s="58" t="n"/>
    </row>
    <row r="93">
      <c r="D93">
        <f>IFERROR(INDEX(회사별_교통수단매핑!$C$2:$C$1000,MATCH(1,INDEX(($C$15=회사별_교통수단매핑!$A$2:$A$1000)*($Y93=회사별_교통수단매핑!$B$2:$B$1000),0),0)),"")</f>
        <v/>
      </c>
      <c r="I93">
        <f>IF(SUM(J93:U93)=0,"",SUM(J93:U93))</f>
        <v/>
      </c>
      <c r="Y93" s="58" t="n"/>
    </row>
    <row r="94">
      <c r="D94">
        <f>IFERROR(INDEX(회사별_교통수단매핑!$C$2:$C$1000,MATCH(1,INDEX(($C$15=회사별_교통수단매핑!$A$2:$A$1000)*($Y94=회사별_교통수단매핑!$B$2:$B$1000),0),0)),"")</f>
        <v/>
      </c>
      <c r="I94">
        <f>IF(SUM(J94:U94)=0,"",SUM(J94:U94))</f>
        <v/>
      </c>
      <c r="Y94" s="58" t="n"/>
    </row>
    <row r="95">
      <c r="D95">
        <f>IFERROR(INDEX(회사별_교통수단매핑!$C$2:$C$1000,MATCH(1,INDEX(($C$15=회사별_교통수단매핑!$A$2:$A$1000)*($Y95=회사별_교통수단매핑!$B$2:$B$1000),0),0)),"")</f>
        <v/>
      </c>
      <c r="I95">
        <f>IF(SUM(J95:U95)=0,"",SUM(J95:U95))</f>
        <v/>
      </c>
      <c r="Y95" s="58" t="n"/>
    </row>
    <row r="96">
      <c r="D96">
        <f>IFERROR(INDEX(회사별_교통수단매핑!$C$2:$C$1000,MATCH(1,INDEX(($C$15=회사별_교통수단매핑!$A$2:$A$1000)*($Y96=회사별_교통수단매핑!$B$2:$B$1000),0),0)),"")</f>
        <v/>
      </c>
      <c r="I96">
        <f>IF(SUM(J96:U96)=0,"",SUM(J96:U96))</f>
        <v/>
      </c>
      <c r="Y96" s="58" t="n"/>
    </row>
    <row r="97">
      <c r="D97">
        <f>IFERROR(INDEX(회사별_교통수단매핑!$C$2:$C$1000,MATCH(1,INDEX(($C$15=회사별_교통수단매핑!$A$2:$A$1000)*($Y97=회사별_교통수단매핑!$B$2:$B$1000),0),0)),"")</f>
        <v/>
      </c>
      <c r="I97">
        <f>IF(SUM(J97:U97)=0,"",SUM(J97:U97))</f>
        <v/>
      </c>
      <c r="Y97" s="58" t="n"/>
    </row>
    <row r="98">
      <c r="D98">
        <f>IFERROR(INDEX(회사별_교통수단매핑!$C$2:$C$1000,MATCH(1,INDEX(($C$15=회사별_교통수단매핑!$A$2:$A$1000)*($Y98=회사별_교통수단매핑!$B$2:$B$1000),0),0)),"")</f>
        <v/>
      </c>
      <c r="I98">
        <f>IF(SUM(J98:U98)=0,"",SUM(J98:U98))</f>
        <v/>
      </c>
      <c r="Y98" s="58" t="n"/>
    </row>
    <row r="99">
      <c r="D99">
        <f>IFERROR(INDEX(회사별_교통수단매핑!$C$2:$C$1000,MATCH(1,INDEX(($C$15=회사별_교통수단매핑!$A$2:$A$1000)*($Y99=회사별_교통수단매핑!$B$2:$B$1000),0),0)),"")</f>
        <v/>
      </c>
      <c r="I99">
        <f>IF(SUM(J99:U99)=0,"",SUM(J99:U99))</f>
        <v/>
      </c>
      <c r="Y99" s="58" t="n"/>
    </row>
    <row r="100">
      <c r="D100">
        <f>IFERROR(INDEX(회사별_교통수단매핑!$C$2:$C$1000,MATCH(1,INDEX(($C$15=회사별_교통수단매핑!$A$2:$A$1000)*($Y100=회사별_교통수단매핑!$B$2:$B$1000),0),0)),"")</f>
        <v/>
      </c>
      <c r="I100">
        <f>IF(SUM(J100:U100)=0,"",SUM(J100:U100))</f>
        <v/>
      </c>
      <c r="Y100" s="58" t="n"/>
    </row>
    <row r="101">
      <c r="D101">
        <f>IFERROR(INDEX(회사별_교통수단매핑!$C$2:$C$1000,MATCH(1,INDEX(($C$15=회사별_교통수단매핑!$A$2:$A$1000)*($Y101=회사별_교통수단매핑!$B$2:$B$1000),0),0)),"")</f>
        <v/>
      </c>
      <c r="I101">
        <f>IF(SUM(J101:U101)=0,"",SUM(J101:U101))</f>
        <v/>
      </c>
      <c r="Y101" s="58" t="n"/>
    </row>
    <row r="102">
      <c r="D102">
        <f>IFERROR(INDEX(회사별_교통수단매핑!$C$2:$C$1000,MATCH(1,INDEX(($C$15=회사별_교통수단매핑!$A$2:$A$1000)*($Y102=회사별_교통수단매핑!$B$2:$B$1000),0),0)),"")</f>
        <v/>
      </c>
      <c r="I102">
        <f>IF(SUM(J102:U102)=0,"",SUM(J102:U102))</f>
        <v/>
      </c>
      <c r="Y102" s="58" t="n"/>
    </row>
    <row r="103">
      <c r="D103">
        <f>IFERROR(INDEX(회사별_교통수단매핑!$C$2:$C$1000,MATCH(1,INDEX(($C$15=회사별_교통수단매핑!$A$2:$A$1000)*($Y103=회사별_교통수단매핑!$B$2:$B$1000),0),0)),"")</f>
        <v/>
      </c>
      <c r="I103">
        <f>IF(SUM(J103:U103)=0,"",SUM(J103:U103))</f>
        <v/>
      </c>
      <c r="Y103" s="58" t="n"/>
    </row>
    <row r="104">
      <c r="D104">
        <f>IFERROR(INDEX(회사별_교통수단매핑!$C$2:$C$1000,MATCH(1,INDEX(($C$15=회사별_교통수단매핑!$A$2:$A$1000)*($Y104=회사별_교통수단매핑!$B$2:$B$1000),0),0)),"")</f>
        <v/>
      </c>
      <c r="I104">
        <f>IF(SUM(J104:U104)=0,"",SUM(J104:U104))</f>
        <v/>
      </c>
      <c r="Y104" s="58" t="n"/>
    </row>
    <row r="105">
      <c r="D105">
        <f>IFERROR(INDEX(회사별_교통수단매핑!$C$2:$C$1000,MATCH(1,INDEX(($C$15=회사별_교통수단매핑!$A$2:$A$1000)*($Y105=회사별_교통수단매핑!$B$2:$B$1000),0),0)),"")</f>
        <v/>
      </c>
      <c r="I105">
        <f>IF(SUM(J105:U105)=0,"",SUM(J105:U105))</f>
        <v/>
      </c>
      <c r="Y105" s="58" t="n"/>
    </row>
    <row r="106">
      <c r="D106">
        <f>IFERROR(INDEX(회사별_교통수단매핑!$C$2:$C$1000,MATCH(1,INDEX(($C$15=회사별_교통수단매핑!$A$2:$A$1000)*($Y106=회사별_교통수단매핑!$B$2:$B$1000),0),0)),"")</f>
        <v/>
      </c>
      <c r="I106">
        <f>IF(SUM(J106:U106)=0,"",SUM(J106:U106))</f>
        <v/>
      </c>
      <c r="Y106" s="58" t="n"/>
    </row>
    <row r="107">
      <c r="D107">
        <f>IFERROR(INDEX(회사별_교통수단매핑!$C$2:$C$1000,MATCH(1,INDEX(($C$15=회사별_교통수단매핑!$A$2:$A$1000)*($Y107=회사별_교통수단매핑!$B$2:$B$1000),0),0)),"")</f>
        <v/>
      </c>
      <c r="I107">
        <f>IF(SUM(J107:U107)=0,"",SUM(J107:U107))</f>
        <v/>
      </c>
      <c r="Y107" s="58" t="n"/>
    </row>
    <row r="108">
      <c r="D108">
        <f>IFERROR(INDEX(회사별_교통수단매핑!$C$2:$C$1000,MATCH(1,INDEX(($C$15=회사별_교통수단매핑!$A$2:$A$1000)*($Y108=회사별_교통수단매핑!$B$2:$B$1000),0),0)),"")</f>
        <v/>
      </c>
      <c r="I108">
        <f>IF(SUM(J108:U108)=0,"",SUM(J108:U108))</f>
        <v/>
      </c>
      <c r="Y108" s="58" t="n"/>
    </row>
    <row r="109">
      <c r="D109">
        <f>IFERROR(INDEX(회사별_교통수단매핑!$C$2:$C$1000,MATCH(1,INDEX(($C$15=회사별_교통수단매핑!$A$2:$A$1000)*($Y109=회사별_교통수단매핑!$B$2:$B$1000),0),0)),"")</f>
        <v/>
      </c>
      <c r="I109">
        <f>IF(SUM(J109:U109)=0,"",SUM(J109:U109))</f>
        <v/>
      </c>
      <c r="Y109" s="58" t="n"/>
    </row>
    <row r="110">
      <c r="D110">
        <f>IFERROR(INDEX(회사별_교통수단매핑!$C$2:$C$1000,MATCH(1,INDEX(($C$15=회사별_교통수단매핑!$A$2:$A$1000)*($Y110=회사별_교통수단매핑!$B$2:$B$1000),0),0)),"")</f>
        <v/>
      </c>
      <c r="I110">
        <f>IF(SUM(J110:U110)=0,"",SUM(J110:U110))</f>
        <v/>
      </c>
      <c r="Y110" s="58" t="n"/>
    </row>
    <row r="111">
      <c r="D111">
        <f>IFERROR(INDEX(회사별_교통수단매핑!$C$2:$C$1000,MATCH(1,INDEX(($C$15=회사별_교통수단매핑!$A$2:$A$1000)*($Y111=회사별_교통수단매핑!$B$2:$B$1000),0),0)),"")</f>
        <v/>
      </c>
      <c r="I111">
        <f>IF(SUM(J111:U111)=0,"",SUM(J111:U111))</f>
        <v/>
      </c>
      <c r="Y111" s="58" t="n"/>
    </row>
    <row r="112">
      <c r="D112">
        <f>IFERROR(INDEX(회사별_교통수단매핑!$C$2:$C$1000,MATCH(1,INDEX(($C$15=회사별_교통수단매핑!$A$2:$A$1000)*($Y112=회사별_교통수단매핑!$B$2:$B$1000),0),0)),"")</f>
        <v/>
      </c>
      <c r="I112">
        <f>IF(SUM(J112:U112)=0,"",SUM(J112:U112))</f>
        <v/>
      </c>
      <c r="Y112" s="58" t="n"/>
    </row>
    <row r="113">
      <c r="D113">
        <f>IFERROR(INDEX(회사별_교통수단매핑!$C$2:$C$1000,MATCH(1,INDEX(($C$15=회사별_교통수단매핑!$A$2:$A$1000)*($Y113=회사별_교통수단매핑!$B$2:$B$1000),0),0)),"")</f>
        <v/>
      </c>
      <c r="I113">
        <f>IF(SUM(J113:U113)=0,"",SUM(J113:U113))</f>
        <v/>
      </c>
      <c r="Y113" s="58" t="n"/>
    </row>
    <row r="114">
      <c r="D114">
        <f>IFERROR(INDEX(회사별_교통수단매핑!$C$2:$C$1000,MATCH(1,INDEX(($C$15=회사별_교통수단매핑!$A$2:$A$1000)*($Y114=회사별_교통수단매핑!$B$2:$B$1000),0),0)),"")</f>
        <v/>
      </c>
      <c r="I114">
        <f>IF(SUM(J114:U114)=0,"",SUM(J114:U114))</f>
        <v/>
      </c>
      <c r="Y114" s="58" t="n"/>
    </row>
    <row r="115">
      <c r="D115">
        <f>IFERROR(INDEX(회사별_교통수단매핑!$C$2:$C$1000,MATCH(1,INDEX(($C$15=회사별_교통수단매핑!$A$2:$A$1000)*($Y115=회사별_교통수단매핑!$B$2:$B$1000),0),0)),"")</f>
        <v/>
      </c>
      <c r="I115">
        <f>IF(SUM(J115:U115)=0,"",SUM(J115:U115))</f>
        <v/>
      </c>
      <c r="Y115" s="58" t="n"/>
    </row>
    <row r="116">
      <c r="D116">
        <f>IFERROR(INDEX(회사별_교통수단매핑!$C$2:$C$1000,MATCH(1,INDEX(($C$15=회사별_교통수단매핑!$A$2:$A$1000)*($Y116=회사별_교통수단매핑!$B$2:$B$1000),0),0)),"")</f>
        <v/>
      </c>
      <c r="I116">
        <f>IF(SUM(J116:U116)=0,"",SUM(J116:U116))</f>
        <v/>
      </c>
      <c r="Y116" s="58" t="n"/>
    </row>
    <row r="117">
      <c r="D117">
        <f>IFERROR(INDEX(회사별_교통수단매핑!$C$2:$C$1000,MATCH(1,INDEX(($C$15=회사별_교통수단매핑!$A$2:$A$1000)*($Y117=회사별_교통수단매핑!$B$2:$B$1000),0),0)),"")</f>
        <v/>
      </c>
      <c r="I117">
        <f>IF(SUM(J117:U117)=0,"",SUM(J117:U117))</f>
        <v/>
      </c>
      <c r="Y117" s="58" t="n"/>
    </row>
    <row r="118">
      <c r="D118">
        <f>IFERROR(INDEX(회사별_교통수단매핑!$C$2:$C$1000,MATCH(1,INDEX(($C$15=회사별_교통수단매핑!$A$2:$A$1000)*($Y118=회사별_교통수단매핑!$B$2:$B$1000),0),0)),"")</f>
        <v/>
      </c>
      <c r="I118">
        <f>IF(SUM(J118:U118)=0,"",SUM(J118:U118))</f>
        <v/>
      </c>
      <c r="Y118" s="58" t="n"/>
    </row>
    <row r="119">
      <c r="D119">
        <f>IFERROR(INDEX(회사별_교통수단매핑!$C$2:$C$1000,MATCH(1,INDEX(($C$15=회사별_교통수단매핑!$A$2:$A$1000)*($Y119=회사별_교통수단매핑!$B$2:$B$1000),0),0)),"")</f>
        <v/>
      </c>
      <c r="I119">
        <f>IF(SUM(J119:U119)=0,"",SUM(J119:U119))</f>
        <v/>
      </c>
      <c r="Y119" s="58" t="n"/>
    </row>
    <row r="120">
      <c r="D120">
        <f>IFERROR(INDEX(회사별_교통수단매핑!$C$2:$C$1000,MATCH(1,INDEX(($C$15=회사별_교통수단매핑!$A$2:$A$1000)*($Y120=회사별_교통수단매핑!$B$2:$B$1000),0),0)),"")</f>
        <v/>
      </c>
      <c r="I120">
        <f>IF(SUM(J120:U120)=0,"",SUM(J120:U120))</f>
        <v/>
      </c>
      <c r="Y120" s="58" t="n"/>
    </row>
    <row r="121">
      <c r="D121">
        <f>IFERROR(INDEX(회사별_교통수단매핑!$C$2:$C$1000,MATCH(1,INDEX(($C$15=회사별_교통수단매핑!$A$2:$A$1000)*($Y121=회사별_교통수단매핑!$B$2:$B$1000),0),0)),"")</f>
        <v/>
      </c>
      <c r="I121">
        <f>IF(SUM(J121:U121)=0,"",SUM(J121:U121))</f>
        <v/>
      </c>
      <c r="Y121" s="58" t="n"/>
    </row>
    <row r="122">
      <c r="D122">
        <f>IFERROR(INDEX(회사별_교통수단매핑!$C$2:$C$1000,MATCH(1,INDEX(($C$15=회사별_교통수단매핑!$A$2:$A$1000)*($Y122=회사별_교통수단매핑!$B$2:$B$1000),0),0)),"")</f>
        <v/>
      </c>
      <c r="I122">
        <f>IF(SUM(J122:U122)=0,"",SUM(J122:U122))</f>
        <v/>
      </c>
      <c r="Y122" s="58" t="n"/>
    </row>
    <row r="123">
      <c r="D123">
        <f>IFERROR(INDEX(회사별_교통수단매핑!$C$2:$C$1000,MATCH(1,INDEX(($C$15=회사별_교통수단매핑!$A$2:$A$1000)*($Y123=회사별_교통수단매핑!$B$2:$B$1000),0),0)),"")</f>
        <v/>
      </c>
      <c r="I123">
        <f>IF(SUM(J123:U123)=0,"",SUM(J123:U123))</f>
        <v/>
      </c>
      <c r="Y123" s="58" t="n"/>
    </row>
    <row r="124">
      <c r="D124">
        <f>IFERROR(INDEX(회사별_교통수단매핑!$C$2:$C$1000,MATCH(1,INDEX(($C$15=회사별_교통수단매핑!$A$2:$A$1000)*($Y124=회사별_교통수단매핑!$B$2:$B$1000),0),0)),"")</f>
        <v/>
      </c>
      <c r="I124">
        <f>IF(SUM(J124:U124)=0,"",SUM(J124:U124))</f>
        <v/>
      </c>
      <c r="Y124" s="58" t="n"/>
    </row>
    <row r="125">
      <c r="D125">
        <f>IFERROR(INDEX(회사별_교통수단매핑!$C$2:$C$1000,MATCH(1,INDEX(($C$15=회사별_교통수단매핑!$A$2:$A$1000)*($Y125=회사별_교통수단매핑!$B$2:$B$1000),0),0)),"")</f>
        <v/>
      </c>
      <c r="I125">
        <f>IF(SUM(J125:U125)=0,"",SUM(J125:U125))</f>
        <v/>
      </c>
      <c r="Y125" s="58" t="n"/>
    </row>
    <row r="126">
      <c r="D126">
        <f>IFERROR(INDEX(회사별_교통수단매핑!$C$2:$C$1000,MATCH(1,INDEX(($C$15=회사별_교통수단매핑!$A$2:$A$1000)*($Y126=회사별_교통수단매핑!$B$2:$B$1000),0),0)),"")</f>
        <v/>
      </c>
      <c r="I126">
        <f>IF(SUM(J126:U126)=0,"",SUM(J126:U126))</f>
        <v/>
      </c>
      <c r="Y126" s="58" t="n"/>
    </row>
    <row r="127">
      <c r="D127">
        <f>IFERROR(INDEX(회사별_교통수단매핑!$C$2:$C$1000,MATCH(1,INDEX(($C$15=회사별_교통수단매핑!$A$2:$A$1000)*($Y127=회사별_교통수단매핑!$B$2:$B$1000),0),0)),"")</f>
        <v/>
      </c>
      <c r="I127">
        <f>IF(SUM(J127:U127)=0,"",SUM(J127:U127))</f>
        <v/>
      </c>
      <c r="Y127" s="58" t="n"/>
    </row>
    <row r="128">
      <c r="D128">
        <f>IFERROR(INDEX(회사별_교통수단매핑!$C$2:$C$1000,MATCH(1,INDEX(($C$15=회사별_교통수단매핑!$A$2:$A$1000)*($Y128=회사별_교통수단매핑!$B$2:$B$1000),0),0)),"")</f>
        <v/>
      </c>
      <c r="I128">
        <f>IF(SUM(J128:U128)=0,"",SUM(J128:U128))</f>
        <v/>
      </c>
      <c r="Y128" s="58" t="n"/>
    </row>
    <row r="129">
      <c r="D129">
        <f>IFERROR(INDEX(회사별_교통수단매핑!$C$2:$C$1000,MATCH(1,INDEX(($C$15=회사별_교통수단매핑!$A$2:$A$1000)*($Y129=회사별_교통수단매핑!$B$2:$B$1000),0),0)),"")</f>
        <v/>
      </c>
      <c r="I129">
        <f>IF(SUM(J129:U129)=0,"",SUM(J129:U129))</f>
        <v/>
      </c>
      <c r="Y129" s="58" t="n"/>
    </row>
    <row r="130">
      <c r="D130">
        <f>IFERROR(INDEX(회사별_교통수단매핑!$C$2:$C$1000,MATCH(1,INDEX(($C$15=회사별_교통수단매핑!$A$2:$A$1000)*($Y130=회사별_교통수단매핑!$B$2:$B$1000),0),0)),"")</f>
        <v/>
      </c>
      <c r="I130">
        <f>IF(SUM(J130:U130)=0,"",SUM(J130:U130))</f>
        <v/>
      </c>
      <c r="Y130" s="58" t="n"/>
    </row>
    <row r="131">
      <c r="D131">
        <f>IFERROR(INDEX(회사별_교통수단매핑!$C$2:$C$1000,MATCH(1,INDEX(($C$15=회사별_교통수단매핑!$A$2:$A$1000)*($Y131=회사별_교통수단매핑!$B$2:$B$1000),0),0)),"")</f>
        <v/>
      </c>
      <c r="I131">
        <f>IF(SUM(J131:U131)=0,"",SUM(J131:U131))</f>
        <v/>
      </c>
      <c r="Y131" s="58" t="n"/>
    </row>
    <row r="132">
      <c r="D132">
        <f>IFERROR(INDEX(회사별_교통수단매핑!$C$2:$C$1000,MATCH(1,INDEX(($C$15=회사별_교통수단매핑!$A$2:$A$1000)*($Y132=회사별_교통수단매핑!$B$2:$B$1000),0),0)),"")</f>
        <v/>
      </c>
      <c r="I132">
        <f>IF(SUM(J132:U132)=0,"",SUM(J132:U132))</f>
        <v/>
      </c>
      <c r="Y132" s="58" t="n"/>
    </row>
    <row r="133">
      <c r="D133">
        <f>IFERROR(INDEX(회사별_교통수단매핑!$C$2:$C$1000,MATCH(1,INDEX(($C$15=회사별_교통수단매핑!$A$2:$A$1000)*($Y133=회사별_교통수단매핑!$B$2:$B$1000),0),0)),"")</f>
        <v/>
      </c>
      <c r="I133">
        <f>IF(SUM(J133:U133)=0,"",SUM(J133:U133))</f>
        <v/>
      </c>
      <c r="Y133" s="58" t="n"/>
    </row>
    <row r="134">
      <c r="D134">
        <f>IFERROR(INDEX(회사별_교통수단매핑!$C$2:$C$1000,MATCH(1,INDEX(($C$15=회사별_교통수단매핑!$A$2:$A$1000)*($Y134=회사별_교통수단매핑!$B$2:$B$1000),0),0)),"")</f>
        <v/>
      </c>
      <c r="I134">
        <f>IF(SUM(J134:U134)=0,"",SUM(J134:U134))</f>
        <v/>
      </c>
      <c r="Y134" s="58" t="n"/>
    </row>
    <row r="135">
      <c r="D135">
        <f>IFERROR(INDEX(회사별_교통수단매핑!$C$2:$C$1000,MATCH(1,INDEX(($C$15=회사별_교통수단매핑!$A$2:$A$1000)*($Y135=회사별_교통수단매핑!$B$2:$B$1000),0),0)),"")</f>
        <v/>
      </c>
      <c r="I135">
        <f>IF(SUM(J135:U135)=0,"",SUM(J135:U135))</f>
        <v/>
      </c>
      <c r="Y135" s="58" t="n"/>
    </row>
    <row r="136">
      <c r="D136">
        <f>IFERROR(INDEX(회사별_교통수단매핑!$C$2:$C$1000,MATCH(1,INDEX(($C$15=회사별_교통수단매핑!$A$2:$A$1000)*($Y136=회사별_교통수단매핑!$B$2:$B$1000),0),0)),"")</f>
        <v/>
      </c>
      <c r="I136">
        <f>IF(SUM(J136:U136)=0,"",SUM(J136:U136))</f>
        <v/>
      </c>
      <c r="Y136" s="58" t="n"/>
    </row>
    <row r="137">
      <c r="D137">
        <f>IFERROR(INDEX(회사별_교통수단매핑!$C$2:$C$1000,MATCH(1,INDEX(($C$15=회사별_교통수단매핑!$A$2:$A$1000)*($Y137=회사별_교통수단매핑!$B$2:$B$1000),0),0)),"")</f>
        <v/>
      </c>
      <c r="I137">
        <f>IF(SUM(J137:U137)=0,"",SUM(J137:U137))</f>
        <v/>
      </c>
      <c r="Y137" s="58" t="n"/>
    </row>
    <row r="138">
      <c r="D138">
        <f>IFERROR(INDEX(회사별_교통수단매핑!$C$2:$C$1000,MATCH(1,INDEX(($C$15=회사별_교통수단매핑!$A$2:$A$1000)*($Y138=회사별_교통수단매핑!$B$2:$B$1000),0),0)),"")</f>
        <v/>
      </c>
      <c r="I138">
        <f>IF(SUM(J138:U138)=0,"",SUM(J138:U138))</f>
        <v/>
      </c>
      <c r="Y138" s="58" t="n"/>
    </row>
    <row r="139">
      <c r="D139">
        <f>IFERROR(INDEX(회사별_교통수단매핑!$C$2:$C$1000,MATCH(1,INDEX(($C$15=회사별_교통수단매핑!$A$2:$A$1000)*($Y139=회사별_교통수단매핑!$B$2:$B$1000),0),0)),"")</f>
        <v/>
      </c>
      <c r="I139">
        <f>IF(SUM(J139:U139)=0,"",SUM(J139:U139))</f>
        <v/>
      </c>
      <c r="Y139" s="58" t="n"/>
    </row>
    <row r="140">
      <c r="D140">
        <f>IFERROR(INDEX(회사별_교통수단매핑!$C$2:$C$1000,MATCH(1,INDEX(($C$15=회사별_교통수단매핑!$A$2:$A$1000)*($Y140=회사별_교통수단매핑!$B$2:$B$1000),0),0)),"")</f>
        <v/>
      </c>
      <c r="I140">
        <f>IF(SUM(J140:U140)=0,"",SUM(J140:U140))</f>
        <v/>
      </c>
      <c r="Y140" s="58" t="n"/>
    </row>
    <row r="141">
      <c r="D141">
        <f>IFERROR(INDEX(회사별_교통수단매핑!$C$2:$C$1000,MATCH(1,INDEX(($C$15=회사별_교통수단매핑!$A$2:$A$1000)*($Y141=회사별_교통수단매핑!$B$2:$B$1000),0),0)),"")</f>
        <v/>
      </c>
      <c r="I141">
        <f>IF(SUM(J141:U141)=0,"",SUM(J141:U141))</f>
        <v/>
      </c>
      <c r="Y141" s="58" t="n"/>
    </row>
    <row r="142">
      <c r="D142">
        <f>IFERROR(INDEX(회사별_교통수단매핑!$C$2:$C$1000,MATCH(1,INDEX(($C$15=회사별_교통수단매핑!$A$2:$A$1000)*($Y142=회사별_교통수단매핑!$B$2:$B$1000),0),0)),"")</f>
        <v/>
      </c>
      <c r="I142">
        <f>IF(SUM(J142:U142)=0,"",SUM(J142:U142))</f>
        <v/>
      </c>
      <c r="Y142" s="58" t="n"/>
    </row>
    <row r="143">
      <c r="D143">
        <f>IFERROR(INDEX(회사별_교통수단매핑!$C$2:$C$1000,MATCH(1,INDEX(($C$15=회사별_교통수단매핑!$A$2:$A$1000)*($Y143=회사별_교통수단매핑!$B$2:$B$1000),0),0)),"")</f>
        <v/>
      </c>
      <c r="I143">
        <f>IF(SUM(J143:U143)=0,"",SUM(J143:U143))</f>
        <v/>
      </c>
      <c r="Y143" s="58" t="n"/>
    </row>
    <row r="144">
      <c r="D144">
        <f>IFERROR(INDEX(회사별_교통수단매핑!$C$2:$C$1000,MATCH(1,INDEX(($C$15=회사별_교통수단매핑!$A$2:$A$1000)*($Y144=회사별_교통수단매핑!$B$2:$B$1000),0),0)),"")</f>
        <v/>
      </c>
      <c r="I144">
        <f>IF(SUM(J144:U144)=0,"",SUM(J144:U144))</f>
        <v/>
      </c>
      <c r="Y144" s="58" t="n"/>
    </row>
    <row r="145">
      <c r="D145">
        <f>IFERROR(INDEX(회사별_교통수단매핑!$C$2:$C$1000,MATCH(1,INDEX(($C$15=회사별_교통수단매핑!$A$2:$A$1000)*($Y145=회사별_교통수단매핑!$B$2:$B$1000),0),0)),"")</f>
        <v/>
      </c>
      <c r="I145">
        <f>IF(SUM(J145:U145)=0,"",SUM(J145:U145))</f>
        <v/>
      </c>
      <c r="Y145" s="58" t="n"/>
    </row>
    <row r="146">
      <c r="D146">
        <f>IFERROR(INDEX(회사별_교통수단매핑!$C$2:$C$1000,MATCH(1,INDEX(($C$15=회사별_교통수단매핑!$A$2:$A$1000)*($Y146=회사별_교통수단매핑!$B$2:$B$1000),0),0)),"")</f>
        <v/>
      </c>
      <c r="I146">
        <f>IF(SUM(J146:U146)=0,"",SUM(J146:U146))</f>
        <v/>
      </c>
      <c r="Y146" s="58" t="n"/>
    </row>
    <row r="147">
      <c r="D147">
        <f>IFERROR(INDEX(회사별_교통수단매핑!$C$2:$C$1000,MATCH(1,INDEX(($C$15=회사별_교통수단매핑!$A$2:$A$1000)*($Y147=회사별_교통수단매핑!$B$2:$B$1000),0),0)),"")</f>
        <v/>
      </c>
      <c r="I147">
        <f>IF(SUM(J147:U147)=0,"",SUM(J147:U147))</f>
        <v/>
      </c>
      <c r="Y147" s="58" t="n"/>
    </row>
    <row r="148">
      <c r="D148">
        <f>IFERROR(INDEX(회사별_교통수단매핑!$C$2:$C$1000,MATCH(1,INDEX(($C$15=회사별_교통수단매핑!$A$2:$A$1000)*($Y148=회사별_교통수단매핑!$B$2:$B$1000),0),0)),"")</f>
        <v/>
      </c>
      <c r="I148">
        <f>IF(SUM(J148:U148)=0,"",SUM(J148:U148))</f>
        <v/>
      </c>
      <c r="Y148" s="58" t="n"/>
    </row>
    <row r="149">
      <c r="D149">
        <f>IFERROR(INDEX(회사별_교통수단매핑!$C$2:$C$1000,MATCH(1,INDEX(($C$15=회사별_교통수단매핑!$A$2:$A$1000)*($Y149=회사별_교통수단매핑!$B$2:$B$1000),0),0)),"")</f>
        <v/>
      </c>
      <c r="I149">
        <f>IF(SUM(J149:U149)=0,"",SUM(J149:U149))</f>
        <v/>
      </c>
      <c r="Y149" s="58" t="n"/>
    </row>
    <row r="150">
      <c r="D150">
        <f>IFERROR(INDEX(회사별_교통수단매핑!$C$2:$C$1000,MATCH(1,INDEX(($C$15=회사별_교통수단매핑!$A$2:$A$1000)*($Y150=회사별_교통수단매핑!$B$2:$B$1000),0),0)),"")</f>
        <v/>
      </c>
      <c r="I150">
        <f>IF(SUM(J150:U150)=0,"",SUM(J150:U150))</f>
        <v/>
      </c>
      <c r="Y150" s="58" t="n"/>
    </row>
    <row r="151">
      <c r="D151">
        <f>IFERROR(INDEX(회사별_교통수단매핑!$C$2:$C$1000,MATCH(1,INDEX(($C$15=회사별_교통수단매핑!$A$2:$A$1000)*($Y151=회사별_교통수단매핑!$B$2:$B$1000),0),0)),"")</f>
        <v/>
      </c>
      <c r="I151">
        <f>IF(SUM(J151:U151)=0,"",SUM(J151:U151))</f>
        <v/>
      </c>
      <c r="Y151" s="58" t="n"/>
    </row>
    <row r="152">
      <c r="D152">
        <f>IFERROR(INDEX(회사별_교통수단매핑!$C$2:$C$1000,MATCH(1,INDEX(($C$15=회사별_교통수단매핑!$A$2:$A$1000)*($Y152=회사별_교통수단매핑!$B$2:$B$1000),0),0)),"")</f>
        <v/>
      </c>
      <c r="I152">
        <f>IF(SUM(J152:U152)=0,"",SUM(J152:U152))</f>
        <v/>
      </c>
      <c r="Y152" s="58" t="n"/>
    </row>
    <row r="153">
      <c r="D153">
        <f>IFERROR(INDEX(회사별_교통수단매핑!$C$2:$C$1000,MATCH(1,INDEX(($C$15=회사별_교통수단매핑!$A$2:$A$1000)*($Y153=회사별_교통수단매핑!$B$2:$B$1000),0),0)),"")</f>
        <v/>
      </c>
      <c r="I153">
        <f>IF(SUM(J153:U153)=0,"",SUM(J153:U153))</f>
        <v/>
      </c>
      <c r="Y153" s="58" t="n"/>
    </row>
    <row r="154">
      <c r="D154">
        <f>IFERROR(INDEX(회사별_교통수단매핑!$C$2:$C$1000,MATCH(1,INDEX(($C$15=회사별_교통수단매핑!$A$2:$A$1000)*($Y154=회사별_교통수단매핑!$B$2:$B$1000),0),0)),"")</f>
        <v/>
      </c>
      <c r="I154">
        <f>IF(SUM(J154:U154)=0,"",SUM(J154:U154))</f>
        <v/>
      </c>
      <c r="Y154" s="58" t="n"/>
    </row>
    <row r="155">
      <c r="D155">
        <f>IFERROR(INDEX(회사별_교통수단매핑!$C$2:$C$1000,MATCH(1,INDEX(($C$15=회사별_교통수단매핑!$A$2:$A$1000)*($Y155=회사별_교통수단매핑!$B$2:$B$1000),0),0)),"")</f>
        <v/>
      </c>
      <c r="I155">
        <f>IF(SUM(J155:U155)=0,"",SUM(J155:U155))</f>
        <v/>
      </c>
      <c r="Y155" s="58" t="n"/>
    </row>
    <row r="156">
      <c r="D156">
        <f>IFERROR(INDEX(회사별_교통수단매핑!$C$2:$C$1000,MATCH(1,INDEX(($C$15=회사별_교통수단매핑!$A$2:$A$1000)*($Y156=회사별_교통수단매핑!$B$2:$B$1000),0),0)),"")</f>
        <v/>
      </c>
      <c r="I156">
        <f>IF(SUM(J156:U156)=0,"",SUM(J156:U156))</f>
        <v/>
      </c>
      <c r="Y156" s="58" t="n"/>
    </row>
    <row r="157">
      <c r="D157">
        <f>IFERROR(INDEX(회사별_교통수단매핑!$C$2:$C$1000,MATCH(1,INDEX(($C$15=회사별_교통수단매핑!$A$2:$A$1000)*($Y157=회사별_교통수단매핑!$B$2:$B$1000),0),0)),"")</f>
        <v/>
      </c>
      <c r="I157">
        <f>IF(SUM(J157:U157)=0,"",SUM(J157:U157))</f>
        <v/>
      </c>
      <c r="Y157" s="58" t="n"/>
    </row>
    <row r="158">
      <c r="D158">
        <f>IFERROR(INDEX(회사별_교통수단매핑!$C$2:$C$1000,MATCH(1,INDEX(($C$15=회사별_교통수단매핑!$A$2:$A$1000)*($Y158=회사별_교통수단매핑!$B$2:$B$1000),0),0)),"")</f>
        <v/>
      </c>
      <c r="I158">
        <f>IF(SUM(J158:U158)=0,"",SUM(J158:U158))</f>
        <v/>
      </c>
      <c r="Y158" s="58" t="n"/>
    </row>
    <row r="159">
      <c r="D159">
        <f>IFERROR(INDEX(회사별_교통수단매핑!$C$2:$C$1000,MATCH(1,INDEX(($C$15=회사별_교통수단매핑!$A$2:$A$1000)*($Y159=회사별_교통수단매핑!$B$2:$B$1000),0),0)),"")</f>
        <v/>
      </c>
      <c r="I159">
        <f>IF(SUM(J159:U159)=0,"",SUM(J159:U159))</f>
        <v/>
      </c>
      <c r="Y159" s="58" t="n"/>
    </row>
    <row r="160">
      <c r="D160">
        <f>IFERROR(INDEX(회사별_교통수단매핑!$C$2:$C$1000,MATCH(1,INDEX(($C$15=회사별_교통수단매핑!$A$2:$A$1000)*($Y160=회사별_교통수단매핑!$B$2:$B$1000),0),0)),"")</f>
        <v/>
      </c>
      <c r="I160">
        <f>IF(SUM(J160:U160)=0,"",SUM(J160:U160))</f>
        <v/>
      </c>
      <c r="Y160" s="58" t="n"/>
    </row>
    <row r="161">
      <c r="D161">
        <f>IFERROR(INDEX(회사별_교통수단매핑!$C$2:$C$1000,MATCH(1,INDEX(($C$15=회사별_교통수단매핑!$A$2:$A$1000)*($Y161=회사별_교통수단매핑!$B$2:$B$1000),0),0)),"")</f>
        <v/>
      </c>
      <c r="I161">
        <f>IF(SUM(J161:U161)=0,"",SUM(J161:U161))</f>
        <v/>
      </c>
      <c r="Y161" s="58" t="n"/>
    </row>
    <row r="162">
      <c r="D162">
        <f>IFERROR(INDEX(회사별_교통수단매핑!$C$2:$C$1000,MATCH(1,INDEX(($C$15=회사별_교통수단매핑!$A$2:$A$1000)*($Y162=회사별_교통수단매핑!$B$2:$B$1000),0),0)),"")</f>
        <v/>
      </c>
      <c r="I162">
        <f>IF(SUM(J162:U162)=0,"",SUM(J162:U162))</f>
        <v/>
      </c>
      <c r="Y162" s="58" t="n"/>
    </row>
    <row r="163">
      <c r="D163">
        <f>IFERROR(INDEX(회사별_교통수단매핑!$C$2:$C$1000,MATCH(1,INDEX(($C$15=회사별_교통수단매핑!$A$2:$A$1000)*($Y163=회사별_교통수단매핑!$B$2:$B$1000),0),0)),"")</f>
        <v/>
      </c>
      <c r="I163">
        <f>IF(SUM(J163:U163)=0,"",SUM(J163:U163))</f>
        <v/>
      </c>
      <c r="Y163" s="58" t="n"/>
    </row>
    <row r="164">
      <c r="D164">
        <f>IFERROR(INDEX(회사별_교통수단매핑!$C$2:$C$1000,MATCH(1,INDEX(($C$15=회사별_교통수단매핑!$A$2:$A$1000)*($Y164=회사별_교통수단매핑!$B$2:$B$1000),0),0)),"")</f>
        <v/>
      </c>
      <c r="I164">
        <f>IF(SUM(J164:U164)=0,"",SUM(J164:U164))</f>
        <v/>
      </c>
      <c r="Y164" s="58" t="n"/>
    </row>
    <row r="165">
      <c r="D165">
        <f>IFERROR(INDEX(회사별_교통수단매핑!$C$2:$C$1000,MATCH(1,INDEX(($C$15=회사별_교통수단매핑!$A$2:$A$1000)*($Y165=회사별_교통수단매핑!$B$2:$B$1000),0),0)),"")</f>
        <v/>
      </c>
      <c r="I165">
        <f>IF(SUM(J165:U165)=0,"",SUM(J165:U165))</f>
        <v/>
      </c>
      <c r="Y165" s="58" t="n"/>
    </row>
    <row r="166">
      <c r="D166">
        <f>IFERROR(INDEX(회사별_교통수단매핑!$C$2:$C$1000,MATCH(1,INDEX(($C$15=회사별_교통수단매핑!$A$2:$A$1000)*($Y166=회사별_교통수단매핑!$B$2:$B$1000),0),0)),"")</f>
        <v/>
      </c>
      <c r="I166">
        <f>IF(SUM(J166:U166)=0,"",SUM(J166:U166))</f>
        <v/>
      </c>
      <c r="Y166" s="58" t="n"/>
    </row>
    <row r="167">
      <c r="D167">
        <f>IFERROR(INDEX(회사별_교통수단매핑!$C$2:$C$1000,MATCH(1,INDEX(($C$15=회사별_교통수단매핑!$A$2:$A$1000)*($Y167=회사별_교통수단매핑!$B$2:$B$1000),0),0)),"")</f>
        <v/>
      </c>
      <c r="I167">
        <f>IF(SUM(J167:U167)=0,"",SUM(J167:U167))</f>
        <v/>
      </c>
      <c r="Y167" s="58" t="n"/>
    </row>
    <row r="168">
      <c r="D168">
        <f>IFERROR(INDEX(회사별_교통수단매핑!$C$2:$C$1000,MATCH(1,INDEX(($C$15=회사별_교통수단매핑!$A$2:$A$1000)*($Y168=회사별_교통수단매핑!$B$2:$B$1000),0),0)),"")</f>
        <v/>
      </c>
      <c r="I168">
        <f>IF(SUM(J168:U168)=0,"",SUM(J168:U168))</f>
        <v/>
      </c>
      <c r="Y168" s="58" t="n"/>
    </row>
    <row r="169">
      <c r="D169">
        <f>IFERROR(INDEX(회사별_교통수단매핑!$C$2:$C$1000,MATCH(1,INDEX(($C$15=회사별_교통수단매핑!$A$2:$A$1000)*($Y169=회사별_교통수단매핑!$B$2:$B$1000),0),0)),"")</f>
        <v/>
      </c>
      <c r="I169">
        <f>IF(SUM(J169:U169)=0,"",SUM(J169:U169))</f>
        <v/>
      </c>
      <c r="Y169" s="58" t="n"/>
    </row>
    <row r="170">
      <c r="D170">
        <f>IFERROR(INDEX(회사별_교통수단매핑!$C$2:$C$1000,MATCH(1,INDEX(($C$15=회사별_교통수단매핑!$A$2:$A$1000)*($Y170=회사별_교통수단매핑!$B$2:$B$1000),0),0)),"")</f>
        <v/>
      </c>
      <c r="I170">
        <f>IF(SUM(J170:U170)=0,"",SUM(J170:U170))</f>
        <v/>
      </c>
      <c r="Y170" s="58" t="n"/>
    </row>
    <row r="171">
      <c r="D171">
        <f>IFERROR(INDEX(회사별_교통수단매핑!$C$2:$C$1000,MATCH(1,INDEX(($C$15=회사별_교통수단매핑!$A$2:$A$1000)*($Y171=회사별_교통수단매핑!$B$2:$B$1000),0),0)),"")</f>
        <v/>
      </c>
      <c r="I171">
        <f>IF(SUM(J171:U171)=0,"",SUM(J171:U171))</f>
        <v/>
      </c>
      <c r="Y171" s="58" t="n"/>
    </row>
    <row r="172">
      <c r="D172">
        <f>IFERROR(INDEX(회사별_교통수단매핑!$C$2:$C$1000,MATCH(1,INDEX(($C$15=회사별_교통수단매핑!$A$2:$A$1000)*($Y172=회사별_교통수단매핑!$B$2:$B$1000),0),0)),"")</f>
        <v/>
      </c>
      <c r="I172">
        <f>IF(SUM(J172:U172)=0,"",SUM(J172:U172))</f>
        <v/>
      </c>
      <c r="Y172" s="58" t="n"/>
    </row>
    <row r="173">
      <c r="D173">
        <f>IFERROR(INDEX(회사별_교통수단매핑!$C$2:$C$1000,MATCH(1,INDEX(($C$15=회사별_교통수단매핑!$A$2:$A$1000)*($Y173=회사별_교통수단매핑!$B$2:$B$1000),0),0)),"")</f>
        <v/>
      </c>
      <c r="I173">
        <f>IF(SUM(J173:U173)=0,"",SUM(J173:U173))</f>
        <v/>
      </c>
      <c r="Y173" s="58" t="n"/>
    </row>
    <row r="174">
      <c r="D174">
        <f>IFERROR(INDEX(회사별_교통수단매핑!$C$2:$C$1000,MATCH(1,INDEX(($C$15=회사별_교통수단매핑!$A$2:$A$1000)*($Y174=회사별_교통수단매핑!$B$2:$B$1000),0),0)),"")</f>
        <v/>
      </c>
      <c r="I174">
        <f>IF(SUM(J174:U174)=0,"",SUM(J174:U174))</f>
        <v/>
      </c>
      <c r="Y174" s="58" t="n"/>
    </row>
    <row r="175">
      <c r="D175">
        <f>IFERROR(INDEX(회사별_교통수단매핑!$C$2:$C$1000,MATCH(1,INDEX(($C$15=회사별_교통수단매핑!$A$2:$A$1000)*($Y175=회사별_교통수단매핑!$B$2:$B$1000),0),0)),"")</f>
        <v/>
      </c>
      <c r="I175">
        <f>IF(SUM(J175:U175)=0,"",SUM(J175:U175))</f>
        <v/>
      </c>
      <c r="Y175" s="58" t="n"/>
    </row>
    <row r="176">
      <c r="D176">
        <f>IFERROR(INDEX(회사별_교통수단매핑!$C$2:$C$1000,MATCH(1,INDEX(($C$15=회사별_교통수단매핑!$A$2:$A$1000)*($Y176=회사별_교통수단매핑!$B$2:$B$1000),0),0)),"")</f>
        <v/>
      </c>
      <c r="I176">
        <f>IF(SUM(J176:U176)=0,"",SUM(J176:U176))</f>
        <v/>
      </c>
      <c r="Y176" s="58" t="n"/>
    </row>
    <row r="177">
      <c r="D177">
        <f>IFERROR(INDEX(회사별_교통수단매핑!$C$2:$C$1000,MATCH(1,INDEX(($C$15=회사별_교통수단매핑!$A$2:$A$1000)*($Y177=회사별_교통수단매핑!$B$2:$B$1000),0),0)),"")</f>
        <v/>
      </c>
      <c r="I177">
        <f>IF(SUM(J177:U177)=0,"",SUM(J177:U177))</f>
        <v/>
      </c>
      <c r="Y177" s="58" t="n"/>
    </row>
    <row r="178">
      <c r="D178">
        <f>IFERROR(INDEX(회사별_교통수단매핑!$C$2:$C$1000,MATCH(1,INDEX(($C$15=회사별_교통수단매핑!$A$2:$A$1000)*($Y178=회사별_교통수단매핑!$B$2:$B$1000),0),0)),"")</f>
        <v/>
      </c>
      <c r="I178">
        <f>IF(SUM(J178:U178)=0,"",SUM(J178:U178))</f>
        <v/>
      </c>
      <c r="Y178" s="58" t="n"/>
    </row>
    <row r="179">
      <c r="D179">
        <f>IFERROR(INDEX(회사별_교통수단매핑!$C$2:$C$1000,MATCH(1,INDEX(($C$15=회사별_교통수단매핑!$A$2:$A$1000)*($Y179=회사별_교통수단매핑!$B$2:$B$1000),0),0)),"")</f>
        <v/>
      </c>
      <c r="I179">
        <f>IF(SUM(J179:U179)=0,"",SUM(J179:U179))</f>
        <v/>
      </c>
      <c r="Y179" s="58" t="n"/>
    </row>
    <row r="180">
      <c r="D180">
        <f>IFERROR(INDEX(회사별_교통수단매핑!$C$2:$C$1000,MATCH(1,INDEX(($C$15=회사별_교통수단매핑!$A$2:$A$1000)*($Y180=회사별_교통수단매핑!$B$2:$B$1000),0),0)),"")</f>
        <v/>
      </c>
      <c r="I180">
        <f>IF(SUM(J180:U180)=0,"",SUM(J180:U180))</f>
        <v/>
      </c>
      <c r="Y180" s="58" t="n"/>
    </row>
    <row r="181">
      <c r="D181">
        <f>IFERROR(INDEX(회사별_교통수단매핑!$C$2:$C$1000,MATCH(1,INDEX(($C$15=회사별_교통수단매핑!$A$2:$A$1000)*($Y181=회사별_교통수단매핑!$B$2:$B$1000),0),0)),"")</f>
        <v/>
      </c>
      <c r="I181">
        <f>IF(SUM(J181:U181)=0,"",SUM(J181:U181))</f>
        <v/>
      </c>
      <c r="Y181" s="58" t="n"/>
    </row>
    <row r="182">
      <c r="D182">
        <f>IFERROR(INDEX(회사별_교통수단매핑!$C$2:$C$1000,MATCH(1,INDEX(($C$15=회사별_교통수단매핑!$A$2:$A$1000)*($Y182=회사별_교통수단매핑!$B$2:$B$1000),0),0)),"")</f>
        <v/>
      </c>
      <c r="I182">
        <f>IF(SUM(J182:U182)=0,"",SUM(J182:U182))</f>
        <v/>
      </c>
      <c r="Y182" s="58" t="n"/>
    </row>
    <row r="183">
      <c r="D183">
        <f>IFERROR(INDEX(회사별_교통수단매핑!$C$2:$C$1000,MATCH(1,INDEX(($C$15=회사별_교통수단매핑!$A$2:$A$1000)*($Y183=회사별_교통수단매핑!$B$2:$B$1000),0),0)),"")</f>
        <v/>
      </c>
      <c r="I183">
        <f>IF(SUM(J183:U183)=0,"",SUM(J183:U183))</f>
        <v/>
      </c>
      <c r="Y183" s="58" t="n"/>
    </row>
    <row r="184">
      <c r="D184">
        <f>IFERROR(INDEX(회사별_교통수단매핑!$C$2:$C$1000,MATCH(1,INDEX(($C$15=회사별_교통수단매핑!$A$2:$A$1000)*($Y184=회사별_교통수단매핑!$B$2:$B$1000),0),0)),"")</f>
        <v/>
      </c>
      <c r="I184">
        <f>IF(SUM(J184:U184)=0,"",SUM(J184:U184))</f>
        <v/>
      </c>
      <c r="Y184" s="58" t="n"/>
    </row>
    <row r="185">
      <c r="D185">
        <f>IFERROR(INDEX(회사별_교통수단매핑!$C$2:$C$1000,MATCH(1,INDEX(($C$15=회사별_교통수단매핑!$A$2:$A$1000)*($Y185=회사별_교통수단매핑!$B$2:$B$1000),0),0)),"")</f>
        <v/>
      </c>
      <c r="I185">
        <f>IF(SUM(J185:U185)=0,"",SUM(J185:U185))</f>
        <v/>
      </c>
      <c r="Y185" s="58" t="n"/>
    </row>
    <row r="186">
      <c r="D186">
        <f>IFERROR(INDEX(회사별_교통수단매핑!$C$2:$C$1000,MATCH(1,INDEX(($C$15=회사별_교통수단매핑!$A$2:$A$1000)*($Y186=회사별_교통수단매핑!$B$2:$B$1000),0),0)),"")</f>
        <v/>
      </c>
      <c r="I186">
        <f>IF(SUM(J186:U186)=0,"",SUM(J186:U186))</f>
        <v/>
      </c>
      <c r="Y186" s="58" t="n"/>
    </row>
    <row r="187">
      <c r="D187">
        <f>IFERROR(INDEX(회사별_교통수단매핑!$C$2:$C$1000,MATCH(1,INDEX(($C$15=회사별_교통수단매핑!$A$2:$A$1000)*($Y187=회사별_교통수단매핑!$B$2:$B$1000),0),0)),"")</f>
        <v/>
      </c>
      <c r="I187">
        <f>IF(SUM(J187:U187)=0,"",SUM(J187:U187))</f>
        <v/>
      </c>
      <c r="Y187" s="58" t="n"/>
    </row>
    <row r="188">
      <c r="D188">
        <f>IFERROR(INDEX(회사별_교통수단매핑!$C$2:$C$1000,MATCH(1,INDEX(($C$15=회사별_교통수단매핑!$A$2:$A$1000)*($Y188=회사별_교통수단매핑!$B$2:$B$1000),0),0)),"")</f>
        <v/>
      </c>
      <c r="I188">
        <f>IF(SUM(J188:U188)=0,"",SUM(J188:U188))</f>
        <v/>
      </c>
      <c r="Y188" s="58" t="n"/>
    </row>
    <row r="189">
      <c r="D189">
        <f>IFERROR(INDEX(회사별_교통수단매핑!$C$2:$C$1000,MATCH(1,INDEX(($C$15=회사별_교통수단매핑!$A$2:$A$1000)*($Y189=회사별_교통수단매핑!$B$2:$B$1000),0),0)),"")</f>
        <v/>
      </c>
      <c r="I189">
        <f>IF(SUM(J189:U189)=0,"",SUM(J189:U189))</f>
        <v/>
      </c>
      <c r="Y189" s="58" t="n"/>
    </row>
    <row r="190">
      <c r="D190">
        <f>IFERROR(INDEX(회사별_교통수단매핑!$C$2:$C$1000,MATCH(1,INDEX(($C$15=회사별_교통수단매핑!$A$2:$A$1000)*($Y190=회사별_교통수단매핑!$B$2:$B$1000),0),0)),"")</f>
        <v/>
      </c>
      <c r="I190">
        <f>IF(SUM(J190:U190)=0,"",SUM(J190:U190))</f>
        <v/>
      </c>
      <c r="Y190" s="58" t="n"/>
    </row>
    <row r="191">
      <c r="D191">
        <f>IFERROR(INDEX(회사별_교통수단매핑!$C$2:$C$1000,MATCH(1,INDEX(($C$15=회사별_교통수단매핑!$A$2:$A$1000)*($Y191=회사별_교통수단매핑!$B$2:$B$1000),0),0)),"")</f>
        <v/>
      </c>
      <c r="I191">
        <f>IF(SUM(J191:U191)=0,"",SUM(J191:U191))</f>
        <v/>
      </c>
      <c r="Y191" s="58" t="n"/>
    </row>
    <row r="192">
      <c r="D192">
        <f>IFERROR(INDEX(회사별_교통수단매핑!$C$2:$C$1000,MATCH(1,INDEX(($C$15=회사별_교통수단매핑!$A$2:$A$1000)*($Y192=회사별_교통수단매핑!$B$2:$B$1000),0),0)),"")</f>
        <v/>
      </c>
      <c r="I192">
        <f>IF(SUM(J192:U192)=0,"",SUM(J192:U192))</f>
        <v/>
      </c>
      <c r="Y192" s="58" t="n"/>
    </row>
    <row r="193">
      <c r="D193">
        <f>IFERROR(INDEX(회사별_교통수단매핑!$C$2:$C$1000,MATCH(1,INDEX(($C$15=회사별_교통수단매핑!$A$2:$A$1000)*($Y193=회사별_교통수단매핑!$B$2:$B$1000),0),0)),"")</f>
        <v/>
      </c>
      <c r="I193">
        <f>IF(SUM(J193:U193)=0,"",SUM(J193:U193))</f>
        <v/>
      </c>
      <c r="Y193" s="58" t="n"/>
    </row>
    <row r="194">
      <c r="D194">
        <f>IFERROR(INDEX(회사별_교통수단매핑!$C$2:$C$1000,MATCH(1,INDEX(($C$15=회사별_교통수단매핑!$A$2:$A$1000)*($Y194=회사별_교통수단매핑!$B$2:$B$1000),0),0)),"")</f>
        <v/>
      </c>
      <c r="I194">
        <f>IF(SUM(J194:U194)=0,"",SUM(J194:U194))</f>
        <v/>
      </c>
      <c r="Y194" s="58" t="n"/>
    </row>
    <row r="195">
      <c r="D195">
        <f>IFERROR(INDEX(회사별_교통수단매핑!$C$2:$C$1000,MATCH(1,INDEX(($C$15=회사별_교통수단매핑!$A$2:$A$1000)*($Y195=회사별_교통수단매핑!$B$2:$B$1000),0),0)),"")</f>
        <v/>
      </c>
      <c r="I195">
        <f>IF(SUM(J195:U195)=0,"",SUM(J195:U195))</f>
        <v/>
      </c>
      <c r="Y195" s="58" t="n"/>
    </row>
    <row r="196">
      <c r="D196">
        <f>IFERROR(INDEX(회사별_교통수단매핑!$C$2:$C$1000,MATCH(1,INDEX(($C$15=회사별_교통수단매핑!$A$2:$A$1000)*($Y196=회사별_교통수단매핑!$B$2:$B$1000),0),0)),"")</f>
        <v/>
      </c>
      <c r="I196">
        <f>IF(SUM(J196:U196)=0,"",SUM(J196:U196))</f>
        <v/>
      </c>
      <c r="Y196" s="58" t="n"/>
    </row>
    <row r="197">
      <c r="D197">
        <f>IFERROR(INDEX(회사별_교통수단매핑!$C$2:$C$1000,MATCH(1,INDEX(($C$15=회사별_교통수단매핑!$A$2:$A$1000)*($Y197=회사별_교통수단매핑!$B$2:$B$1000),0),0)),"")</f>
        <v/>
      </c>
      <c r="I197">
        <f>IF(SUM(J197:U197)=0,"",SUM(J197:U197))</f>
        <v/>
      </c>
      <c r="Y197" s="58" t="n"/>
    </row>
    <row r="198">
      <c r="D198">
        <f>IFERROR(INDEX(회사별_교통수단매핑!$C$2:$C$1000,MATCH(1,INDEX(($C$15=회사별_교통수단매핑!$A$2:$A$1000)*($Y198=회사별_교통수단매핑!$B$2:$B$1000),0),0)),"")</f>
        <v/>
      </c>
      <c r="I198">
        <f>IF(SUM(J198:U198)=0,"",SUM(J198:U198))</f>
        <v/>
      </c>
      <c r="Y198" s="58" t="n"/>
    </row>
    <row r="199">
      <c r="D199">
        <f>IFERROR(INDEX(회사별_교통수단매핑!$C$2:$C$1000,MATCH(1,INDEX(($C$15=회사별_교통수단매핑!$A$2:$A$1000)*($Y199=회사별_교통수단매핑!$B$2:$B$1000),0),0)),"")</f>
        <v/>
      </c>
      <c r="I199">
        <f>IF(SUM(J199:U199)=0,"",SUM(J199:U199))</f>
        <v/>
      </c>
      <c r="Y199" s="58" t="n"/>
    </row>
    <row r="200">
      <c r="D200">
        <f>IFERROR(INDEX(회사별_교통수단매핑!$C$2:$C$1000,MATCH(1,INDEX(($C$15=회사별_교통수단매핑!$A$2:$A$1000)*($Y200=회사별_교통수단매핑!$B$2:$B$1000),0),0)),"")</f>
        <v/>
      </c>
      <c r="I200">
        <f>IF(SUM(J200:U200)=0,"",SUM(J200:U200))</f>
        <v/>
      </c>
      <c r="Y200" s="58" t="n"/>
    </row>
    <row r="201">
      <c r="D201">
        <f>IFERROR(INDEX(회사별_교통수단매핑!$C$2:$C$1000,MATCH(1,INDEX(($C$15=회사별_교통수단매핑!$A$2:$A$1000)*($Y201=회사별_교통수단매핑!$B$2:$B$1000),0),0)),"")</f>
        <v/>
      </c>
      <c r="I201">
        <f>IF(SUM(J201:U201)=0,"",SUM(J201:U201))</f>
        <v/>
      </c>
      <c r="Y201" s="58" t="n"/>
    </row>
    <row r="202">
      <c r="D202">
        <f>IFERROR(INDEX(회사별_교통수단매핑!$C$2:$C$1000,MATCH(1,INDEX(($C$15=회사별_교통수단매핑!$A$2:$A$1000)*($Y202=회사별_교통수단매핑!$B$2:$B$1000),0),0)),"")</f>
        <v/>
      </c>
      <c r="I202">
        <f>IF(SUM(J202:U202)=0,"",SUM(J202:U202))</f>
        <v/>
      </c>
      <c r="Y202" s="58" t="n"/>
    </row>
    <row r="203">
      <c r="D203">
        <f>IFERROR(INDEX(회사별_교통수단매핑!$C$2:$C$1000,MATCH(1,INDEX(($C$15=회사별_교통수단매핑!$A$2:$A$1000)*($Y203=회사별_교통수단매핑!$B$2:$B$1000),0),0)),"")</f>
        <v/>
      </c>
      <c r="I203">
        <f>IF(SUM(J203:U203)=0,"",SUM(J203:U203))</f>
        <v/>
      </c>
      <c r="Y203" s="58" t="n"/>
    </row>
    <row r="204">
      <c r="D204">
        <f>IFERROR(INDEX(회사별_교통수단매핑!$C$2:$C$1000,MATCH(1,INDEX(($C$15=회사별_교통수단매핑!$A$2:$A$1000)*($Y204=회사별_교통수단매핑!$B$2:$B$1000),0),0)),"")</f>
        <v/>
      </c>
      <c r="I204">
        <f>IF(SUM(J204:U204)=0,"",SUM(J204:U204))</f>
        <v/>
      </c>
      <c r="Y204" s="58" t="n"/>
    </row>
    <row r="205">
      <c r="D205">
        <f>IFERROR(INDEX(회사별_교통수단매핑!$C$2:$C$1000,MATCH(1,INDEX(($C$15=회사별_교통수단매핑!$A$2:$A$1000)*($Y205=회사별_교통수단매핑!$B$2:$B$1000),0),0)),"")</f>
        <v/>
      </c>
      <c r="I205">
        <f>IF(SUM(J205:U205)=0,"",SUM(J205:U205))</f>
        <v/>
      </c>
      <c r="Y205" s="58" t="n"/>
    </row>
    <row r="206">
      <c r="D206">
        <f>IFERROR(INDEX(회사별_교통수단매핑!$C$2:$C$1000,MATCH(1,INDEX(($C$15=회사별_교통수단매핑!$A$2:$A$1000)*($Y206=회사별_교통수단매핑!$B$2:$B$1000),0),0)),"")</f>
        <v/>
      </c>
      <c r="I206">
        <f>IF(SUM(J206:U206)=0,"",SUM(J206:U206))</f>
        <v/>
      </c>
      <c r="Y206" s="58" t="n"/>
    </row>
    <row r="207">
      <c r="D207">
        <f>IFERROR(INDEX(회사별_교통수단매핑!$C$2:$C$1000,MATCH(1,INDEX(($C$15=회사별_교통수단매핑!$A$2:$A$1000)*($Y207=회사별_교통수단매핑!$B$2:$B$1000),0),0)),"")</f>
        <v/>
      </c>
      <c r="I207">
        <f>IF(SUM(J207:U207)=0,"",SUM(J207:U207))</f>
        <v/>
      </c>
      <c r="Y207" s="58" t="n"/>
    </row>
    <row r="208">
      <c r="D208">
        <f>IFERROR(INDEX(회사별_교통수단매핑!$C$2:$C$1000,MATCH(1,INDEX(($C$15=회사별_교통수단매핑!$A$2:$A$1000)*($Y208=회사별_교통수단매핑!$B$2:$B$1000),0),0)),"")</f>
        <v/>
      </c>
      <c r="I208">
        <f>IF(SUM(J208:U208)=0,"",SUM(J208:U208))</f>
        <v/>
      </c>
      <c r="Y208" s="58" t="n"/>
    </row>
    <row r="209">
      <c r="D209">
        <f>IFERROR(INDEX(회사별_교통수단매핑!$C$2:$C$1000,MATCH(1,INDEX(($C$15=회사별_교통수단매핑!$A$2:$A$1000)*($Y209=회사별_교통수단매핑!$B$2:$B$1000),0),0)),"")</f>
        <v/>
      </c>
      <c r="I209">
        <f>IF(SUM(J209:U209)=0,"",SUM(J209:U209))</f>
        <v/>
      </c>
      <c r="Y209" s="58" t="n"/>
    </row>
    <row r="210">
      <c r="D210">
        <f>IFERROR(INDEX(회사별_교통수단매핑!$C$2:$C$1000,MATCH(1,INDEX(($C$15=회사별_교통수단매핑!$A$2:$A$1000)*($Y210=회사별_교통수단매핑!$B$2:$B$1000),0),0)),"")</f>
        <v/>
      </c>
      <c r="I210">
        <f>IF(SUM(J210:U210)=0,"",SUM(J210:U210))</f>
        <v/>
      </c>
      <c r="Y210" s="58" t="n"/>
    </row>
    <row r="211">
      <c r="D211">
        <f>IFERROR(INDEX(회사별_교통수단매핑!$C$2:$C$1000,MATCH(1,INDEX(($C$15=회사별_교통수단매핑!$A$2:$A$1000)*($Y211=회사별_교통수단매핑!$B$2:$B$1000),0),0)),"")</f>
        <v/>
      </c>
      <c r="I211">
        <f>IF(SUM(J211:U211)=0,"",SUM(J211:U211))</f>
        <v/>
      </c>
      <c r="Y211" s="58" t="n"/>
    </row>
    <row r="212">
      <c r="D212">
        <f>IFERROR(INDEX(회사별_교통수단매핑!$C$2:$C$1000,MATCH(1,INDEX(($C$15=회사별_교통수단매핑!$A$2:$A$1000)*($Y212=회사별_교통수단매핑!$B$2:$B$1000),0),0)),"")</f>
        <v/>
      </c>
      <c r="I212">
        <f>IF(SUM(J212:U212)=0,"",SUM(J212:U212))</f>
        <v/>
      </c>
      <c r="Y212" s="58" t="n"/>
    </row>
    <row r="213">
      <c r="D213">
        <f>IFERROR(INDEX(회사별_교통수단매핑!$C$2:$C$1000,MATCH(1,INDEX(($C$15=회사별_교통수단매핑!$A$2:$A$1000)*($Y213=회사별_교통수단매핑!$B$2:$B$1000),0),0)),"")</f>
        <v/>
      </c>
      <c r="I213">
        <f>IF(SUM(J213:U213)=0,"",SUM(J213:U213))</f>
        <v/>
      </c>
      <c r="Y213" s="58" t="n"/>
    </row>
    <row r="214">
      <c r="D214">
        <f>IFERROR(INDEX(회사별_교통수단매핑!$C$2:$C$1000,MATCH(1,INDEX(($C$15=회사별_교통수단매핑!$A$2:$A$1000)*($Y214=회사별_교통수단매핑!$B$2:$B$1000),0),0)),"")</f>
        <v/>
      </c>
      <c r="I214">
        <f>IF(SUM(J214:U214)=0,"",SUM(J214:U214))</f>
        <v/>
      </c>
      <c r="Y214" s="58" t="n"/>
    </row>
    <row r="215">
      <c r="D215">
        <f>IFERROR(INDEX(회사별_교통수단매핑!$C$2:$C$1000,MATCH(1,INDEX(($C$15=회사별_교통수단매핑!$A$2:$A$1000)*($Y215=회사별_교통수단매핑!$B$2:$B$1000),0),0)),"")</f>
        <v/>
      </c>
      <c r="I215">
        <f>IF(SUM(J215:U215)=0,"",SUM(J215:U215))</f>
        <v/>
      </c>
      <c r="Y215" s="58" t="n"/>
    </row>
    <row r="216">
      <c r="D216">
        <f>IFERROR(INDEX(회사별_교통수단매핑!$C$2:$C$1000,MATCH(1,INDEX(($C$15=회사별_교통수단매핑!$A$2:$A$1000)*($Y216=회사별_교통수단매핑!$B$2:$B$1000),0),0)),"")</f>
        <v/>
      </c>
      <c r="I216">
        <f>IF(SUM(J216:U216)=0,"",SUM(J216:U216))</f>
        <v/>
      </c>
      <c r="Y216" s="58" t="n"/>
    </row>
    <row r="217">
      <c r="D217">
        <f>IFERROR(INDEX(회사별_교통수단매핑!$C$2:$C$1000,MATCH(1,INDEX(($C$15=회사별_교통수단매핑!$A$2:$A$1000)*($Y217=회사별_교통수단매핑!$B$2:$B$1000),0),0)),"")</f>
        <v/>
      </c>
      <c r="I217">
        <f>IF(SUM(J217:U217)=0,"",SUM(J217:U217))</f>
        <v/>
      </c>
      <c r="Y217" s="58" t="n"/>
    </row>
    <row r="218">
      <c r="D218">
        <f>IFERROR(INDEX(회사별_교통수단매핑!$C$2:$C$1000,MATCH(1,INDEX(($C$15=회사별_교통수단매핑!$A$2:$A$1000)*($Y218=회사별_교통수단매핑!$B$2:$B$1000),0),0)),"")</f>
        <v/>
      </c>
      <c r="I218">
        <f>IF(SUM(J218:U218)=0,"",SUM(J218:U218))</f>
        <v/>
      </c>
      <c r="Y218" s="58" t="n"/>
    </row>
    <row r="219">
      <c r="D219">
        <f>IFERROR(INDEX(회사별_교통수단매핑!$C$2:$C$1000,MATCH(1,INDEX(($C$15=회사별_교통수단매핑!$A$2:$A$1000)*($Y219=회사별_교통수단매핑!$B$2:$B$1000),0),0)),"")</f>
        <v/>
      </c>
      <c r="I219">
        <f>IF(SUM(J219:U219)=0,"",SUM(J219:U219))</f>
        <v/>
      </c>
      <c r="Y219" s="58" t="n"/>
    </row>
    <row r="220">
      <c r="D220">
        <f>IFERROR(INDEX(회사별_교통수단매핑!$C$2:$C$1000,MATCH(1,INDEX(($C$15=회사별_교통수단매핑!$A$2:$A$1000)*($Y220=회사별_교통수단매핑!$B$2:$B$1000),0),0)),"")</f>
        <v/>
      </c>
      <c r="I220">
        <f>IF(SUM(J220:U220)=0,"",SUM(J220:U220))</f>
        <v/>
      </c>
      <c r="Y220" s="58" t="n"/>
    </row>
    <row r="221">
      <c r="D221">
        <f>IFERROR(INDEX(회사별_교통수단매핑!$C$2:$C$1000,MATCH(1,INDEX(($C$15=회사별_교통수단매핑!$A$2:$A$1000)*($Y221=회사별_교통수단매핑!$B$2:$B$1000),0),0)),"")</f>
        <v/>
      </c>
      <c r="I221">
        <f>IF(SUM(J221:U221)=0,"",SUM(J221:U221))</f>
        <v/>
      </c>
      <c r="Y221" s="58" t="n"/>
    </row>
    <row r="222">
      <c r="D222">
        <f>IFERROR(INDEX(회사별_교통수단매핑!$C$2:$C$1000,MATCH(1,INDEX(($C$15=회사별_교통수단매핑!$A$2:$A$1000)*($Y222=회사별_교통수단매핑!$B$2:$B$1000),0),0)),"")</f>
        <v/>
      </c>
      <c r="I222">
        <f>IF(SUM(J222:U222)=0,"",SUM(J222:U222))</f>
        <v/>
      </c>
      <c r="Y222" s="58" t="n"/>
    </row>
  </sheetData>
  <mergeCells count="11">
    <mergeCell ref="J20:U20"/>
    <mergeCell ref="C20:C21"/>
    <mergeCell ref="F20:G20"/>
    <mergeCell ref="E20:E21"/>
    <mergeCell ref="H20:H21"/>
    <mergeCell ref="Y20:Y21"/>
    <mergeCell ref="B20:B21"/>
    <mergeCell ref="W20:W21"/>
    <mergeCell ref="D20:D21"/>
    <mergeCell ref="X20:X21"/>
    <mergeCell ref="V20:V21"/>
  </mergeCells>
  <dataValidations count="1">
    <dataValidation sqref="D23:D222" showDropDown="0" showInputMessage="0" showErrorMessage="1" allowBlank="1" errorTitle="드롭다운 값 확인" error="배출계수 DB 기준 드롭다운 목록에서 선택해 주세요." type="list">
      <formula1>DD_TRAVEL_DISTANCE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U56"/>
  <sheetViews>
    <sheetView workbookViewId="0">
      <selection activeCell="B18" sqref="B18"/>
    </sheetView>
  </sheetViews>
  <sheetFormatPr baseColWidth="8" defaultRowHeight="14.25"/>
  <cols>
    <col width="10" customWidth="1" style="71" min="2" max="2"/>
    <col width="18" customWidth="1" style="71" min="3" max="3"/>
    <col width="16" customWidth="1" style="71" min="4" max="4"/>
    <col width="10" customWidth="1" style="71" min="5" max="5"/>
    <col width="16" customWidth="1" style="71" min="6" max="6"/>
    <col width="8" customWidth="1" style="71" min="7" max="18"/>
    <col width="18" customWidth="1" style="71" min="19" max="19"/>
    <col width="20" customWidth="1" style="71" min="20" max="20"/>
    <col width="16" customWidth="1" style="71" min="21" max="21"/>
  </cols>
  <sheetData>
    <row r="2" ht="20.25" customHeight="1" s="71">
      <c r="B2" s="1" t="inlineStr">
        <is>
          <t>C8. 업스트림 임차자산 1안. 에너지 사용량을 알고 있을 때</t>
        </is>
      </c>
    </row>
    <row r="4">
      <c r="B4" s="2" t="inlineStr">
        <is>
          <t>카테고리 정의</t>
        </is>
      </c>
    </row>
    <row r="5">
      <c r="B5" s="11" t="inlineStr">
        <is>
          <t>- 보고년도에 회사가 임차자산으로 사용하는 자산에서 발생하는 온실가스 배출량</t>
        </is>
      </c>
    </row>
    <row r="6">
      <c r="B6" s="11" t="inlineStr">
        <is>
          <t>- 해당 자산의 실제 에너지 사용량을 알고 있을 때 작성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Σ(에너지 사용량 × 에너지원별 배출계수)</t>
        </is>
      </c>
    </row>
    <row r="11">
      <c r="B11" s="22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>
      <c r="B12" s="11" t="inlineStr">
        <is>
          <t>2) 원자료는 반드시 작성하고 데이터는 연간 또는 월별 작성 가능</t>
        </is>
      </c>
    </row>
    <row r="13">
      <c r="B13" s="11" t="inlineStr">
        <is>
          <t>3) 한 자산에서 1개 이상 에너지원을 사용하는 경우 에너지원별로 행을 나누어 작성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5" customHeight="1" s="71">
      <c r="B19" s="60" t="inlineStr">
        <is>
          <t>*국가</t>
        </is>
      </c>
      <c r="C19" s="60" t="inlineStr">
        <is>
          <t>*임차자산명</t>
        </is>
      </c>
      <c r="D19" s="60" t="inlineStr">
        <is>
          <t>*에너지종류</t>
        </is>
      </c>
      <c r="E19" s="16" t="n"/>
      <c r="F19" s="62" t="inlineStr">
        <is>
          <t>연간 입력</t>
        </is>
      </c>
      <c r="G19" s="62" t="inlineStr">
        <is>
          <t>월별 사용량</t>
        </is>
      </c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4" t="n"/>
      <c r="S19" s="60" t="inlineStr">
        <is>
          <t>비고(선택)</t>
        </is>
      </c>
      <c r="T19" s="60" t="inlineStr">
        <is>
          <t>배출계수(tCO2e/단위)</t>
        </is>
      </c>
      <c r="U19" s="60" t="inlineStr">
        <is>
          <t>배출량(tCO2e)</t>
        </is>
      </c>
    </row>
    <row r="20" ht="13.5" customHeight="1" s="71">
      <c r="B20" s="61" t="n"/>
      <c r="C20" s="61" t="n"/>
      <c r="D20" s="61" t="n"/>
      <c r="E20" s="60" t="inlineStr">
        <is>
          <t>*단위</t>
        </is>
      </c>
      <c r="F20" s="67" t="inlineStr">
        <is>
          <t>*연간사용량</t>
        </is>
      </c>
      <c r="G20" s="60" t="inlineStr">
        <is>
          <t>1월</t>
        </is>
      </c>
      <c r="H20" s="60" t="inlineStr">
        <is>
          <t>2월</t>
        </is>
      </c>
      <c r="I20" s="60" t="inlineStr">
        <is>
          <t>3월</t>
        </is>
      </c>
      <c r="J20" s="60" t="inlineStr">
        <is>
          <t>4월</t>
        </is>
      </c>
      <c r="K20" s="60" t="inlineStr">
        <is>
          <t>5월</t>
        </is>
      </c>
      <c r="L20" s="60" t="inlineStr">
        <is>
          <t>6월</t>
        </is>
      </c>
      <c r="M20" s="60" t="inlineStr">
        <is>
          <t>7월</t>
        </is>
      </c>
      <c r="N20" s="60" t="inlineStr">
        <is>
          <t>8월</t>
        </is>
      </c>
      <c r="O20" s="60" t="inlineStr">
        <is>
          <t>9월</t>
        </is>
      </c>
      <c r="P20" s="60" t="inlineStr">
        <is>
          <t>10월</t>
        </is>
      </c>
      <c r="Q20" s="60" t="inlineStr">
        <is>
          <t>11월</t>
        </is>
      </c>
      <c r="R20" s="60" t="inlineStr">
        <is>
          <t>12월</t>
        </is>
      </c>
      <c r="S20" s="61" t="n"/>
      <c r="T20" s="61" t="n"/>
      <c r="U20" s="61" t="n"/>
    </row>
    <row r="21">
      <c r="B21" s="3" t="inlineStr">
        <is>
          <t>대한민국</t>
        </is>
      </c>
      <c r="C21" s="3" t="inlineStr">
        <is>
          <t>임차자산 A</t>
        </is>
      </c>
      <c r="D21" s="3" t="inlineStr">
        <is>
          <t>전력</t>
        </is>
      </c>
      <c r="E21" s="3" t="inlineStr">
        <is>
          <t>kWh</t>
        </is>
      </c>
      <c r="F21" s="3">
        <f>IF(SUM(G21:R21)=0,"",SUM(G21:R21))</f>
        <v/>
      </c>
      <c r="G21" s="3" t="n">
        <v>10000</v>
      </c>
      <c r="H21" s="3" t="n">
        <v>10000</v>
      </c>
      <c r="I21" s="3" t="n">
        <v>10000</v>
      </c>
      <c r="J21" s="3" t="n">
        <v>10000</v>
      </c>
      <c r="K21" s="3" t="n">
        <v>10000</v>
      </c>
      <c r="L21" s="3" t="n">
        <v>10000</v>
      </c>
      <c r="M21" s="3" t="n">
        <v>10000</v>
      </c>
      <c r="N21" s="3" t="n">
        <v>10000</v>
      </c>
      <c r="O21" s="3" t="n">
        <v>10000</v>
      </c>
      <c r="P21" s="3" t="n">
        <v>10000</v>
      </c>
      <c r="Q21" s="3" t="n">
        <v>10000</v>
      </c>
      <c r="R21" s="3" t="n">
        <v>10000</v>
      </c>
      <c r="S21" s="4" t="inlineStr">
        <is>
          <t>전력 사용량</t>
        </is>
      </c>
      <c r="T21" s="5" t="n"/>
      <c r="U21" s="5" t="n"/>
    </row>
    <row r="22">
      <c r="B22" s="6" t="n"/>
      <c r="C22" s="6" t="n"/>
      <c r="D22" s="6" t="n"/>
      <c r="E22" s="6" t="n"/>
      <c r="F22" s="6">
        <f>IF(SUM(G22:R22)=0,"",SUM(G22:R22))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7" t="n"/>
      <c r="T22" s="8" t="n"/>
      <c r="U22" s="8" t="n"/>
    </row>
    <row r="23">
      <c r="B23" s="6" t="n"/>
      <c r="C23" s="6" t="n"/>
      <c r="D23" s="6" t="n"/>
      <c r="E23" s="6" t="n"/>
      <c r="F23" s="6">
        <f>IF(SUM(G23:R23)=0,"",SUM(G23:R23))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7" t="n"/>
      <c r="T23" s="8" t="n"/>
      <c r="U23" s="8" t="n"/>
    </row>
    <row r="24">
      <c r="B24" s="6" t="n"/>
      <c r="C24" s="6" t="n"/>
      <c r="D24" s="6" t="n"/>
      <c r="E24" s="6" t="n"/>
      <c r="F24" s="6">
        <f>IF(SUM(G24:R24)=0,"",SUM(G24:R24))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7" t="n"/>
      <c r="T24" s="8" t="n"/>
      <c r="U24" s="8" t="n"/>
    </row>
    <row r="25">
      <c r="B25" s="6" t="n"/>
      <c r="C25" s="6" t="n"/>
      <c r="D25" s="6" t="n"/>
      <c r="E25" s="6" t="n"/>
      <c r="F25" s="6">
        <f>IF(SUM(G25:R25)=0,"",SUM(G25:R25))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7" t="n"/>
      <c r="T25" s="8" t="n"/>
      <c r="U25" s="8" t="n"/>
    </row>
    <row r="26">
      <c r="B26" s="6" t="n"/>
      <c r="C26" s="6" t="n"/>
      <c r="D26" s="6" t="n"/>
      <c r="E26" s="6" t="n"/>
      <c r="F26" s="6">
        <f>IF(SUM(G26:R26)=0,"",SUM(G26:R26))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7" t="n"/>
      <c r="T26" s="8" t="n"/>
      <c r="U26" s="8" t="n"/>
    </row>
    <row r="27">
      <c r="B27" s="6" t="n"/>
      <c r="C27" s="6" t="n"/>
      <c r="D27" s="6" t="n"/>
      <c r="E27" s="6" t="n"/>
      <c r="F27" s="6">
        <f>IF(SUM(G27:R27)=0,"",SUM(G27:R27))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7" t="n"/>
      <c r="T27" s="8" t="n"/>
      <c r="U27" s="8" t="n"/>
    </row>
    <row r="28">
      <c r="B28" s="6" t="n"/>
      <c r="C28" s="6" t="n"/>
      <c r="D28" s="6" t="n"/>
      <c r="E28" s="6" t="n"/>
      <c r="F28" s="6">
        <f>IF(SUM(G28:R28)=0,"",SUM(G28:R28))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7" t="n"/>
      <c r="T28" s="8" t="n"/>
      <c r="U28" s="8" t="n"/>
    </row>
    <row r="29">
      <c r="B29" s="6" t="n"/>
      <c r="C29" s="6" t="n"/>
      <c r="D29" s="6" t="n"/>
      <c r="E29" s="6" t="n"/>
      <c r="F29" s="6">
        <f>IF(SUM(G29:R29)=0,"",SUM(G29:R29))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7" t="n"/>
      <c r="T29" s="8" t="n"/>
      <c r="U29" s="8" t="n"/>
    </row>
    <row r="30">
      <c r="B30" s="6" t="n"/>
      <c r="C30" s="6" t="n"/>
      <c r="D30" s="6" t="n"/>
      <c r="E30" s="6" t="n"/>
      <c r="F30" s="6">
        <f>IF(SUM(G30:R30)=0,"",SUM(G30:R30))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7" t="n"/>
      <c r="T30" s="8" t="n"/>
      <c r="U30" s="8" t="n"/>
    </row>
    <row r="31">
      <c r="B31" s="6" t="n"/>
      <c r="C31" s="6" t="n"/>
      <c r="D31" s="6" t="n"/>
      <c r="E31" s="6" t="n"/>
      <c r="F31" s="6">
        <f>IF(SUM(G31:R31)=0,"",SUM(G31:R31))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7" t="n"/>
      <c r="T31" s="8" t="n"/>
      <c r="U31" s="8" t="n"/>
    </row>
    <row r="32">
      <c r="B32" s="6" t="n"/>
      <c r="C32" s="6" t="n"/>
      <c r="D32" s="6" t="n"/>
      <c r="E32" s="6" t="n"/>
      <c r="F32" s="6">
        <f>IF(SUM(G32:R32)=0,"",SUM(G32:R32))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7" t="n"/>
      <c r="T32" s="8" t="n"/>
      <c r="U32" s="8" t="n"/>
    </row>
    <row r="33">
      <c r="B33" s="6" t="n"/>
      <c r="C33" s="6" t="n"/>
      <c r="D33" s="6" t="n"/>
      <c r="E33" s="6" t="n"/>
      <c r="F33" s="6">
        <f>IF(SUM(G33:R33)=0,"",SUM(G33:R33))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7" t="n"/>
      <c r="T33" s="8" t="n"/>
      <c r="U33" s="8" t="n"/>
    </row>
    <row r="34">
      <c r="B34" s="6" t="n"/>
      <c r="C34" s="6" t="n"/>
      <c r="D34" s="6" t="n"/>
      <c r="E34" s="6" t="n"/>
      <c r="F34" s="6">
        <f>IF(SUM(G34:R34)=0,"",SUM(G34:R34))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7" t="n"/>
      <c r="T34" s="8" t="n"/>
      <c r="U34" s="8" t="n"/>
    </row>
    <row r="35">
      <c r="B35" s="6" t="n"/>
      <c r="C35" s="6" t="n"/>
      <c r="D35" s="6" t="n"/>
      <c r="E35" s="6" t="n"/>
      <c r="F35" s="6">
        <f>IF(SUM(G35:R35)=0,"",SUM(G35:R35))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7" t="n"/>
      <c r="T35" s="8" t="n"/>
      <c r="U35" s="8" t="n"/>
    </row>
    <row r="36">
      <c r="B36" s="6" t="n"/>
      <c r="C36" s="6" t="n"/>
      <c r="D36" s="6" t="n"/>
      <c r="E36" s="6" t="n"/>
      <c r="F36" s="6">
        <f>IF(SUM(G36:R36)=0,"",SUM(G36:R36))</f>
        <v/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7" t="n"/>
      <c r="T36" s="8" t="n"/>
      <c r="U36" s="8" t="n"/>
    </row>
    <row r="37">
      <c r="B37" s="6" t="n"/>
      <c r="C37" s="6" t="n"/>
      <c r="D37" s="6" t="n"/>
      <c r="E37" s="6" t="n"/>
      <c r="F37" s="6">
        <f>IF(SUM(G37:R37)=0,"",SUM(G37:R37))</f>
        <v/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7" t="n"/>
      <c r="T37" s="8" t="n"/>
      <c r="U37" s="8" t="n"/>
    </row>
    <row r="38">
      <c r="B38" s="6" t="n"/>
      <c r="C38" s="6" t="n"/>
      <c r="D38" s="6" t="n"/>
      <c r="E38" s="6" t="n"/>
      <c r="F38" s="6">
        <f>IF(SUM(G38:R38)=0,"",SUM(G38:R38))</f>
        <v/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7" t="n"/>
      <c r="T38" s="8" t="n"/>
      <c r="U38" s="8" t="n"/>
    </row>
    <row r="39">
      <c r="B39" s="6" t="n"/>
      <c r="C39" s="6" t="n"/>
      <c r="D39" s="6" t="n"/>
      <c r="E39" s="6" t="n"/>
      <c r="F39" s="6">
        <f>IF(SUM(G39:R39)=0,"",SUM(G39:R39))</f>
        <v/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7" t="n"/>
      <c r="T39" s="8" t="n"/>
      <c r="U39" s="8" t="n"/>
    </row>
    <row r="40">
      <c r="B40" s="6" t="n"/>
      <c r="C40" s="6" t="n"/>
      <c r="D40" s="6" t="n"/>
      <c r="E40" s="6" t="n"/>
      <c r="F40" s="6">
        <f>IF(SUM(G40:R40)=0,"",SUM(G40:R40))</f>
        <v/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7" t="n"/>
      <c r="T40" s="8" t="n"/>
      <c r="U40" s="8" t="n"/>
    </row>
    <row r="41">
      <c r="B41" s="6" t="n"/>
      <c r="C41" s="6" t="n"/>
      <c r="D41" s="6" t="n"/>
      <c r="E41" s="6" t="n"/>
      <c r="F41" s="6">
        <f>IF(SUM(G41:R41)=0,"",SUM(G41:R41))</f>
        <v/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7" t="n"/>
      <c r="T41" s="8" t="n"/>
      <c r="U41" s="8" t="n"/>
    </row>
    <row r="42">
      <c r="B42" s="6" t="n"/>
      <c r="C42" s="6" t="n"/>
      <c r="D42" s="6" t="n"/>
      <c r="E42" s="6" t="n"/>
      <c r="F42" s="6">
        <f>IF(SUM(G42:R42)=0,"",SUM(G42:R42))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7" t="n"/>
      <c r="T42" s="8" t="n"/>
      <c r="U42" s="8" t="n"/>
    </row>
    <row r="43">
      <c r="B43" s="6" t="n"/>
      <c r="C43" s="6" t="n"/>
      <c r="D43" s="6" t="n"/>
      <c r="E43" s="6" t="n"/>
      <c r="F43" s="6">
        <f>IF(SUM(G43:R43)=0,"",SUM(G43:R43))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7" t="n"/>
      <c r="T43" s="8" t="n"/>
      <c r="U43" s="8" t="n"/>
    </row>
    <row r="44">
      <c r="B44" s="6" t="n"/>
      <c r="C44" s="6" t="n"/>
      <c r="D44" s="6" t="n"/>
      <c r="E44" s="6" t="n"/>
      <c r="F44" s="6">
        <f>IF(SUM(G44:R44)=0,"",SUM(G44:R44))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7" t="n"/>
      <c r="T44" s="8" t="n"/>
      <c r="U44" s="8" t="n"/>
    </row>
    <row r="45">
      <c r="B45" s="6" t="n"/>
      <c r="C45" s="6" t="n"/>
      <c r="D45" s="6" t="n"/>
      <c r="E45" s="6" t="n"/>
      <c r="F45" s="6">
        <f>IF(SUM(G45:R45)=0,"",SUM(G45:R45))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7" t="n"/>
      <c r="T45" s="8" t="n"/>
      <c r="U45" s="8" t="n"/>
    </row>
    <row r="46">
      <c r="B46" s="6" t="n"/>
      <c r="C46" s="6" t="n"/>
      <c r="D46" s="6" t="n"/>
      <c r="E46" s="6" t="n"/>
      <c r="F46" s="6">
        <f>IF(SUM(G46:R46)=0,"",SUM(G46:R46))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7" t="n"/>
      <c r="T46" s="8" t="n"/>
      <c r="U46" s="8" t="n"/>
    </row>
    <row r="47">
      <c r="B47" s="6" t="n"/>
      <c r="C47" s="6" t="n"/>
      <c r="D47" s="6" t="n"/>
      <c r="E47" s="6" t="n"/>
      <c r="F47" s="6">
        <f>IF(SUM(G47:R47)=0,"",SUM(G47:R47))</f>
        <v/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7" t="n"/>
      <c r="T47" s="8" t="n"/>
      <c r="U47" s="8" t="n"/>
    </row>
    <row r="48">
      <c r="B48" s="6" t="n"/>
      <c r="C48" s="6" t="n"/>
      <c r="D48" s="6" t="n"/>
      <c r="E48" s="6" t="n"/>
      <c r="F48" s="6">
        <f>IF(SUM(G48:R48)=0,"",SUM(G48:R48))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7" t="n"/>
      <c r="T48" s="8" t="n"/>
      <c r="U48" s="8" t="n"/>
    </row>
    <row r="49">
      <c r="B49" s="6" t="n"/>
      <c r="C49" s="6" t="n"/>
      <c r="D49" s="6" t="n"/>
      <c r="E49" s="6" t="n"/>
      <c r="F49" s="6">
        <f>IF(SUM(G49:R49)=0,"",SUM(G49:R49))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7" t="n"/>
      <c r="T49" s="8" t="n"/>
      <c r="U49" s="8" t="n"/>
    </row>
    <row r="50">
      <c r="B50" s="6" t="n"/>
      <c r="C50" s="6" t="n"/>
      <c r="D50" s="6" t="n"/>
      <c r="E50" s="6" t="n"/>
      <c r="F50" s="6">
        <f>IF(SUM(G50:R50)=0,"",SUM(G50:R50))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7" t="n"/>
      <c r="T50" s="8" t="n"/>
      <c r="U50" s="8" t="n"/>
    </row>
    <row r="51">
      <c r="B51" s="6" t="n"/>
      <c r="C51" s="6" t="n"/>
      <c r="D51" s="6" t="n"/>
      <c r="E51" s="6" t="n"/>
      <c r="F51" s="6">
        <f>IF(SUM(G51:R51)=0,"",SUM(G51:R51))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7" t="n"/>
      <c r="T51" s="8" t="n"/>
      <c r="U51" s="8" t="n"/>
    </row>
    <row r="52">
      <c r="B52" s="6" t="n"/>
      <c r="C52" s="6" t="n"/>
      <c r="D52" s="6" t="n"/>
      <c r="E52" s="6" t="n"/>
      <c r="F52" s="6">
        <f>IF(SUM(G52:R52)=0,"",SUM(G52:R52))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7" t="n"/>
      <c r="T52" s="8" t="n"/>
      <c r="U52" s="8" t="n"/>
    </row>
    <row r="53">
      <c r="B53" s="6" t="n"/>
      <c r="C53" s="6" t="n"/>
      <c r="D53" s="6" t="n"/>
      <c r="E53" s="6" t="n"/>
      <c r="F53" s="6">
        <f>IF(SUM(G53:R53)=0,"",SUM(G53:R53))</f>
        <v/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7" t="n"/>
      <c r="T53" s="8" t="n"/>
      <c r="U53" s="8" t="n"/>
    </row>
    <row r="54">
      <c r="B54" s="6" t="n"/>
      <c r="C54" s="6" t="n"/>
      <c r="D54" s="6" t="n"/>
      <c r="E54" s="6" t="n"/>
      <c r="F54" s="6">
        <f>IF(SUM(G54:R54)=0,"",SUM(G54:R54))</f>
        <v/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7" t="n"/>
      <c r="T54" s="8" t="n"/>
      <c r="U54" s="8" t="n"/>
    </row>
    <row r="55">
      <c r="B55" s="6" t="n"/>
      <c r="C55" s="6" t="n"/>
      <c r="D55" s="6" t="n"/>
      <c r="E55" s="6" t="n"/>
      <c r="F55" s="6">
        <f>IF(SUM(G55:R55)=0,"",SUM(G55:R55))</f>
        <v/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7" t="n"/>
      <c r="T55" s="8" t="n"/>
      <c r="U55" s="8" t="n"/>
    </row>
    <row r="56">
      <c r="B56" s="6" t="n"/>
      <c r="C56" s="6" t="n"/>
      <c r="D56" s="6" t="n"/>
      <c r="E56" s="6" t="n"/>
      <c r="F56" s="6">
        <f>IF(SUM(G56:R56)=0,"",SUM(G56:R56))</f>
        <v/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7" t="n"/>
      <c r="T56" s="8" t="n"/>
      <c r="U56" s="8" t="n"/>
    </row>
  </sheetData>
  <mergeCells count="7">
    <mergeCell ref="U19:U20"/>
    <mergeCell ref="S19:S20"/>
    <mergeCell ref="D19:D20"/>
    <mergeCell ref="G19:R19"/>
    <mergeCell ref="T19:T20"/>
    <mergeCell ref="B19:B20"/>
    <mergeCell ref="C19:C20"/>
  </mergeCells>
  <dataValidations count="2">
    <dataValidation sqref="D22:D221" showDropDown="0" showInputMessage="0" showErrorMessage="1" allowBlank="1" errorTitle="드롭다운 값 확인" error="배출계수 DB 기준 드롭다운 목록에서 선택해 주세요." type="list">
      <formula1>DD_ENERGY</formula1>
    </dataValidation>
    <dataValidation sqref="E22:E221" showDropDown="0" showInputMessage="0" showErrorMessage="1" allowBlank="1" errorTitle="드롭다운 값 확인" error="배출계수 DB 기준 드롭다운 목록에서 선택해 주세요." type="list">
      <formula1>DD_ENERGY_UNIT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W56"/>
  <sheetViews>
    <sheetView workbookViewId="0">
      <selection activeCell="B18" sqref="B18"/>
    </sheetView>
  </sheetViews>
  <sheetFormatPr baseColWidth="8" defaultRowHeight="14.25"/>
  <cols>
    <col width="10" customWidth="1" style="71" min="2" max="2"/>
    <col width="18" customWidth="1" style="71" min="3" max="3"/>
    <col width="16" customWidth="1" style="71" min="4" max="4"/>
    <col width="14" customWidth="1" style="71" min="5" max="5"/>
    <col width="16" customWidth="1" style="71" min="6" max="6"/>
    <col width="10" customWidth="1" style="71" min="7" max="7"/>
    <col width="19.875" bestFit="1" customWidth="1" style="71" min="8" max="8"/>
    <col width="8" customWidth="1" style="71" min="9" max="20"/>
    <col width="18" customWidth="1" style="71" min="21" max="21"/>
    <col width="20" customWidth="1" style="71" min="22" max="22"/>
    <col width="16" customWidth="1" style="71" min="23" max="23"/>
  </cols>
  <sheetData>
    <row r="2" ht="20.25" customHeight="1" s="71">
      <c r="B2" s="1" t="inlineStr">
        <is>
          <t>C8. 업스트림 임차자산 2안. 건물전체 에너지사용량만 알고 있을 때</t>
        </is>
      </c>
    </row>
    <row r="4">
      <c r="B4" s="2" t="inlineStr">
        <is>
          <t>카테고리 정의</t>
        </is>
      </c>
    </row>
    <row r="5">
      <c r="B5" s="11" t="inlineStr">
        <is>
          <t>- 회사가 사용하는 임차자산의 에너지 사용량을 직접 알 수 없는 경우 산정</t>
        </is>
      </c>
    </row>
    <row r="6">
      <c r="B6" s="11" t="inlineStr">
        <is>
          <t>- 건물 전체 에너지 사용량은 알고 있으나 면적 기준으로 배분해야 할 때 작성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Σ((사용 면적 / 건물전체 면적) × 건물전체 에너지 사용량 × 에너지원별 배출계수)</t>
        </is>
      </c>
    </row>
    <row r="11">
      <c r="B11" s="22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>
      <c r="B12" s="11" t="inlineStr">
        <is>
          <t>2) 건물전체 면적과 사용 면적은 반드시 작성</t>
        </is>
      </c>
    </row>
    <row r="13">
      <c r="B13" s="11" t="inlineStr">
        <is>
          <t>3) 원자료는 반드시 작성하고 데이터는 연간 또는 월별 작성 가능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5" customHeight="1" s="71">
      <c r="B19" s="60" t="inlineStr">
        <is>
          <t>*국가</t>
        </is>
      </c>
      <c r="C19" s="60" t="inlineStr">
        <is>
          <t>*임차자산명</t>
        </is>
      </c>
      <c r="D19" s="60" t="inlineStr">
        <is>
          <t>*건물전체 면적</t>
        </is>
      </c>
      <c r="E19" s="60" t="inlineStr">
        <is>
          <t>*사용 면적</t>
        </is>
      </c>
      <c r="F19" s="60" t="inlineStr">
        <is>
          <t>*에너지종류</t>
        </is>
      </c>
      <c r="G19" s="60" t="inlineStr">
        <is>
          <t>*단위</t>
        </is>
      </c>
      <c r="H19" s="62" t="inlineStr">
        <is>
          <t>연간 입력</t>
        </is>
      </c>
      <c r="I19" s="62" t="inlineStr">
        <is>
          <t>건물전체 월별사용량</t>
        </is>
      </c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4" t="n"/>
      <c r="U19" s="60" t="inlineStr">
        <is>
          <t>비고(선택)</t>
        </is>
      </c>
      <c r="V19" s="60" t="inlineStr">
        <is>
          <t>배출계수(tCO2e/단위)</t>
        </is>
      </c>
      <c r="W19" s="60" t="inlineStr">
        <is>
          <t>배출량(tCO2e)</t>
        </is>
      </c>
    </row>
    <row r="20" ht="15" customHeight="1" s="71">
      <c r="B20" s="61" t="n"/>
      <c r="C20" s="61" t="n"/>
      <c r="D20" s="61" t="n"/>
      <c r="E20" s="61" t="n"/>
      <c r="F20" s="61" t="n"/>
      <c r="G20" s="61" t="n"/>
      <c r="H20" s="68" t="inlineStr">
        <is>
          <t>*건물전체 연간사용량</t>
        </is>
      </c>
      <c r="I20" s="60" t="inlineStr">
        <is>
          <t>1월</t>
        </is>
      </c>
      <c r="J20" s="60" t="inlineStr">
        <is>
          <t>2월</t>
        </is>
      </c>
      <c r="K20" s="60" t="inlineStr">
        <is>
          <t>3월</t>
        </is>
      </c>
      <c r="L20" s="60" t="inlineStr">
        <is>
          <t>4월</t>
        </is>
      </c>
      <c r="M20" s="60" t="inlineStr">
        <is>
          <t>5월</t>
        </is>
      </c>
      <c r="N20" s="60" t="inlineStr">
        <is>
          <t>6월</t>
        </is>
      </c>
      <c r="O20" s="60" t="inlineStr">
        <is>
          <t>7월</t>
        </is>
      </c>
      <c r="P20" s="60" t="inlineStr">
        <is>
          <t>8월</t>
        </is>
      </c>
      <c r="Q20" s="60" t="inlineStr">
        <is>
          <t>9월</t>
        </is>
      </c>
      <c r="R20" s="60" t="inlineStr">
        <is>
          <t>10월</t>
        </is>
      </c>
      <c r="S20" s="60" t="inlineStr">
        <is>
          <t>11월</t>
        </is>
      </c>
      <c r="T20" s="60" t="inlineStr">
        <is>
          <t>12월</t>
        </is>
      </c>
      <c r="U20" s="61" t="n"/>
      <c r="V20" s="61" t="n"/>
      <c r="W20" s="61" t="n"/>
    </row>
    <row r="21">
      <c r="B21" s="3" t="inlineStr">
        <is>
          <t>대한민국</t>
        </is>
      </c>
      <c r="C21" s="3" t="inlineStr">
        <is>
          <t>임차자산 B</t>
        </is>
      </c>
      <c r="D21" s="3" t="n">
        <v>13908</v>
      </c>
      <c r="E21" s="3" t="n">
        <v>133</v>
      </c>
      <c r="F21" s="3" t="inlineStr">
        <is>
          <t>전력</t>
        </is>
      </c>
      <c r="G21" s="3" t="inlineStr">
        <is>
          <t>kWh</t>
        </is>
      </c>
      <c r="H21" s="3">
        <f>IF(SUM(I21:T21)=0,"",SUM(I21:T21))</f>
        <v/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4" t="inlineStr">
        <is>
          <t>면적 배분</t>
        </is>
      </c>
      <c r="V21" s="5" t="n"/>
      <c r="W21" s="5" t="n"/>
    </row>
    <row r="22">
      <c r="B22" s="6" t="n"/>
      <c r="C22" s="6" t="n"/>
      <c r="D22" s="6" t="n"/>
      <c r="E22" s="6" t="n"/>
      <c r="F22" s="6" t="n"/>
      <c r="G22" s="6" t="n"/>
      <c r="H22" s="6">
        <f>IF(SUM(I22:T22)=0,"",SUM(I22:T22))</f>
        <v/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7" t="n"/>
      <c r="V22" s="8" t="n"/>
      <c r="W22" s="8" t="n"/>
    </row>
    <row r="23">
      <c r="B23" s="6" t="n"/>
      <c r="C23" s="6" t="n"/>
      <c r="D23" s="6" t="n"/>
      <c r="E23" s="6" t="n"/>
      <c r="F23" s="6" t="n"/>
      <c r="G23" s="6" t="n"/>
      <c r="H23" s="6">
        <f>IF(SUM(I23:T23)=0,"",SUM(I23:T23))</f>
        <v/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7" t="n"/>
      <c r="V23" s="8" t="n"/>
      <c r="W23" s="8" t="n"/>
    </row>
    <row r="24">
      <c r="B24" s="6" t="n"/>
      <c r="C24" s="6" t="n"/>
      <c r="D24" s="6" t="n"/>
      <c r="E24" s="6" t="n"/>
      <c r="F24" s="6" t="n"/>
      <c r="G24" s="6" t="n"/>
      <c r="H24" s="6">
        <f>IF(SUM(I24:T24)=0,"",SUM(I24:T24))</f>
        <v/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7" t="n"/>
      <c r="V24" s="8" t="n"/>
      <c r="W24" s="8" t="n"/>
    </row>
    <row r="25">
      <c r="B25" s="6" t="n"/>
      <c r="C25" s="6" t="n"/>
      <c r="D25" s="6" t="n"/>
      <c r="E25" s="6" t="n"/>
      <c r="F25" s="6" t="n"/>
      <c r="G25" s="6" t="n"/>
      <c r="H25" s="6">
        <f>IF(SUM(I25:T25)=0,"",SUM(I25:T25))</f>
        <v/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7" t="n"/>
      <c r="V25" s="8" t="n"/>
      <c r="W25" s="8" t="n"/>
    </row>
    <row r="26">
      <c r="B26" s="6" t="n"/>
      <c r="C26" s="6" t="n"/>
      <c r="D26" s="6" t="n"/>
      <c r="E26" s="6" t="n"/>
      <c r="F26" s="6" t="n"/>
      <c r="G26" s="6" t="n"/>
      <c r="H26" s="6">
        <f>IF(SUM(I26:T26)=0,"",SUM(I26:T26))</f>
        <v/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7" t="n"/>
      <c r="V26" s="8" t="n"/>
      <c r="W26" s="8" t="n"/>
    </row>
    <row r="27">
      <c r="B27" s="6" t="n"/>
      <c r="C27" s="6" t="n"/>
      <c r="D27" s="6" t="n"/>
      <c r="E27" s="6" t="n"/>
      <c r="F27" s="6" t="n"/>
      <c r="G27" s="6" t="n"/>
      <c r="H27" s="6">
        <f>IF(SUM(I27:T27)=0,"",SUM(I27:T27))</f>
        <v/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7" t="n"/>
      <c r="V27" s="8" t="n"/>
      <c r="W27" s="8" t="n"/>
    </row>
    <row r="28">
      <c r="B28" s="6" t="n"/>
      <c r="C28" s="6" t="n"/>
      <c r="D28" s="6" t="n"/>
      <c r="E28" s="6" t="n"/>
      <c r="F28" s="6" t="n"/>
      <c r="G28" s="6" t="n"/>
      <c r="H28" s="6">
        <f>IF(SUM(I28:T28)=0,"",SUM(I28:T28))</f>
        <v/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7" t="n"/>
      <c r="V28" s="8" t="n"/>
      <c r="W28" s="8" t="n"/>
    </row>
    <row r="29">
      <c r="B29" s="6" t="n"/>
      <c r="C29" s="6" t="n"/>
      <c r="D29" s="6" t="n"/>
      <c r="E29" s="6" t="n"/>
      <c r="F29" s="6" t="n"/>
      <c r="G29" s="6" t="n"/>
      <c r="H29" s="6">
        <f>IF(SUM(I29:T29)=0,"",SUM(I29:T29))</f>
        <v/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7" t="n"/>
      <c r="V29" s="8" t="n"/>
      <c r="W29" s="8" t="n"/>
    </row>
    <row r="30">
      <c r="B30" s="6" t="n"/>
      <c r="C30" s="6" t="n"/>
      <c r="D30" s="6" t="n"/>
      <c r="E30" s="6" t="n"/>
      <c r="F30" s="6" t="n"/>
      <c r="G30" s="6" t="n"/>
      <c r="H30" s="6">
        <f>IF(SUM(I30:T30)=0,"",SUM(I30:T30))</f>
        <v/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7" t="n"/>
      <c r="V30" s="8" t="n"/>
      <c r="W30" s="8" t="n"/>
    </row>
    <row r="31">
      <c r="B31" s="6" t="n"/>
      <c r="C31" s="6" t="n"/>
      <c r="D31" s="6" t="n"/>
      <c r="E31" s="6" t="n"/>
      <c r="F31" s="6" t="n"/>
      <c r="G31" s="6" t="n"/>
      <c r="H31" s="6">
        <f>IF(SUM(I31:T31)=0,"",SUM(I31:T31))</f>
        <v/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7" t="n"/>
      <c r="V31" s="8" t="n"/>
      <c r="W31" s="8" t="n"/>
    </row>
    <row r="32">
      <c r="B32" s="6" t="n"/>
      <c r="C32" s="6" t="n"/>
      <c r="D32" s="6" t="n"/>
      <c r="E32" s="6" t="n"/>
      <c r="F32" s="6" t="n"/>
      <c r="G32" s="6" t="n"/>
      <c r="H32" s="6">
        <f>IF(SUM(I32:T32)=0,"",SUM(I32:T32))</f>
        <v/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7" t="n"/>
      <c r="V32" s="8" t="n"/>
      <c r="W32" s="8" t="n"/>
    </row>
    <row r="33">
      <c r="B33" s="6" t="n"/>
      <c r="C33" s="6" t="n"/>
      <c r="D33" s="6" t="n"/>
      <c r="E33" s="6" t="n"/>
      <c r="F33" s="6" t="n"/>
      <c r="G33" s="6" t="n"/>
      <c r="H33" s="6">
        <f>IF(SUM(I33:T33)=0,"",SUM(I33:T33))</f>
        <v/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7" t="n"/>
      <c r="V33" s="8" t="n"/>
      <c r="W33" s="8" t="n"/>
    </row>
    <row r="34">
      <c r="B34" s="6" t="n"/>
      <c r="C34" s="6" t="n"/>
      <c r="D34" s="6" t="n"/>
      <c r="E34" s="6" t="n"/>
      <c r="F34" s="6" t="n"/>
      <c r="G34" s="6" t="n"/>
      <c r="H34" s="6">
        <f>IF(SUM(I34:T34)=0,"",SUM(I34:T34))</f>
        <v/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7" t="n"/>
      <c r="V34" s="8" t="n"/>
      <c r="W34" s="8" t="n"/>
    </row>
    <row r="35">
      <c r="B35" s="6" t="n"/>
      <c r="C35" s="6" t="n"/>
      <c r="D35" s="6" t="n"/>
      <c r="E35" s="6" t="n"/>
      <c r="F35" s="6" t="n"/>
      <c r="G35" s="6" t="n"/>
      <c r="H35" s="6">
        <f>IF(SUM(I35:T35)=0,"",SUM(I35:T35))</f>
        <v/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7" t="n"/>
      <c r="V35" s="8" t="n"/>
      <c r="W35" s="8" t="n"/>
    </row>
    <row r="36">
      <c r="B36" s="6" t="n"/>
      <c r="C36" s="6" t="n"/>
      <c r="D36" s="6" t="n"/>
      <c r="E36" s="6" t="n"/>
      <c r="F36" s="6" t="n"/>
      <c r="G36" s="6" t="n"/>
      <c r="H36" s="6">
        <f>IF(SUM(I36:T36)=0,"",SUM(I36:T36))</f>
        <v/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7" t="n"/>
      <c r="V36" s="8" t="n"/>
      <c r="W36" s="8" t="n"/>
    </row>
    <row r="37">
      <c r="B37" s="6" t="n"/>
      <c r="C37" s="6" t="n"/>
      <c r="D37" s="6" t="n"/>
      <c r="E37" s="6" t="n"/>
      <c r="F37" s="6" t="n"/>
      <c r="G37" s="6" t="n"/>
      <c r="H37" s="6">
        <f>IF(SUM(I37:T37)=0,"",SUM(I37:T37))</f>
        <v/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7" t="n"/>
      <c r="V37" s="8" t="n"/>
      <c r="W37" s="8" t="n"/>
    </row>
    <row r="38">
      <c r="B38" s="6" t="n"/>
      <c r="C38" s="6" t="n"/>
      <c r="D38" s="6" t="n"/>
      <c r="E38" s="6" t="n"/>
      <c r="F38" s="6" t="n"/>
      <c r="G38" s="6" t="n"/>
      <c r="H38" s="6">
        <f>IF(SUM(I38:T38)=0,"",SUM(I38:T38))</f>
        <v/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7" t="n"/>
      <c r="V38" s="8" t="n"/>
      <c r="W38" s="8" t="n"/>
    </row>
    <row r="39">
      <c r="B39" s="6" t="n"/>
      <c r="C39" s="6" t="n"/>
      <c r="D39" s="6" t="n"/>
      <c r="E39" s="6" t="n"/>
      <c r="F39" s="6" t="n"/>
      <c r="G39" s="6" t="n"/>
      <c r="H39" s="6">
        <f>IF(SUM(I39:T39)=0,"",SUM(I39:T39))</f>
        <v/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7" t="n"/>
      <c r="V39" s="8" t="n"/>
      <c r="W39" s="8" t="n"/>
    </row>
    <row r="40">
      <c r="B40" s="6" t="n"/>
      <c r="C40" s="6" t="n"/>
      <c r="D40" s="6" t="n"/>
      <c r="E40" s="6" t="n"/>
      <c r="F40" s="6" t="n"/>
      <c r="G40" s="6" t="n"/>
      <c r="H40" s="6">
        <f>IF(SUM(I40:T40)=0,"",SUM(I40:T40))</f>
        <v/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7" t="n"/>
      <c r="V40" s="8" t="n"/>
      <c r="W40" s="8" t="n"/>
    </row>
    <row r="41">
      <c r="B41" s="6" t="n"/>
      <c r="C41" s="6" t="n"/>
      <c r="D41" s="6" t="n"/>
      <c r="E41" s="6" t="n"/>
      <c r="F41" s="6" t="n"/>
      <c r="G41" s="6" t="n"/>
      <c r="H41" s="6">
        <f>IF(SUM(I41:T41)=0,"",SUM(I41:T41))</f>
        <v/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7" t="n"/>
      <c r="V41" s="8" t="n"/>
      <c r="W41" s="8" t="n"/>
    </row>
    <row r="42">
      <c r="B42" s="6" t="n"/>
      <c r="C42" s="6" t="n"/>
      <c r="D42" s="6" t="n"/>
      <c r="E42" s="6" t="n"/>
      <c r="F42" s="6" t="n"/>
      <c r="G42" s="6" t="n"/>
      <c r="H42" s="6">
        <f>IF(SUM(I42:T42)=0,"",SUM(I42:T42))</f>
        <v/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7" t="n"/>
      <c r="V42" s="8" t="n"/>
      <c r="W42" s="8" t="n"/>
    </row>
    <row r="43">
      <c r="B43" s="6" t="n"/>
      <c r="C43" s="6" t="n"/>
      <c r="D43" s="6" t="n"/>
      <c r="E43" s="6" t="n"/>
      <c r="F43" s="6" t="n"/>
      <c r="G43" s="6" t="n"/>
      <c r="H43" s="6">
        <f>IF(SUM(I43:T43)=0,"",SUM(I43:T43))</f>
        <v/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7" t="n"/>
      <c r="V43" s="8" t="n"/>
      <c r="W43" s="8" t="n"/>
    </row>
    <row r="44">
      <c r="B44" s="6" t="n"/>
      <c r="C44" s="6" t="n"/>
      <c r="D44" s="6" t="n"/>
      <c r="E44" s="6" t="n"/>
      <c r="F44" s="6" t="n"/>
      <c r="G44" s="6" t="n"/>
      <c r="H44" s="6">
        <f>IF(SUM(I44:T44)=0,"",SUM(I44:T44))</f>
        <v/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7" t="n"/>
      <c r="V44" s="8" t="n"/>
      <c r="W44" s="8" t="n"/>
    </row>
    <row r="45">
      <c r="B45" s="6" t="n"/>
      <c r="C45" s="6" t="n"/>
      <c r="D45" s="6" t="n"/>
      <c r="E45" s="6" t="n"/>
      <c r="F45" s="6" t="n"/>
      <c r="G45" s="6" t="n"/>
      <c r="H45" s="6">
        <f>IF(SUM(I45:T45)=0,"",SUM(I45:T45))</f>
        <v/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7" t="n"/>
      <c r="V45" s="8" t="n"/>
      <c r="W45" s="8" t="n"/>
    </row>
    <row r="46">
      <c r="B46" s="6" t="n"/>
      <c r="C46" s="6" t="n"/>
      <c r="D46" s="6" t="n"/>
      <c r="E46" s="6" t="n"/>
      <c r="F46" s="6" t="n"/>
      <c r="G46" s="6" t="n"/>
      <c r="H46" s="6">
        <f>IF(SUM(I46:T46)=0,"",SUM(I46:T46))</f>
        <v/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7" t="n"/>
      <c r="V46" s="8" t="n"/>
      <c r="W46" s="8" t="n"/>
    </row>
    <row r="47">
      <c r="B47" s="6" t="n"/>
      <c r="C47" s="6" t="n"/>
      <c r="D47" s="6" t="n"/>
      <c r="E47" s="6" t="n"/>
      <c r="F47" s="6" t="n"/>
      <c r="G47" s="6" t="n"/>
      <c r="H47" s="6">
        <f>IF(SUM(I47:T47)=0,"",SUM(I47:T47))</f>
        <v/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7" t="n"/>
      <c r="V47" s="8" t="n"/>
      <c r="W47" s="8" t="n"/>
    </row>
    <row r="48">
      <c r="B48" s="6" t="n"/>
      <c r="C48" s="6" t="n"/>
      <c r="D48" s="6" t="n"/>
      <c r="E48" s="6" t="n"/>
      <c r="F48" s="6" t="n"/>
      <c r="G48" s="6" t="n"/>
      <c r="H48" s="6">
        <f>IF(SUM(I48:T48)=0,"",SUM(I48:T48))</f>
        <v/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7" t="n"/>
      <c r="V48" s="8" t="n"/>
      <c r="W48" s="8" t="n"/>
    </row>
    <row r="49">
      <c r="B49" s="6" t="n"/>
      <c r="C49" s="6" t="n"/>
      <c r="D49" s="6" t="n"/>
      <c r="E49" s="6" t="n"/>
      <c r="F49" s="6" t="n"/>
      <c r="G49" s="6" t="n"/>
      <c r="H49" s="6">
        <f>IF(SUM(I49:T49)=0,"",SUM(I49:T49))</f>
        <v/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7" t="n"/>
      <c r="V49" s="8" t="n"/>
      <c r="W49" s="8" t="n"/>
    </row>
    <row r="50">
      <c r="B50" s="6" t="n"/>
      <c r="C50" s="6" t="n"/>
      <c r="D50" s="6" t="n"/>
      <c r="E50" s="6" t="n"/>
      <c r="F50" s="6" t="n"/>
      <c r="G50" s="6" t="n"/>
      <c r="H50" s="6">
        <f>IF(SUM(I50:T50)=0,"",SUM(I50:T50))</f>
        <v/>
      </c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7" t="n"/>
      <c r="V50" s="8" t="n"/>
      <c r="W50" s="8" t="n"/>
    </row>
    <row r="51">
      <c r="B51" s="6" t="n"/>
      <c r="C51" s="6" t="n"/>
      <c r="D51" s="6" t="n"/>
      <c r="E51" s="6" t="n"/>
      <c r="F51" s="6" t="n"/>
      <c r="G51" s="6" t="n"/>
      <c r="H51" s="6">
        <f>IF(SUM(I51:T51)=0,"",SUM(I51:T51))</f>
        <v/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7" t="n"/>
      <c r="V51" s="8" t="n"/>
      <c r="W51" s="8" t="n"/>
    </row>
    <row r="52">
      <c r="B52" s="6" t="n"/>
      <c r="C52" s="6" t="n"/>
      <c r="D52" s="6" t="n"/>
      <c r="E52" s="6" t="n"/>
      <c r="F52" s="6" t="n"/>
      <c r="G52" s="6" t="n"/>
      <c r="H52" s="6">
        <f>IF(SUM(I52:T52)=0,"",SUM(I52:T52))</f>
        <v/>
      </c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7" t="n"/>
      <c r="V52" s="8" t="n"/>
      <c r="W52" s="8" t="n"/>
    </row>
    <row r="53">
      <c r="B53" s="6" t="n"/>
      <c r="C53" s="6" t="n"/>
      <c r="D53" s="6" t="n"/>
      <c r="E53" s="6" t="n"/>
      <c r="F53" s="6" t="n"/>
      <c r="G53" s="6" t="n"/>
      <c r="H53" s="6">
        <f>IF(SUM(I53:T53)=0,"",SUM(I53:T53))</f>
        <v/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7" t="n"/>
      <c r="V53" s="8" t="n"/>
      <c r="W53" s="8" t="n"/>
    </row>
    <row r="54">
      <c r="B54" s="6" t="n"/>
      <c r="C54" s="6" t="n"/>
      <c r="D54" s="6" t="n"/>
      <c r="E54" s="6" t="n"/>
      <c r="F54" s="6" t="n"/>
      <c r="G54" s="6" t="n"/>
      <c r="H54" s="6">
        <f>IF(SUM(I54:T54)=0,"",SUM(I54:T54))</f>
        <v/>
      </c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7" t="n"/>
      <c r="V54" s="8" t="n"/>
      <c r="W54" s="8" t="n"/>
    </row>
    <row r="55">
      <c r="B55" s="6" t="n"/>
      <c r="C55" s="6" t="n"/>
      <c r="D55" s="6" t="n"/>
      <c r="E55" s="6" t="n"/>
      <c r="F55" s="6" t="n"/>
      <c r="G55" s="6" t="n"/>
      <c r="H55" s="6">
        <f>IF(SUM(I55:T55)=0,"",SUM(I55:T55))</f>
        <v/>
      </c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7" t="n"/>
      <c r="V55" s="8" t="n"/>
      <c r="W55" s="8" t="n"/>
    </row>
    <row r="56">
      <c r="B56" s="6" t="n"/>
      <c r="C56" s="6" t="n"/>
      <c r="D56" s="6" t="n"/>
      <c r="E56" s="6" t="n"/>
      <c r="F56" s="6" t="n"/>
      <c r="G56" s="6" t="n"/>
      <c r="H56" s="6">
        <f>IF(SUM(I56:T56)=0,"",SUM(I56:T56))</f>
        <v/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7" t="n"/>
      <c r="V56" s="8" t="n"/>
      <c r="W56" s="8" t="n"/>
    </row>
  </sheetData>
  <mergeCells count="10">
    <mergeCell ref="U19:U20"/>
    <mergeCell ref="D19:D20"/>
    <mergeCell ref="W19:W20"/>
    <mergeCell ref="F19:F20"/>
    <mergeCell ref="I19:T19"/>
    <mergeCell ref="V19:V20"/>
    <mergeCell ref="E19:E20"/>
    <mergeCell ref="G19:G20"/>
    <mergeCell ref="B19:B20"/>
    <mergeCell ref="C19:C20"/>
  </mergeCells>
  <dataValidations count="2">
    <dataValidation sqref="F22:F221" showDropDown="0" showInputMessage="0" showErrorMessage="1" allowBlank="1" errorTitle="드롭다운 값 확인" error="배출계수 DB 기준 드롭다운 목록에서 선택해 주세요." type="list">
      <formula1>DD_ENERGY</formula1>
    </dataValidation>
    <dataValidation sqref="G22:G221" showDropDown="0" showInputMessage="0" showErrorMessage="1" allowBlank="1" errorTitle="드롭다운 값 확인" error="배출계수 DB 기준 드롭다운 목록에서 선택해 주세요." type="list">
      <formula1>DD_ENERGY_UNIT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W56"/>
  <sheetViews>
    <sheetView topLeftCell="A3" workbookViewId="0">
      <selection activeCell="B18" sqref="B18"/>
    </sheetView>
  </sheetViews>
  <sheetFormatPr baseColWidth="8" defaultRowHeight="14.25"/>
  <cols>
    <col width="10" customWidth="1" style="71" min="2" max="2"/>
    <col width="18" customWidth="1" style="71" min="3" max="4"/>
    <col width="16" customWidth="1" style="71" min="5" max="6"/>
    <col width="10" customWidth="1" style="71" min="7" max="7"/>
    <col width="19.875" bestFit="1" customWidth="1" style="71" min="8" max="8"/>
    <col width="8" customWidth="1" style="71" min="9" max="20"/>
    <col width="18" customWidth="1" style="71" min="21" max="21"/>
    <col width="20" customWidth="1" style="71" min="22" max="22"/>
    <col width="16" customWidth="1" style="71" min="23" max="23"/>
  </cols>
  <sheetData>
    <row r="2" ht="20.25" customHeight="1" s="71">
      <c r="B2" s="1" t="inlineStr">
        <is>
          <t>C8. 업스트림 임차자산 3안. 인원수로 비율을 계산해야 할 때</t>
        </is>
      </c>
    </row>
    <row r="4">
      <c r="B4" s="2" t="inlineStr">
        <is>
          <t>카테고리 정의</t>
        </is>
      </c>
    </row>
    <row r="5">
      <c r="B5" s="11" t="inlineStr">
        <is>
          <t>- 회사가 사용하는 임차자산의 에너지 사용량과 면적 정보를 직접 알 수 없는 경우 산정</t>
        </is>
      </c>
    </row>
    <row r="6">
      <c r="B6" s="11" t="inlineStr">
        <is>
          <t>- 건물 전체 에너지 사용량은 알고 있으나 인원수 기준으로 배분해야 할 때 작성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Σ((자사 인원수 / 건물전체 인원수) × 건물전체 에너지 사용량 × 에너지원별 배출계수)</t>
        </is>
      </c>
    </row>
    <row r="11">
      <c r="B11" s="22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>
      <c r="B12" s="11" t="inlineStr">
        <is>
          <t>2) 건물전체 인원수와 자사 인원수는 반드시 작성</t>
        </is>
      </c>
    </row>
    <row r="13">
      <c r="B13" s="11" t="inlineStr">
        <is>
          <t>3) 면적 기준 자료가 있는 경우에는 인원수 기준보다 면적 기준 산정을 우선 적용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5" customHeight="1" s="71">
      <c r="B19" s="60" t="inlineStr">
        <is>
          <t>*국가</t>
        </is>
      </c>
      <c r="C19" s="60" t="inlineStr">
        <is>
          <t>*임차자산명</t>
        </is>
      </c>
      <c r="D19" s="60" t="inlineStr">
        <is>
          <t>*건물전체 인원수</t>
        </is>
      </c>
      <c r="E19" s="60" t="inlineStr">
        <is>
          <t>*자사 인원수</t>
        </is>
      </c>
      <c r="F19" s="60" t="inlineStr">
        <is>
          <t>*에너지종류</t>
        </is>
      </c>
      <c r="G19" s="60" t="inlineStr">
        <is>
          <t>*단위</t>
        </is>
      </c>
      <c r="H19" s="62" t="inlineStr">
        <is>
          <t>연간 입력</t>
        </is>
      </c>
      <c r="I19" s="62" t="inlineStr">
        <is>
          <t>건물전체 월별사용량</t>
        </is>
      </c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4" t="n"/>
      <c r="U19" s="60" t="inlineStr">
        <is>
          <t>비고(선택)</t>
        </is>
      </c>
      <c r="V19" s="60" t="inlineStr">
        <is>
          <t>배출계수(tCO2e/단위)</t>
        </is>
      </c>
      <c r="W19" s="60" t="inlineStr">
        <is>
          <t>배출량(tCO2e)</t>
        </is>
      </c>
    </row>
    <row r="20" ht="15" customHeight="1" s="71">
      <c r="B20" s="61" t="n"/>
      <c r="C20" s="61" t="n"/>
      <c r="D20" s="61" t="n"/>
      <c r="E20" s="61" t="n"/>
      <c r="F20" s="61" t="n"/>
      <c r="G20" s="61" t="n"/>
      <c r="H20" s="68" t="inlineStr">
        <is>
          <t>*건물전체 연간사용량</t>
        </is>
      </c>
      <c r="I20" s="60" t="inlineStr">
        <is>
          <t>1월</t>
        </is>
      </c>
      <c r="J20" s="60" t="inlineStr">
        <is>
          <t>2월</t>
        </is>
      </c>
      <c r="K20" s="60" t="inlineStr">
        <is>
          <t>3월</t>
        </is>
      </c>
      <c r="L20" s="60" t="inlineStr">
        <is>
          <t>4월</t>
        </is>
      </c>
      <c r="M20" s="60" t="inlineStr">
        <is>
          <t>5월</t>
        </is>
      </c>
      <c r="N20" s="60" t="inlineStr">
        <is>
          <t>6월</t>
        </is>
      </c>
      <c r="O20" s="60" t="inlineStr">
        <is>
          <t>7월</t>
        </is>
      </c>
      <c r="P20" s="60" t="inlineStr">
        <is>
          <t>8월</t>
        </is>
      </c>
      <c r="Q20" s="60" t="inlineStr">
        <is>
          <t>9월</t>
        </is>
      </c>
      <c r="R20" s="60" t="inlineStr">
        <is>
          <t>10월</t>
        </is>
      </c>
      <c r="S20" s="60" t="inlineStr">
        <is>
          <t>11월</t>
        </is>
      </c>
      <c r="T20" s="60" t="inlineStr">
        <is>
          <t>12월</t>
        </is>
      </c>
      <c r="U20" s="61" t="n"/>
      <c r="V20" s="61" t="n"/>
      <c r="W20" s="61" t="n"/>
    </row>
    <row r="21">
      <c r="B21" s="3" t="inlineStr">
        <is>
          <t>대한민국</t>
        </is>
      </c>
      <c r="C21" s="3" t="inlineStr">
        <is>
          <t>임차자산 C</t>
        </is>
      </c>
      <c r="D21" s="3" t="n">
        <v>1432</v>
      </c>
      <c r="E21" s="3" t="n">
        <v>122</v>
      </c>
      <c r="F21" s="3" t="inlineStr">
        <is>
          <t>전력</t>
        </is>
      </c>
      <c r="G21" s="3" t="inlineStr">
        <is>
          <t>kWh</t>
        </is>
      </c>
      <c r="H21" s="3">
        <f>IF(SUM(I21:T21)=0,"",SUM(I21:T21))</f>
        <v/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4" t="inlineStr">
        <is>
          <t>인원수 배분</t>
        </is>
      </c>
      <c r="V21" s="5" t="n"/>
      <c r="W21" s="5" t="n"/>
    </row>
    <row r="22">
      <c r="B22" s="6" t="n"/>
      <c r="C22" s="6" t="n"/>
      <c r="D22" s="6" t="n"/>
      <c r="E22" s="6" t="n"/>
      <c r="F22" s="6" t="n"/>
      <c r="G22" s="6" t="n"/>
      <c r="H22" s="6">
        <f>IF(SUM(I22:T22)=0,"",SUM(I22:T22))</f>
        <v/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7" t="n"/>
      <c r="V22" s="8" t="n"/>
      <c r="W22" s="8" t="n"/>
    </row>
    <row r="23">
      <c r="B23" s="6" t="n"/>
      <c r="C23" s="6" t="n"/>
      <c r="D23" s="6" t="n"/>
      <c r="E23" s="6" t="n"/>
      <c r="F23" s="6" t="n"/>
      <c r="G23" s="6" t="n"/>
      <c r="H23" s="6">
        <f>IF(SUM(I23:T23)=0,"",SUM(I23:T23))</f>
        <v/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7" t="n"/>
      <c r="V23" s="8" t="n"/>
      <c r="W23" s="8" t="n"/>
    </row>
    <row r="24">
      <c r="B24" s="6" t="n"/>
      <c r="C24" s="6" t="n"/>
      <c r="D24" s="6" t="n"/>
      <c r="E24" s="6" t="n"/>
      <c r="F24" s="6" t="n"/>
      <c r="G24" s="6" t="n"/>
      <c r="H24" s="6">
        <f>IF(SUM(I24:T24)=0,"",SUM(I24:T24))</f>
        <v/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7" t="n"/>
      <c r="V24" s="8" t="n"/>
      <c r="W24" s="8" t="n"/>
    </row>
    <row r="25">
      <c r="B25" s="6" t="n"/>
      <c r="C25" s="6" t="n"/>
      <c r="D25" s="6" t="n"/>
      <c r="E25" s="6" t="n"/>
      <c r="F25" s="6" t="n"/>
      <c r="G25" s="6" t="n"/>
      <c r="H25" s="6">
        <f>IF(SUM(I25:T25)=0,"",SUM(I25:T25))</f>
        <v/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7" t="n"/>
      <c r="V25" s="8" t="n"/>
      <c r="W25" s="8" t="n"/>
    </row>
    <row r="26">
      <c r="B26" s="6" t="n"/>
      <c r="C26" s="6" t="n"/>
      <c r="D26" s="6" t="n"/>
      <c r="E26" s="6" t="n"/>
      <c r="F26" s="6" t="n"/>
      <c r="G26" s="6" t="n"/>
      <c r="H26" s="6">
        <f>IF(SUM(I26:T26)=0,"",SUM(I26:T26))</f>
        <v/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7" t="n"/>
      <c r="V26" s="8" t="n"/>
      <c r="W26" s="8" t="n"/>
    </row>
    <row r="27">
      <c r="B27" s="6" t="n"/>
      <c r="C27" s="6" t="n"/>
      <c r="D27" s="6" t="n"/>
      <c r="E27" s="6" t="n"/>
      <c r="F27" s="6" t="n"/>
      <c r="G27" s="6" t="n"/>
      <c r="H27" s="6">
        <f>IF(SUM(I27:T27)=0,"",SUM(I27:T27))</f>
        <v/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7" t="n"/>
      <c r="V27" s="8" t="n"/>
      <c r="W27" s="8" t="n"/>
    </row>
    <row r="28">
      <c r="B28" s="6" t="n"/>
      <c r="C28" s="6" t="n"/>
      <c r="D28" s="6" t="n"/>
      <c r="E28" s="6" t="n"/>
      <c r="F28" s="6" t="n"/>
      <c r="G28" s="6" t="n"/>
      <c r="H28" s="6">
        <f>IF(SUM(I28:T28)=0,"",SUM(I28:T28))</f>
        <v/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7" t="n"/>
      <c r="V28" s="8" t="n"/>
      <c r="W28" s="8" t="n"/>
    </row>
    <row r="29">
      <c r="B29" s="6" t="n"/>
      <c r="C29" s="6" t="n"/>
      <c r="D29" s="6" t="n"/>
      <c r="E29" s="6" t="n"/>
      <c r="F29" s="6" t="n"/>
      <c r="G29" s="6" t="n"/>
      <c r="H29" s="6">
        <f>IF(SUM(I29:T29)=0,"",SUM(I29:T29))</f>
        <v/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7" t="n"/>
      <c r="V29" s="8" t="n"/>
      <c r="W29" s="8" t="n"/>
    </row>
    <row r="30">
      <c r="B30" s="6" t="n"/>
      <c r="C30" s="6" t="n"/>
      <c r="D30" s="6" t="n"/>
      <c r="E30" s="6" t="n"/>
      <c r="F30" s="6" t="n"/>
      <c r="G30" s="6" t="n"/>
      <c r="H30" s="6">
        <f>IF(SUM(I30:T30)=0,"",SUM(I30:T30))</f>
        <v/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7" t="n"/>
      <c r="V30" s="8" t="n"/>
      <c r="W30" s="8" t="n"/>
    </row>
    <row r="31">
      <c r="B31" s="6" t="n"/>
      <c r="C31" s="6" t="n"/>
      <c r="D31" s="6" t="n"/>
      <c r="E31" s="6" t="n"/>
      <c r="F31" s="6" t="n"/>
      <c r="G31" s="6" t="n"/>
      <c r="H31" s="6">
        <f>IF(SUM(I31:T31)=0,"",SUM(I31:T31))</f>
        <v/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7" t="n"/>
      <c r="V31" s="8" t="n"/>
      <c r="W31" s="8" t="n"/>
    </row>
    <row r="32">
      <c r="B32" s="6" t="n"/>
      <c r="C32" s="6" t="n"/>
      <c r="D32" s="6" t="n"/>
      <c r="E32" s="6" t="n"/>
      <c r="F32" s="6" t="n"/>
      <c r="G32" s="6" t="n"/>
      <c r="H32" s="6">
        <f>IF(SUM(I32:T32)=0,"",SUM(I32:T32))</f>
        <v/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7" t="n"/>
      <c r="V32" s="8" t="n"/>
      <c r="W32" s="8" t="n"/>
    </row>
    <row r="33">
      <c r="B33" s="6" t="n"/>
      <c r="C33" s="6" t="n"/>
      <c r="D33" s="6" t="n"/>
      <c r="E33" s="6" t="n"/>
      <c r="F33" s="6" t="n"/>
      <c r="G33" s="6" t="n"/>
      <c r="H33" s="6">
        <f>IF(SUM(I33:T33)=0,"",SUM(I33:T33))</f>
        <v/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7" t="n"/>
      <c r="V33" s="8" t="n"/>
      <c r="W33" s="8" t="n"/>
    </row>
    <row r="34">
      <c r="B34" s="6" t="n"/>
      <c r="C34" s="6" t="n"/>
      <c r="D34" s="6" t="n"/>
      <c r="E34" s="6" t="n"/>
      <c r="F34" s="6" t="n"/>
      <c r="G34" s="6" t="n"/>
      <c r="H34" s="6">
        <f>IF(SUM(I34:T34)=0,"",SUM(I34:T34))</f>
        <v/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7" t="n"/>
      <c r="V34" s="8" t="n"/>
      <c r="W34" s="8" t="n"/>
    </row>
    <row r="35">
      <c r="B35" s="6" t="n"/>
      <c r="C35" s="6" t="n"/>
      <c r="D35" s="6" t="n"/>
      <c r="E35" s="6" t="n"/>
      <c r="F35" s="6" t="n"/>
      <c r="G35" s="6" t="n"/>
      <c r="H35" s="6">
        <f>IF(SUM(I35:T35)=0,"",SUM(I35:T35))</f>
        <v/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7" t="n"/>
      <c r="V35" s="8" t="n"/>
      <c r="W35" s="8" t="n"/>
    </row>
    <row r="36">
      <c r="B36" s="6" t="n"/>
      <c r="C36" s="6" t="n"/>
      <c r="D36" s="6" t="n"/>
      <c r="E36" s="6" t="n"/>
      <c r="F36" s="6" t="n"/>
      <c r="G36" s="6" t="n"/>
      <c r="H36" s="6">
        <f>IF(SUM(I36:T36)=0,"",SUM(I36:T36))</f>
        <v/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7" t="n"/>
      <c r="V36" s="8" t="n"/>
      <c r="W36" s="8" t="n"/>
    </row>
    <row r="37">
      <c r="B37" s="6" t="n"/>
      <c r="C37" s="6" t="n"/>
      <c r="D37" s="6" t="n"/>
      <c r="E37" s="6" t="n"/>
      <c r="F37" s="6" t="n"/>
      <c r="G37" s="6" t="n"/>
      <c r="H37" s="6">
        <f>IF(SUM(I37:T37)=0,"",SUM(I37:T37))</f>
        <v/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7" t="n"/>
      <c r="V37" s="8" t="n"/>
      <c r="W37" s="8" t="n"/>
    </row>
    <row r="38">
      <c r="B38" s="6" t="n"/>
      <c r="C38" s="6" t="n"/>
      <c r="D38" s="6" t="n"/>
      <c r="E38" s="6" t="n"/>
      <c r="F38" s="6" t="n"/>
      <c r="G38" s="6" t="n"/>
      <c r="H38" s="6">
        <f>IF(SUM(I38:T38)=0,"",SUM(I38:T38))</f>
        <v/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7" t="n"/>
      <c r="V38" s="8" t="n"/>
      <c r="W38" s="8" t="n"/>
    </row>
    <row r="39">
      <c r="B39" s="6" t="n"/>
      <c r="C39" s="6" t="n"/>
      <c r="D39" s="6" t="n"/>
      <c r="E39" s="6" t="n"/>
      <c r="F39" s="6" t="n"/>
      <c r="G39" s="6" t="n"/>
      <c r="H39" s="6">
        <f>IF(SUM(I39:T39)=0,"",SUM(I39:T39))</f>
        <v/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7" t="n"/>
      <c r="V39" s="8" t="n"/>
      <c r="W39" s="8" t="n"/>
    </row>
    <row r="40">
      <c r="B40" s="6" t="n"/>
      <c r="C40" s="6" t="n"/>
      <c r="D40" s="6" t="n"/>
      <c r="E40" s="6" t="n"/>
      <c r="F40" s="6" t="n"/>
      <c r="G40" s="6" t="n"/>
      <c r="H40" s="6">
        <f>IF(SUM(I40:T40)=0,"",SUM(I40:T40))</f>
        <v/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7" t="n"/>
      <c r="V40" s="8" t="n"/>
      <c r="W40" s="8" t="n"/>
    </row>
    <row r="41">
      <c r="B41" s="6" t="n"/>
      <c r="C41" s="6" t="n"/>
      <c r="D41" s="6" t="n"/>
      <c r="E41" s="6" t="n"/>
      <c r="F41" s="6" t="n"/>
      <c r="G41" s="6" t="n"/>
      <c r="H41" s="6">
        <f>IF(SUM(I41:T41)=0,"",SUM(I41:T41))</f>
        <v/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7" t="n"/>
      <c r="V41" s="8" t="n"/>
      <c r="W41" s="8" t="n"/>
    </row>
    <row r="42">
      <c r="B42" s="6" t="n"/>
      <c r="C42" s="6" t="n"/>
      <c r="D42" s="6" t="n"/>
      <c r="E42" s="6" t="n"/>
      <c r="F42" s="6" t="n"/>
      <c r="G42" s="6" t="n"/>
      <c r="H42" s="6">
        <f>IF(SUM(I42:T42)=0,"",SUM(I42:T42))</f>
        <v/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7" t="n"/>
      <c r="V42" s="8" t="n"/>
      <c r="W42" s="8" t="n"/>
    </row>
    <row r="43">
      <c r="B43" s="6" t="n"/>
      <c r="C43" s="6" t="n"/>
      <c r="D43" s="6" t="n"/>
      <c r="E43" s="6" t="n"/>
      <c r="F43" s="6" t="n"/>
      <c r="G43" s="6" t="n"/>
      <c r="H43" s="6">
        <f>IF(SUM(I43:T43)=0,"",SUM(I43:T43))</f>
        <v/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7" t="n"/>
      <c r="V43" s="8" t="n"/>
      <c r="W43" s="8" t="n"/>
    </row>
    <row r="44">
      <c r="B44" s="6" t="n"/>
      <c r="C44" s="6" t="n"/>
      <c r="D44" s="6" t="n"/>
      <c r="E44" s="6" t="n"/>
      <c r="F44" s="6" t="n"/>
      <c r="G44" s="6" t="n"/>
      <c r="H44" s="6">
        <f>IF(SUM(I44:T44)=0,"",SUM(I44:T44))</f>
        <v/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7" t="n"/>
      <c r="V44" s="8" t="n"/>
      <c r="W44" s="8" t="n"/>
    </row>
    <row r="45">
      <c r="B45" s="6" t="n"/>
      <c r="C45" s="6" t="n"/>
      <c r="D45" s="6" t="n"/>
      <c r="E45" s="6" t="n"/>
      <c r="F45" s="6" t="n"/>
      <c r="G45" s="6" t="n"/>
      <c r="H45" s="6">
        <f>IF(SUM(I45:T45)=0,"",SUM(I45:T45))</f>
        <v/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7" t="n"/>
      <c r="V45" s="8" t="n"/>
      <c r="W45" s="8" t="n"/>
    </row>
    <row r="46">
      <c r="B46" s="6" t="n"/>
      <c r="C46" s="6" t="n"/>
      <c r="D46" s="6" t="n"/>
      <c r="E46" s="6" t="n"/>
      <c r="F46" s="6" t="n"/>
      <c r="G46" s="6" t="n"/>
      <c r="H46" s="6">
        <f>IF(SUM(I46:T46)=0,"",SUM(I46:T46))</f>
        <v/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7" t="n"/>
      <c r="V46" s="8" t="n"/>
      <c r="W46" s="8" t="n"/>
    </row>
    <row r="47">
      <c r="B47" s="6" t="n"/>
      <c r="C47" s="6" t="n"/>
      <c r="D47" s="6" t="n"/>
      <c r="E47" s="6" t="n"/>
      <c r="F47" s="6" t="n"/>
      <c r="G47" s="6" t="n"/>
      <c r="H47" s="6">
        <f>IF(SUM(I47:T47)=0,"",SUM(I47:T47))</f>
        <v/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7" t="n"/>
      <c r="V47" s="8" t="n"/>
      <c r="W47" s="8" t="n"/>
    </row>
    <row r="48">
      <c r="B48" s="6" t="n"/>
      <c r="C48" s="6" t="n"/>
      <c r="D48" s="6" t="n"/>
      <c r="E48" s="6" t="n"/>
      <c r="F48" s="6" t="n"/>
      <c r="G48" s="6" t="n"/>
      <c r="H48" s="6">
        <f>IF(SUM(I48:T48)=0,"",SUM(I48:T48))</f>
        <v/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7" t="n"/>
      <c r="V48" s="8" t="n"/>
      <c r="W48" s="8" t="n"/>
    </row>
    <row r="49">
      <c r="B49" s="6" t="n"/>
      <c r="C49" s="6" t="n"/>
      <c r="D49" s="6" t="n"/>
      <c r="E49" s="6" t="n"/>
      <c r="F49" s="6" t="n"/>
      <c r="G49" s="6" t="n"/>
      <c r="H49" s="6">
        <f>IF(SUM(I49:T49)=0,"",SUM(I49:T49))</f>
        <v/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7" t="n"/>
      <c r="V49" s="8" t="n"/>
      <c r="W49" s="8" t="n"/>
    </row>
    <row r="50">
      <c r="B50" s="6" t="n"/>
      <c r="C50" s="6" t="n"/>
      <c r="D50" s="6" t="n"/>
      <c r="E50" s="6" t="n"/>
      <c r="F50" s="6" t="n"/>
      <c r="G50" s="6" t="n"/>
      <c r="H50" s="6">
        <f>IF(SUM(I50:T50)=0,"",SUM(I50:T50))</f>
        <v/>
      </c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7" t="n"/>
      <c r="V50" s="8" t="n"/>
      <c r="W50" s="8" t="n"/>
    </row>
    <row r="51">
      <c r="B51" s="6" t="n"/>
      <c r="C51" s="6" t="n"/>
      <c r="D51" s="6" t="n"/>
      <c r="E51" s="6" t="n"/>
      <c r="F51" s="6" t="n"/>
      <c r="G51" s="6" t="n"/>
      <c r="H51" s="6">
        <f>IF(SUM(I51:T51)=0,"",SUM(I51:T51))</f>
        <v/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7" t="n"/>
      <c r="V51" s="8" t="n"/>
      <c r="W51" s="8" t="n"/>
    </row>
    <row r="52">
      <c r="B52" s="6" t="n"/>
      <c r="C52" s="6" t="n"/>
      <c r="D52" s="6" t="n"/>
      <c r="E52" s="6" t="n"/>
      <c r="F52" s="6" t="n"/>
      <c r="G52" s="6" t="n"/>
      <c r="H52" s="6">
        <f>IF(SUM(I52:T52)=0,"",SUM(I52:T52))</f>
        <v/>
      </c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7" t="n"/>
      <c r="V52" s="8" t="n"/>
      <c r="W52" s="8" t="n"/>
    </row>
    <row r="53">
      <c r="B53" s="6" t="n"/>
      <c r="C53" s="6" t="n"/>
      <c r="D53" s="6" t="n"/>
      <c r="E53" s="6" t="n"/>
      <c r="F53" s="6" t="n"/>
      <c r="G53" s="6" t="n"/>
      <c r="H53" s="6">
        <f>IF(SUM(I53:T53)=0,"",SUM(I53:T53))</f>
        <v/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7" t="n"/>
      <c r="V53" s="8" t="n"/>
      <c r="W53" s="8" t="n"/>
    </row>
    <row r="54">
      <c r="B54" s="6" t="n"/>
      <c r="C54" s="6" t="n"/>
      <c r="D54" s="6" t="n"/>
      <c r="E54" s="6" t="n"/>
      <c r="F54" s="6" t="n"/>
      <c r="G54" s="6" t="n"/>
      <c r="H54" s="6">
        <f>IF(SUM(I54:T54)=0,"",SUM(I54:T54))</f>
        <v/>
      </c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7" t="n"/>
      <c r="V54" s="8" t="n"/>
      <c r="W54" s="8" t="n"/>
    </row>
    <row r="55">
      <c r="B55" s="6" t="n"/>
      <c r="C55" s="6" t="n"/>
      <c r="D55" s="6" t="n"/>
      <c r="E55" s="6" t="n"/>
      <c r="F55" s="6" t="n"/>
      <c r="G55" s="6" t="n"/>
      <c r="H55" s="6">
        <f>IF(SUM(I55:T55)=0,"",SUM(I55:T55))</f>
        <v/>
      </c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7" t="n"/>
      <c r="V55" s="8" t="n"/>
      <c r="W55" s="8" t="n"/>
    </row>
    <row r="56">
      <c r="B56" s="6" t="n"/>
      <c r="C56" s="6" t="n"/>
      <c r="D56" s="6" t="n"/>
      <c r="E56" s="6" t="n"/>
      <c r="F56" s="6" t="n"/>
      <c r="G56" s="6" t="n"/>
      <c r="H56" s="6">
        <f>IF(SUM(I56:T56)=0,"",SUM(I56:T56))</f>
        <v/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7" t="n"/>
      <c r="V56" s="8" t="n"/>
      <c r="W56" s="8" t="n"/>
    </row>
  </sheetData>
  <mergeCells count="10">
    <mergeCell ref="U19:U20"/>
    <mergeCell ref="D19:D20"/>
    <mergeCell ref="W19:W20"/>
    <mergeCell ref="F19:F20"/>
    <mergeCell ref="I19:T19"/>
    <mergeCell ref="V19:V20"/>
    <mergeCell ref="E19:E20"/>
    <mergeCell ref="G19:G20"/>
    <mergeCell ref="B19:B20"/>
    <mergeCell ref="C19:C20"/>
  </mergeCells>
  <dataValidations count="2">
    <dataValidation sqref="F22:F221" showDropDown="0" showInputMessage="0" showErrorMessage="1" allowBlank="1" errorTitle="드롭다운 값 확인" error="배출계수 DB 기준 드롭다운 목록에서 선택해 주세요." type="list">
      <formula1>DD_ENERGY</formula1>
    </dataValidation>
    <dataValidation sqref="G22:G221" showDropDown="0" showInputMessage="0" showErrorMessage="1" allowBlank="1" errorTitle="드롭다운 값 확인" error="배출계수 DB 기준 드롭다운 목록에서 선택해 주세요." type="list">
      <formula1>DD_ENERGY_UNIT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Y56"/>
  <sheetViews>
    <sheetView topLeftCell="A3" workbookViewId="0">
      <selection activeCell="B18" sqref="B18"/>
    </sheetView>
  </sheetViews>
  <sheetFormatPr baseColWidth="8" defaultRowHeight="14.25"/>
  <cols>
    <col width="10" customWidth="1" style="71" min="2" max="2"/>
    <col width="16" customWidth="1" style="71" min="3" max="3"/>
    <col width="12" customWidth="1" style="71" min="4" max="4"/>
    <col width="20" customWidth="1" style="71" min="5" max="5"/>
    <col width="10" customWidth="1" style="71" min="6" max="6"/>
    <col width="22" customWidth="1" style="71" min="7" max="8"/>
    <col width="18.625" bestFit="1" customWidth="1" style="71" min="9" max="9"/>
    <col width="16" customWidth="1" style="71" min="10" max="10"/>
    <col width="8" customWidth="1" style="71" min="11" max="22"/>
    <col width="18" customWidth="1" style="71" min="23" max="23"/>
    <col width="22" customWidth="1" style="71" min="24" max="24"/>
    <col width="16" customWidth="1" style="71" min="25" max="25"/>
  </cols>
  <sheetData>
    <row r="2" ht="20.25" customHeight="1" s="71">
      <c r="B2" s="1" t="inlineStr">
        <is>
          <t>C9. 다운스트림 운송·배송 1안. 출발지·도착지 기반</t>
        </is>
      </c>
    </row>
    <row r="4">
      <c r="B4" s="2" t="inlineStr">
        <is>
          <t>카테고리 정의</t>
        </is>
      </c>
    </row>
    <row r="5">
      <c r="B5" s="11" t="inlineStr">
        <is>
          <t>- 보고년도에 판매한 제품이 고객, 유통사, 대리점, 최종소비자 등으로 운송·배송되는 과정에서 발생하는 온실가스 배출량</t>
        </is>
      </c>
    </row>
    <row r="6">
      <c r="B6" s="11" t="inlineStr">
        <is>
          <t>- 출발지와 도착지 또는 운송거리를 알고 있는 경우 작성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Σ(화물중량 × 운송거리 × 운송수단별 배출계수)</t>
        </is>
      </c>
    </row>
    <row r="11">
      <c r="B11" s="22" t="inlineStr">
        <is>
          <t xml:space="preserve"> - 온실가스 배출계수는 환경부-환경성적표지(EPD) 평가계수를 활용</t>
        </is>
      </c>
    </row>
    <row r="12">
      <c r="B12" s="11" t="inlineStr">
        <is>
          <t>2) 운송수단은 도로, 해상, 항공, 철도 중 실제 주요 운송수단을 선택</t>
        </is>
      </c>
    </row>
    <row r="13">
      <c r="B13" s="11" t="inlineStr">
        <is>
          <t>3) C4 업스트림 운송·배송에 이미 포함된 운송은 중복 작성하지 않음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5" customHeight="1" s="71">
      <c r="B19" s="60" t="inlineStr">
        <is>
          <t>*국가</t>
        </is>
      </c>
      <c r="C19" s="60" t="inlineStr">
        <is>
          <t>*사업장</t>
        </is>
      </c>
      <c r="D19" s="60" t="inlineStr">
        <is>
          <t>*운송수단</t>
        </is>
      </c>
      <c r="E19" s="60" t="inlineStr">
        <is>
          <t>*제품명</t>
        </is>
      </c>
      <c r="F19" s="60" t="inlineStr">
        <is>
          <t>*중량단위</t>
        </is>
      </c>
      <c r="G19" s="60" t="inlineStr">
        <is>
          <t>*출발지</t>
        </is>
      </c>
      <c r="H19" s="60" t="inlineStr">
        <is>
          <t>*도착지</t>
        </is>
      </c>
      <c r="I19" s="60" t="inlineStr">
        <is>
          <t>운송거리(km)(선택)</t>
        </is>
      </c>
      <c r="J19" s="62" t="inlineStr">
        <is>
          <t>연간 입력</t>
        </is>
      </c>
      <c r="K19" s="62" t="inlineStr">
        <is>
          <t>월별 운송량</t>
        </is>
      </c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4" t="n"/>
      <c r="W19" s="60" t="inlineStr">
        <is>
          <t>비고(선택)</t>
        </is>
      </c>
      <c r="X19" s="60" t="inlineStr">
        <is>
          <t>배출계수(tCO2e/ton-km)</t>
        </is>
      </c>
      <c r="Y19" s="60" t="inlineStr">
        <is>
          <t>배출량(tCO2e)</t>
        </is>
      </c>
    </row>
    <row r="20" ht="15.75" customHeight="1" s="71">
      <c r="B20" s="61" t="n"/>
      <c r="C20" s="61" t="n"/>
      <c r="D20" s="61" t="n"/>
      <c r="E20" s="61" t="n"/>
      <c r="F20" s="61" t="n"/>
      <c r="G20" s="61" t="n"/>
      <c r="H20" s="61" t="n"/>
      <c r="I20" s="61" t="n"/>
      <c r="J20" s="60" t="inlineStr">
        <is>
          <t>연간운송량</t>
        </is>
      </c>
      <c r="K20" s="60" t="inlineStr">
        <is>
          <t>1월</t>
        </is>
      </c>
      <c r="L20" s="60" t="inlineStr">
        <is>
          <t>2월</t>
        </is>
      </c>
      <c r="M20" s="60" t="inlineStr">
        <is>
          <t>3월</t>
        </is>
      </c>
      <c r="N20" s="60" t="inlineStr">
        <is>
          <t>4월</t>
        </is>
      </c>
      <c r="O20" s="60" t="inlineStr">
        <is>
          <t>5월</t>
        </is>
      </c>
      <c r="P20" s="60" t="inlineStr">
        <is>
          <t>6월</t>
        </is>
      </c>
      <c r="Q20" s="60" t="inlineStr">
        <is>
          <t>7월</t>
        </is>
      </c>
      <c r="R20" s="60" t="inlineStr">
        <is>
          <t>8월</t>
        </is>
      </c>
      <c r="S20" s="60" t="inlineStr">
        <is>
          <t>9월</t>
        </is>
      </c>
      <c r="T20" s="60" t="inlineStr">
        <is>
          <t>10월</t>
        </is>
      </c>
      <c r="U20" s="60" t="inlineStr">
        <is>
          <t>11월</t>
        </is>
      </c>
      <c r="V20" s="60" t="inlineStr">
        <is>
          <t>12월</t>
        </is>
      </c>
      <c r="W20" s="61" t="n"/>
      <c r="X20" s="61" t="n"/>
      <c r="Y20" s="61" t="n"/>
    </row>
    <row r="21" ht="28.5" customHeight="1" s="71">
      <c r="B21" s="3" t="inlineStr">
        <is>
          <t>대한민국</t>
        </is>
      </c>
      <c r="C21" s="3" t="inlineStr">
        <is>
          <t>본사</t>
        </is>
      </c>
      <c r="D21" s="3" t="inlineStr">
        <is>
          <t>도로 운송 (일반화물트럭)</t>
        </is>
      </c>
      <c r="E21" s="3" t="inlineStr">
        <is>
          <t>제품 A</t>
        </is>
      </c>
      <c r="F21" s="3" t="inlineStr">
        <is>
          <t>ton</t>
        </is>
      </c>
      <c r="G21" s="23" t="inlineStr">
        <is>
          <t>평택공장</t>
        </is>
      </c>
      <c r="H21" s="23" t="inlineStr">
        <is>
          <t>고객사</t>
        </is>
      </c>
      <c r="I21" s="4" t="n">
        <v>200</v>
      </c>
      <c r="J21" s="3">
        <f>IF(SUM(K21:V21)=0,"",SUM(K21:V21))</f>
        <v/>
      </c>
      <c r="K21" s="3" t="n">
        <v>10</v>
      </c>
      <c r="L21" s="3" t="n">
        <v>10</v>
      </c>
      <c r="M21" s="3" t="n">
        <v>10</v>
      </c>
      <c r="N21" s="3" t="n">
        <v>10</v>
      </c>
      <c r="O21" s="3" t="n">
        <v>10</v>
      </c>
      <c r="P21" s="3" t="n">
        <v>10</v>
      </c>
      <c r="Q21" s="3" t="n">
        <v>10</v>
      </c>
      <c r="R21" s="3" t="n">
        <v>10</v>
      </c>
      <c r="S21" s="3" t="n">
        <v>10</v>
      </c>
      <c r="T21" s="3" t="n">
        <v>10</v>
      </c>
      <c r="U21" s="3" t="n">
        <v>10</v>
      </c>
      <c r="V21" s="3" t="n">
        <v>10</v>
      </c>
      <c r="W21" s="4" t="inlineStr">
        <is>
          <t>출고 물류</t>
        </is>
      </c>
      <c r="X21" s="5" t="n"/>
      <c r="Y21" s="5" t="n"/>
    </row>
    <row r="22">
      <c r="B22" s="6" t="n"/>
      <c r="C22" s="6" t="n"/>
      <c r="D22" s="6" t="n"/>
      <c r="E22" s="6" t="n"/>
      <c r="F22" s="6" t="n"/>
      <c r="G22" s="24" t="n"/>
      <c r="H22" s="24" t="n"/>
      <c r="I22" s="7" t="n"/>
      <c r="J22" s="6">
        <f>IF(SUM(K22:V22)=0,"",SUM(K22:V22))</f>
        <v/>
      </c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7" t="n"/>
      <c r="X22" s="8" t="n"/>
      <c r="Y22" s="8" t="n"/>
    </row>
    <row r="23">
      <c r="B23" s="6" t="n"/>
      <c r="C23" s="6" t="n"/>
      <c r="D23" s="6" t="n"/>
      <c r="E23" s="6" t="n"/>
      <c r="F23" s="6" t="n"/>
      <c r="G23" s="24" t="n"/>
      <c r="H23" s="24" t="n"/>
      <c r="I23" s="7" t="n"/>
      <c r="J23" s="6">
        <f>IF(SUM(K23:V23)=0,"",SUM(K23:V23))</f>
        <v/>
      </c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7" t="n"/>
      <c r="X23" s="8" t="n"/>
      <c r="Y23" s="8" t="n"/>
    </row>
    <row r="24">
      <c r="B24" s="6" t="n"/>
      <c r="C24" s="6" t="n"/>
      <c r="D24" s="6" t="n"/>
      <c r="E24" s="6" t="n"/>
      <c r="F24" s="6" t="n"/>
      <c r="G24" s="24" t="n"/>
      <c r="H24" s="24" t="n"/>
      <c r="I24" s="7" t="n"/>
      <c r="J24" s="6">
        <f>IF(SUM(K24:V24)=0,"",SUM(K24:V24))</f>
        <v/>
      </c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7" t="n"/>
      <c r="X24" s="8" t="n"/>
      <c r="Y24" s="8" t="n"/>
    </row>
    <row r="25">
      <c r="B25" s="6" t="n"/>
      <c r="C25" s="6" t="n"/>
      <c r="D25" s="6" t="n"/>
      <c r="E25" s="6" t="n"/>
      <c r="F25" s="6" t="n"/>
      <c r="G25" s="24" t="n"/>
      <c r="H25" s="24" t="n"/>
      <c r="I25" s="7" t="n"/>
      <c r="J25" s="6">
        <f>IF(SUM(K25:V25)=0,"",SUM(K25:V25))</f>
        <v/>
      </c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7" t="n"/>
      <c r="X25" s="8" t="n"/>
      <c r="Y25" s="8" t="n"/>
    </row>
    <row r="26">
      <c r="B26" s="6" t="n"/>
      <c r="C26" s="6" t="n"/>
      <c r="D26" s="6" t="n"/>
      <c r="E26" s="6" t="n"/>
      <c r="F26" s="6" t="n"/>
      <c r="G26" s="24" t="n"/>
      <c r="H26" s="24" t="n"/>
      <c r="I26" s="7" t="n"/>
      <c r="J26" s="6">
        <f>IF(SUM(K26:V26)=0,"",SUM(K26:V26))</f>
        <v/>
      </c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7" t="n"/>
      <c r="X26" s="8" t="n"/>
      <c r="Y26" s="8" t="n"/>
    </row>
    <row r="27">
      <c r="B27" s="6" t="n"/>
      <c r="C27" s="6" t="n"/>
      <c r="D27" s="6" t="n"/>
      <c r="E27" s="6" t="n"/>
      <c r="F27" s="6" t="n"/>
      <c r="G27" s="24" t="n"/>
      <c r="H27" s="24" t="n"/>
      <c r="I27" s="7" t="n"/>
      <c r="J27" s="6">
        <f>IF(SUM(K27:V27)=0,"",SUM(K27:V27))</f>
        <v/>
      </c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7" t="n"/>
      <c r="X27" s="8" t="n"/>
      <c r="Y27" s="8" t="n"/>
    </row>
    <row r="28">
      <c r="B28" s="6" t="n"/>
      <c r="C28" s="6" t="n"/>
      <c r="D28" s="6" t="n"/>
      <c r="E28" s="6" t="n"/>
      <c r="F28" s="6" t="n"/>
      <c r="G28" s="24" t="n"/>
      <c r="H28" s="24" t="n"/>
      <c r="I28" s="7" t="n"/>
      <c r="J28" s="6">
        <f>IF(SUM(K28:V28)=0,"",SUM(K28:V28))</f>
        <v/>
      </c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7" t="n"/>
      <c r="X28" s="8" t="n"/>
      <c r="Y28" s="8" t="n"/>
    </row>
    <row r="29">
      <c r="B29" s="6" t="n"/>
      <c r="C29" s="6" t="n"/>
      <c r="D29" s="6" t="n"/>
      <c r="E29" s="6" t="n"/>
      <c r="F29" s="6" t="n"/>
      <c r="G29" s="24" t="n"/>
      <c r="H29" s="24" t="n"/>
      <c r="I29" s="7" t="n"/>
      <c r="J29" s="6">
        <f>IF(SUM(K29:V29)=0,"",SUM(K29:V29))</f>
        <v/>
      </c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7" t="n"/>
      <c r="X29" s="8" t="n"/>
      <c r="Y29" s="8" t="n"/>
    </row>
    <row r="30">
      <c r="B30" s="6" t="n"/>
      <c r="C30" s="6" t="n"/>
      <c r="D30" s="6" t="n"/>
      <c r="E30" s="6" t="n"/>
      <c r="F30" s="6" t="n"/>
      <c r="G30" s="24" t="n"/>
      <c r="H30" s="24" t="n"/>
      <c r="I30" s="7" t="n"/>
      <c r="J30" s="6">
        <f>IF(SUM(K30:V30)=0,"",SUM(K30:V30))</f>
        <v/>
      </c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7" t="n"/>
      <c r="X30" s="8" t="n"/>
      <c r="Y30" s="8" t="n"/>
    </row>
    <row r="31">
      <c r="B31" s="6" t="n"/>
      <c r="C31" s="6" t="n"/>
      <c r="D31" s="6" t="n"/>
      <c r="E31" s="6" t="n"/>
      <c r="F31" s="6" t="n"/>
      <c r="G31" s="24" t="n"/>
      <c r="H31" s="24" t="n"/>
      <c r="I31" s="7" t="n"/>
      <c r="J31" s="6">
        <f>IF(SUM(K31:V31)=0,"",SUM(K31:V31))</f>
        <v/>
      </c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7" t="n"/>
      <c r="X31" s="8" t="n"/>
      <c r="Y31" s="8" t="n"/>
    </row>
    <row r="32">
      <c r="B32" s="6" t="n"/>
      <c r="C32" s="6" t="n"/>
      <c r="D32" s="6" t="n"/>
      <c r="E32" s="6" t="n"/>
      <c r="F32" s="6" t="n"/>
      <c r="G32" s="24" t="n"/>
      <c r="H32" s="24" t="n"/>
      <c r="I32" s="7" t="n"/>
      <c r="J32" s="6">
        <f>IF(SUM(K32:V32)=0,"",SUM(K32:V32))</f>
        <v/>
      </c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7" t="n"/>
      <c r="X32" s="8" t="n"/>
      <c r="Y32" s="8" t="n"/>
    </row>
    <row r="33">
      <c r="B33" s="6" t="n"/>
      <c r="C33" s="6" t="n"/>
      <c r="D33" s="6" t="n"/>
      <c r="E33" s="6" t="n"/>
      <c r="F33" s="6" t="n"/>
      <c r="G33" s="24" t="n"/>
      <c r="H33" s="24" t="n"/>
      <c r="I33" s="7" t="n"/>
      <c r="J33" s="6">
        <f>IF(SUM(K33:V33)=0,"",SUM(K33:V33))</f>
        <v/>
      </c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7" t="n"/>
      <c r="X33" s="8" t="n"/>
      <c r="Y33" s="8" t="n"/>
    </row>
    <row r="34">
      <c r="B34" s="6" t="n"/>
      <c r="C34" s="6" t="n"/>
      <c r="D34" s="6" t="n"/>
      <c r="E34" s="6" t="n"/>
      <c r="F34" s="6" t="n"/>
      <c r="G34" s="24" t="n"/>
      <c r="H34" s="24" t="n"/>
      <c r="I34" s="7" t="n"/>
      <c r="J34" s="6">
        <f>IF(SUM(K34:V34)=0,"",SUM(K34:V34))</f>
        <v/>
      </c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7" t="n"/>
      <c r="X34" s="8" t="n"/>
      <c r="Y34" s="8" t="n"/>
    </row>
    <row r="35">
      <c r="B35" s="6" t="n"/>
      <c r="C35" s="6" t="n"/>
      <c r="D35" s="6" t="n"/>
      <c r="E35" s="6" t="n"/>
      <c r="F35" s="6" t="n"/>
      <c r="G35" s="24" t="n"/>
      <c r="H35" s="24" t="n"/>
      <c r="I35" s="7" t="n"/>
      <c r="J35" s="6">
        <f>IF(SUM(K35:V35)=0,"",SUM(K35:V35))</f>
        <v/>
      </c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7" t="n"/>
      <c r="X35" s="8" t="n"/>
      <c r="Y35" s="8" t="n"/>
    </row>
    <row r="36">
      <c r="B36" s="6" t="n"/>
      <c r="C36" s="6" t="n"/>
      <c r="D36" s="6" t="n"/>
      <c r="E36" s="6" t="n"/>
      <c r="F36" s="6" t="n"/>
      <c r="G36" s="24" t="n"/>
      <c r="H36" s="24" t="n"/>
      <c r="I36" s="7" t="n"/>
      <c r="J36" s="6">
        <f>IF(SUM(K36:V36)=0,"",SUM(K36:V36))</f>
        <v/>
      </c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7" t="n"/>
      <c r="X36" s="8" t="n"/>
      <c r="Y36" s="8" t="n"/>
    </row>
    <row r="37">
      <c r="B37" s="6" t="n"/>
      <c r="C37" s="6" t="n"/>
      <c r="D37" s="6" t="n"/>
      <c r="E37" s="6" t="n"/>
      <c r="F37" s="6" t="n"/>
      <c r="G37" s="24" t="n"/>
      <c r="H37" s="24" t="n"/>
      <c r="I37" s="7" t="n"/>
      <c r="J37" s="6">
        <f>IF(SUM(K37:V37)=0,"",SUM(K37:V37))</f>
        <v/>
      </c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7" t="n"/>
      <c r="X37" s="8" t="n"/>
      <c r="Y37" s="8" t="n"/>
    </row>
    <row r="38">
      <c r="B38" s="6" t="n"/>
      <c r="C38" s="6" t="n"/>
      <c r="D38" s="6" t="n"/>
      <c r="E38" s="6" t="n"/>
      <c r="F38" s="6" t="n"/>
      <c r="G38" s="24" t="n"/>
      <c r="H38" s="24" t="n"/>
      <c r="I38" s="7" t="n"/>
      <c r="J38" s="6">
        <f>IF(SUM(K38:V38)=0,"",SUM(K38:V38))</f>
        <v/>
      </c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7" t="n"/>
      <c r="X38" s="8" t="n"/>
      <c r="Y38" s="8" t="n"/>
    </row>
    <row r="39">
      <c r="B39" s="6" t="n"/>
      <c r="C39" s="6" t="n"/>
      <c r="D39" s="6" t="n"/>
      <c r="E39" s="6" t="n"/>
      <c r="F39" s="6" t="n"/>
      <c r="G39" s="24" t="n"/>
      <c r="H39" s="24" t="n"/>
      <c r="I39" s="7" t="n"/>
      <c r="J39" s="6">
        <f>IF(SUM(K39:V39)=0,"",SUM(K39:V39))</f>
        <v/>
      </c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7" t="n"/>
      <c r="X39" s="8" t="n"/>
      <c r="Y39" s="8" t="n"/>
    </row>
    <row r="40">
      <c r="B40" s="6" t="n"/>
      <c r="C40" s="6" t="n"/>
      <c r="D40" s="6" t="n"/>
      <c r="E40" s="6" t="n"/>
      <c r="F40" s="6" t="n"/>
      <c r="G40" s="24" t="n"/>
      <c r="H40" s="24" t="n"/>
      <c r="I40" s="7" t="n"/>
      <c r="J40" s="6">
        <f>IF(SUM(K40:V40)=0,"",SUM(K40:V40))</f>
        <v/>
      </c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7" t="n"/>
      <c r="X40" s="8" t="n"/>
      <c r="Y40" s="8" t="n"/>
    </row>
    <row r="41">
      <c r="B41" s="6" t="n"/>
      <c r="C41" s="6" t="n"/>
      <c r="D41" s="6" t="n"/>
      <c r="E41" s="6" t="n"/>
      <c r="F41" s="6" t="n"/>
      <c r="G41" s="24" t="n"/>
      <c r="H41" s="24" t="n"/>
      <c r="I41" s="7" t="n"/>
      <c r="J41" s="6">
        <f>IF(SUM(K41:V41)=0,"",SUM(K41:V41))</f>
        <v/>
      </c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7" t="n"/>
      <c r="X41" s="8" t="n"/>
      <c r="Y41" s="8" t="n"/>
    </row>
    <row r="42">
      <c r="B42" s="6" t="n"/>
      <c r="C42" s="6" t="n"/>
      <c r="D42" s="6" t="n"/>
      <c r="E42" s="6" t="n"/>
      <c r="F42" s="6" t="n"/>
      <c r="G42" s="24" t="n"/>
      <c r="H42" s="24" t="n"/>
      <c r="I42" s="7" t="n"/>
      <c r="J42" s="6">
        <f>IF(SUM(K42:V42)=0,"",SUM(K42:V42))</f>
        <v/>
      </c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7" t="n"/>
      <c r="X42" s="8" t="n"/>
      <c r="Y42" s="8" t="n"/>
    </row>
    <row r="43">
      <c r="B43" s="6" t="n"/>
      <c r="C43" s="6" t="n"/>
      <c r="D43" s="6" t="n"/>
      <c r="E43" s="6" t="n"/>
      <c r="F43" s="6" t="n"/>
      <c r="G43" s="24" t="n"/>
      <c r="H43" s="24" t="n"/>
      <c r="I43" s="7" t="n"/>
      <c r="J43" s="6">
        <f>IF(SUM(K43:V43)=0,"",SUM(K43:V43))</f>
        <v/>
      </c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7" t="n"/>
      <c r="X43" s="8" t="n"/>
      <c r="Y43" s="8" t="n"/>
    </row>
    <row r="44">
      <c r="B44" s="6" t="n"/>
      <c r="C44" s="6" t="n"/>
      <c r="D44" s="6" t="n"/>
      <c r="E44" s="6" t="n"/>
      <c r="F44" s="6" t="n"/>
      <c r="G44" s="24" t="n"/>
      <c r="H44" s="24" t="n"/>
      <c r="I44" s="7" t="n"/>
      <c r="J44" s="6">
        <f>IF(SUM(K44:V44)=0,"",SUM(K44:V44))</f>
        <v/>
      </c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7" t="n"/>
      <c r="X44" s="8" t="n"/>
      <c r="Y44" s="8" t="n"/>
    </row>
    <row r="45">
      <c r="B45" s="6" t="n"/>
      <c r="C45" s="6" t="n"/>
      <c r="D45" s="6" t="n"/>
      <c r="E45" s="6" t="n"/>
      <c r="F45" s="6" t="n"/>
      <c r="G45" s="24" t="n"/>
      <c r="H45" s="24" t="n"/>
      <c r="I45" s="7" t="n"/>
      <c r="J45" s="6">
        <f>IF(SUM(K45:V45)=0,"",SUM(K45:V45))</f>
        <v/>
      </c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7" t="n"/>
      <c r="X45" s="8" t="n"/>
      <c r="Y45" s="8" t="n"/>
    </row>
    <row r="46">
      <c r="B46" s="6" t="n"/>
      <c r="C46" s="6" t="n"/>
      <c r="D46" s="6" t="n"/>
      <c r="E46" s="6" t="n"/>
      <c r="F46" s="6" t="n"/>
      <c r="G46" s="24" t="n"/>
      <c r="H46" s="24" t="n"/>
      <c r="I46" s="7" t="n"/>
      <c r="J46" s="6">
        <f>IF(SUM(K46:V46)=0,"",SUM(K46:V46))</f>
        <v/>
      </c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7" t="n"/>
      <c r="X46" s="8" t="n"/>
      <c r="Y46" s="8" t="n"/>
    </row>
    <row r="47">
      <c r="B47" s="6" t="n"/>
      <c r="C47" s="6" t="n"/>
      <c r="D47" s="6" t="n"/>
      <c r="E47" s="6" t="n"/>
      <c r="F47" s="6" t="n"/>
      <c r="G47" s="24" t="n"/>
      <c r="H47" s="24" t="n"/>
      <c r="I47" s="7" t="n"/>
      <c r="J47" s="6">
        <f>IF(SUM(K47:V47)=0,"",SUM(K47:V47))</f>
        <v/>
      </c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7" t="n"/>
      <c r="X47" s="8" t="n"/>
      <c r="Y47" s="8" t="n"/>
    </row>
    <row r="48">
      <c r="B48" s="6" t="n"/>
      <c r="C48" s="6" t="n"/>
      <c r="D48" s="6" t="n"/>
      <c r="E48" s="6" t="n"/>
      <c r="F48" s="6" t="n"/>
      <c r="G48" s="24" t="n"/>
      <c r="H48" s="24" t="n"/>
      <c r="I48" s="7" t="n"/>
      <c r="J48" s="6">
        <f>IF(SUM(K48:V48)=0,"",SUM(K48:V48))</f>
        <v/>
      </c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7" t="n"/>
      <c r="X48" s="8" t="n"/>
      <c r="Y48" s="8" t="n"/>
    </row>
    <row r="49">
      <c r="B49" s="6" t="n"/>
      <c r="C49" s="6" t="n"/>
      <c r="D49" s="6" t="n"/>
      <c r="E49" s="6" t="n"/>
      <c r="F49" s="6" t="n"/>
      <c r="G49" s="24" t="n"/>
      <c r="H49" s="24" t="n"/>
      <c r="I49" s="7" t="n"/>
      <c r="J49" s="6">
        <f>IF(SUM(K49:V49)=0,"",SUM(K49:V49))</f>
        <v/>
      </c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7" t="n"/>
      <c r="X49" s="8" t="n"/>
      <c r="Y49" s="8" t="n"/>
    </row>
    <row r="50">
      <c r="B50" s="6" t="n"/>
      <c r="C50" s="6" t="n"/>
      <c r="D50" s="6" t="n"/>
      <c r="E50" s="6" t="n"/>
      <c r="F50" s="6" t="n"/>
      <c r="G50" s="24" t="n"/>
      <c r="H50" s="24" t="n"/>
      <c r="I50" s="7" t="n"/>
      <c r="J50" s="6">
        <f>IF(SUM(K50:V50)=0,"",SUM(K50:V50))</f>
        <v/>
      </c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7" t="n"/>
      <c r="X50" s="8" t="n"/>
      <c r="Y50" s="8" t="n"/>
    </row>
    <row r="51">
      <c r="B51" s="6" t="n"/>
      <c r="C51" s="6" t="n"/>
      <c r="D51" s="6" t="n"/>
      <c r="E51" s="6" t="n"/>
      <c r="F51" s="6" t="n"/>
      <c r="G51" s="24" t="n"/>
      <c r="H51" s="24" t="n"/>
      <c r="I51" s="7" t="n"/>
      <c r="J51" s="6">
        <f>IF(SUM(K51:V51)=0,"",SUM(K51:V51))</f>
        <v/>
      </c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7" t="n"/>
      <c r="X51" s="8" t="n"/>
      <c r="Y51" s="8" t="n"/>
    </row>
    <row r="52">
      <c r="B52" s="6" t="n"/>
      <c r="C52" s="6" t="n"/>
      <c r="D52" s="6" t="n"/>
      <c r="E52" s="6" t="n"/>
      <c r="F52" s="6" t="n"/>
      <c r="G52" s="24" t="n"/>
      <c r="H52" s="24" t="n"/>
      <c r="I52" s="7" t="n"/>
      <c r="J52" s="6">
        <f>IF(SUM(K52:V52)=0,"",SUM(K52:V52))</f>
        <v/>
      </c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7" t="n"/>
      <c r="X52" s="8" t="n"/>
      <c r="Y52" s="8" t="n"/>
    </row>
    <row r="53">
      <c r="B53" s="6" t="n"/>
      <c r="C53" s="6" t="n"/>
      <c r="D53" s="6" t="n"/>
      <c r="E53" s="6" t="n"/>
      <c r="F53" s="6" t="n"/>
      <c r="G53" s="24" t="n"/>
      <c r="H53" s="24" t="n"/>
      <c r="I53" s="7" t="n"/>
      <c r="J53" s="6">
        <f>IF(SUM(K53:V53)=0,"",SUM(K53:V53))</f>
        <v/>
      </c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7" t="n"/>
      <c r="X53" s="8" t="n"/>
      <c r="Y53" s="8" t="n"/>
    </row>
    <row r="54">
      <c r="B54" s="6" t="n"/>
      <c r="C54" s="6" t="n"/>
      <c r="D54" s="6" t="n"/>
      <c r="E54" s="6" t="n"/>
      <c r="F54" s="6" t="n"/>
      <c r="G54" s="24" t="n"/>
      <c r="H54" s="24" t="n"/>
      <c r="I54" s="7" t="n"/>
      <c r="J54" s="6">
        <f>IF(SUM(K54:V54)=0,"",SUM(K54:V54))</f>
        <v/>
      </c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7" t="n"/>
      <c r="X54" s="8" t="n"/>
      <c r="Y54" s="8" t="n"/>
    </row>
    <row r="55">
      <c r="B55" s="6" t="n"/>
      <c r="C55" s="6" t="n"/>
      <c r="D55" s="6" t="n"/>
      <c r="E55" s="6" t="n"/>
      <c r="F55" s="6" t="n"/>
      <c r="G55" s="24" t="n"/>
      <c r="H55" s="24" t="n"/>
      <c r="I55" s="7" t="n"/>
      <c r="J55" s="6">
        <f>IF(SUM(K55:V55)=0,"",SUM(K55:V55))</f>
        <v/>
      </c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7" t="n"/>
      <c r="X55" s="8" t="n"/>
      <c r="Y55" s="8" t="n"/>
    </row>
    <row r="56">
      <c r="B56" s="6" t="n"/>
      <c r="C56" s="6" t="n"/>
      <c r="D56" s="6" t="n"/>
      <c r="E56" s="6" t="n"/>
      <c r="F56" s="6" t="n"/>
      <c r="G56" s="24" t="n"/>
      <c r="H56" s="24" t="n"/>
      <c r="I56" s="7" t="n"/>
      <c r="J56" s="6">
        <f>IF(SUM(K56:V56)=0,"",SUM(K56:V56))</f>
        <v/>
      </c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7" t="n"/>
      <c r="X56" s="8" t="n"/>
      <c r="Y56" s="8" t="n"/>
    </row>
  </sheetData>
  <mergeCells count="12">
    <mergeCell ref="D19:D20"/>
    <mergeCell ref="Y19:Y20"/>
    <mergeCell ref="W19:W20"/>
    <mergeCell ref="F19:F20"/>
    <mergeCell ref="G19:G20"/>
    <mergeCell ref="K19:V19"/>
    <mergeCell ref="E19:E20"/>
    <mergeCell ref="I19:I20"/>
    <mergeCell ref="X19:X20"/>
    <mergeCell ref="B19:B20"/>
    <mergeCell ref="H19:H20"/>
    <mergeCell ref="C19:C20"/>
  </mergeCells>
  <dataValidations count="2">
    <dataValidation sqref="D22:D221" showDropDown="0" showInputMessage="0" showErrorMessage="1" allowBlank="1" errorTitle="드롭다운 값 확인" error="배출계수 DB 기준 드롭다운 목록에서 선택해 주세요." type="list">
      <formula1>DD_TRANSPORT_DISTANCE</formula1>
    </dataValidation>
    <dataValidation sqref="F22:F221" showDropDown="0" showInputMessage="0" showErrorMessage="1" allowBlank="1" errorTitle="드롭다운 값 확인" error="배출계수 DB 기준 드롭다운 목록에서 선택해 주세요." type="list">
      <formula1>DD_TRANSPORT_WEIGHT_UNIT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V56"/>
  <sheetViews>
    <sheetView workbookViewId="0">
      <selection activeCell="B18" sqref="B18"/>
    </sheetView>
  </sheetViews>
  <sheetFormatPr baseColWidth="8" defaultRowHeight="14.25"/>
  <cols>
    <col width="10" customWidth="1" style="71" min="2" max="2"/>
    <col width="16" customWidth="1" style="71" min="3" max="3"/>
    <col width="12" customWidth="1" style="71" min="4" max="4"/>
    <col width="20" customWidth="1" style="71" min="5" max="5"/>
    <col width="16" customWidth="1" style="71" min="6" max="7"/>
    <col width="8" customWidth="1" style="71" min="8" max="19"/>
    <col width="18" customWidth="1" style="71" min="20" max="20"/>
    <col width="20.75" bestFit="1" customWidth="1" style="71" min="21" max="21"/>
    <col width="16" customWidth="1" style="71" min="22" max="22"/>
  </cols>
  <sheetData>
    <row r="2" ht="20.25" customHeight="1" s="71">
      <c r="B2" s="1" t="inlineStr">
        <is>
          <t>C9. 다운스트림 운송·배송 2안. 운송금액 기반</t>
        </is>
      </c>
    </row>
    <row r="4">
      <c r="B4" s="2" t="inlineStr">
        <is>
          <t>카테고리 정의</t>
        </is>
      </c>
    </row>
    <row r="5">
      <c r="B5" s="11" t="inlineStr">
        <is>
          <t>- 보고년도에 판매한 제품의 하류 운송·배송 비용을 기준으로 산정하는 온실가스 배출량</t>
        </is>
      </c>
    </row>
    <row r="6">
      <c r="B6" s="11" t="inlineStr">
        <is>
          <t>- 출발지, 도착지, 운송거리, 화물중량을 알 수 없고 운송비 또는 물류비만 확인 가능한 경우 작성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Σ(운송지출금액 × 운송/물류 지출기반 배출계수)</t>
        </is>
      </c>
    </row>
    <row r="11">
      <c r="B11" s="22" t="inlineStr">
        <is>
          <t xml:space="preserve"> - 배출계수는 US EPA Supply Chain Greenhouse Gas Emission Factors v1.3 등 지출기반 배출계수 활용</t>
        </is>
      </c>
    </row>
    <row r="12">
      <c r="B12" s="11" t="inlineStr">
        <is>
          <t>2) 운송수단은 도로, 해상, 항공, 철도 중 실제 주요 운송수단을 선택</t>
        </is>
      </c>
    </row>
    <row r="13">
      <c r="B13" s="11" t="inlineStr">
        <is>
          <t>3) C4 업스트림 운송·배송에 이미 포함된 운송비는 중복 작성하지 않음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5" customHeight="1" s="71">
      <c r="B19" s="60" t="inlineStr">
        <is>
          <t>*국가</t>
        </is>
      </c>
      <c r="C19" s="60" t="inlineStr">
        <is>
          <t>*사업장</t>
        </is>
      </c>
      <c r="D19" s="60" t="inlineStr">
        <is>
          <t>*운송수단</t>
        </is>
      </c>
      <c r="E19" s="60" t="inlineStr">
        <is>
          <t>*제품명</t>
        </is>
      </c>
      <c r="F19" s="60" t="inlineStr">
        <is>
          <t>거래처명(선택)</t>
        </is>
      </c>
      <c r="G19" s="62" t="inlineStr">
        <is>
          <t>연간 입력</t>
        </is>
      </c>
      <c r="H19" s="62" t="inlineStr">
        <is>
          <t>월별 운송금액</t>
        </is>
      </c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4" t="n"/>
      <c r="T19" s="60" t="inlineStr">
        <is>
          <t>비고(선택)</t>
        </is>
      </c>
      <c r="U19" s="60" t="inlineStr">
        <is>
          <t>배출계수(kgCO2e/원)</t>
        </is>
      </c>
      <c r="V19" s="60" t="inlineStr">
        <is>
          <t>배출량(tCO2e)</t>
        </is>
      </c>
    </row>
    <row r="20" ht="15.75" customHeight="1" s="71">
      <c r="B20" s="61" t="n"/>
      <c r="C20" s="61" t="n"/>
      <c r="D20" s="61" t="n"/>
      <c r="E20" s="61" t="n"/>
      <c r="F20" s="61" t="n"/>
      <c r="G20" s="60" t="inlineStr">
        <is>
          <t>연간운송금액(원)</t>
        </is>
      </c>
      <c r="H20" s="60" t="inlineStr">
        <is>
          <t>1월</t>
        </is>
      </c>
      <c r="I20" s="60" t="inlineStr">
        <is>
          <t>2월</t>
        </is>
      </c>
      <c r="J20" s="60" t="inlineStr">
        <is>
          <t>3월</t>
        </is>
      </c>
      <c r="K20" s="60" t="inlineStr">
        <is>
          <t>4월</t>
        </is>
      </c>
      <c r="L20" s="60" t="inlineStr">
        <is>
          <t>5월</t>
        </is>
      </c>
      <c r="M20" s="60" t="inlineStr">
        <is>
          <t>6월</t>
        </is>
      </c>
      <c r="N20" s="60" t="inlineStr">
        <is>
          <t>7월</t>
        </is>
      </c>
      <c r="O20" s="60" t="inlineStr">
        <is>
          <t>8월</t>
        </is>
      </c>
      <c r="P20" s="60" t="inlineStr">
        <is>
          <t>9월</t>
        </is>
      </c>
      <c r="Q20" s="60" t="inlineStr">
        <is>
          <t>10월</t>
        </is>
      </c>
      <c r="R20" s="60" t="inlineStr">
        <is>
          <t>11월</t>
        </is>
      </c>
      <c r="S20" s="60" t="inlineStr">
        <is>
          <t>12월</t>
        </is>
      </c>
      <c r="T20" s="61" t="n"/>
      <c r="U20" s="61" t="n"/>
      <c r="V20" s="61" t="n"/>
    </row>
    <row r="21" ht="28.5" customHeight="1" s="71">
      <c r="B21" s="3" t="inlineStr">
        <is>
          <t>대한민국</t>
        </is>
      </c>
      <c r="C21" s="3" t="inlineStr">
        <is>
          <t>본사</t>
        </is>
      </c>
      <c r="D21" s="3" t="inlineStr">
        <is>
          <t>화물트럭 운송</t>
        </is>
      </c>
      <c r="E21" s="3" t="inlineStr">
        <is>
          <t>제품 A</t>
        </is>
      </c>
      <c r="F21" s="4" t="inlineStr">
        <is>
          <t>물류업체</t>
        </is>
      </c>
      <c r="G21" s="3">
        <f>IF(SUM(H21:S21)=0,"",SUM(H21:S21))</f>
        <v/>
      </c>
      <c r="H21" s="3" t="n">
        <v>500000</v>
      </c>
      <c r="I21" s="3" t="n">
        <v>500000</v>
      </c>
      <c r="J21" s="3" t="n">
        <v>500000</v>
      </c>
      <c r="K21" s="3" t="n">
        <v>500000</v>
      </c>
      <c r="L21" s="3" t="n">
        <v>500000</v>
      </c>
      <c r="M21" s="3" t="n">
        <v>500000</v>
      </c>
      <c r="N21" s="3" t="n">
        <v>500000</v>
      </c>
      <c r="O21" s="3" t="n">
        <v>500000</v>
      </c>
      <c r="P21" s="3" t="n">
        <v>500000</v>
      </c>
      <c r="Q21" s="3" t="n">
        <v>500000</v>
      </c>
      <c r="R21" s="3" t="n">
        <v>500000</v>
      </c>
      <c r="S21" s="3" t="n">
        <v>500000</v>
      </c>
      <c r="T21" s="4" t="inlineStr">
        <is>
          <t>배송비 기준</t>
        </is>
      </c>
      <c r="U21" s="5" t="n"/>
      <c r="V21" s="5" t="n"/>
    </row>
    <row r="22">
      <c r="B22" s="6" t="n"/>
      <c r="C22" s="6" t="n"/>
      <c r="D22" s="6" t="n"/>
      <c r="E22" s="6" t="n"/>
      <c r="F22" s="7" t="n"/>
      <c r="G22" s="6">
        <f>IF(SUM(H22:S22)=0,"",SUM(H22:S22))</f>
        <v/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7" t="n"/>
      <c r="U22" s="8" t="n"/>
      <c r="V22" s="8" t="n"/>
    </row>
    <row r="23">
      <c r="B23" s="6" t="n"/>
      <c r="C23" s="6" t="n"/>
      <c r="D23" s="6" t="n"/>
      <c r="E23" s="6" t="n"/>
      <c r="F23" s="7" t="n"/>
      <c r="G23" s="6">
        <f>IF(SUM(H23:S23)=0,"",SUM(H23:S23))</f>
        <v/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7" t="n"/>
      <c r="U23" s="8" t="n"/>
      <c r="V23" s="8" t="n"/>
    </row>
    <row r="24">
      <c r="B24" s="6" t="n"/>
      <c r="C24" s="6" t="n"/>
      <c r="D24" s="6" t="n"/>
      <c r="E24" s="6" t="n"/>
      <c r="F24" s="7" t="n"/>
      <c r="G24" s="6">
        <f>IF(SUM(H24:S24)=0,"",SUM(H24:S24))</f>
        <v/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7" t="n"/>
      <c r="U24" s="8" t="n"/>
      <c r="V24" s="8" t="n"/>
    </row>
    <row r="25">
      <c r="B25" s="6" t="n"/>
      <c r="C25" s="6" t="n"/>
      <c r="D25" s="6" t="n"/>
      <c r="E25" s="6" t="n"/>
      <c r="F25" s="7" t="n"/>
      <c r="G25" s="6">
        <f>IF(SUM(H25:S25)=0,"",SUM(H25:S25))</f>
        <v/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7" t="n"/>
      <c r="U25" s="8" t="n"/>
      <c r="V25" s="8" t="n"/>
    </row>
    <row r="26">
      <c r="B26" s="6" t="n"/>
      <c r="C26" s="6" t="n"/>
      <c r="D26" s="6" t="n"/>
      <c r="E26" s="6" t="n"/>
      <c r="F26" s="7" t="n"/>
      <c r="G26" s="6">
        <f>IF(SUM(H26:S26)=0,"",SUM(H26:S26))</f>
        <v/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7" t="n"/>
      <c r="U26" s="8" t="n"/>
      <c r="V26" s="8" t="n"/>
    </row>
    <row r="27">
      <c r="B27" s="6" t="n"/>
      <c r="C27" s="6" t="n"/>
      <c r="D27" s="6" t="n"/>
      <c r="E27" s="6" t="n"/>
      <c r="F27" s="7" t="n"/>
      <c r="G27" s="6">
        <f>IF(SUM(H27:S27)=0,"",SUM(H27:S27))</f>
        <v/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7" t="n"/>
      <c r="U27" s="8" t="n"/>
      <c r="V27" s="8" t="n"/>
    </row>
    <row r="28">
      <c r="B28" s="6" t="n"/>
      <c r="C28" s="6" t="n"/>
      <c r="D28" s="6" t="n"/>
      <c r="E28" s="6" t="n"/>
      <c r="F28" s="7" t="n"/>
      <c r="G28" s="6">
        <f>IF(SUM(H28:S28)=0,"",SUM(H28:S28))</f>
        <v/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7" t="n"/>
      <c r="U28" s="8" t="n"/>
      <c r="V28" s="8" t="n"/>
    </row>
    <row r="29">
      <c r="B29" s="6" t="n"/>
      <c r="C29" s="6" t="n"/>
      <c r="D29" s="6" t="n"/>
      <c r="E29" s="6" t="n"/>
      <c r="F29" s="7" t="n"/>
      <c r="G29" s="6">
        <f>IF(SUM(H29:S29)=0,"",SUM(H29:S29))</f>
        <v/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7" t="n"/>
      <c r="U29" s="8" t="n"/>
      <c r="V29" s="8" t="n"/>
    </row>
    <row r="30">
      <c r="B30" s="6" t="n"/>
      <c r="C30" s="6" t="n"/>
      <c r="D30" s="6" t="n"/>
      <c r="E30" s="6" t="n"/>
      <c r="F30" s="7" t="n"/>
      <c r="G30" s="6">
        <f>IF(SUM(H30:S30)=0,"",SUM(H30:S30))</f>
        <v/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7" t="n"/>
      <c r="U30" s="8" t="n"/>
      <c r="V30" s="8" t="n"/>
    </row>
    <row r="31">
      <c r="B31" s="6" t="n"/>
      <c r="C31" s="6" t="n"/>
      <c r="D31" s="6" t="n"/>
      <c r="E31" s="6" t="n"/>
      <c r="F31" s="7" t="n"/>
      <c r="G31" s="6">
        <f>IF(SUM(H31:S31)=0,"",SUM(H31:S31))</f>
        <v/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7" t="n"/>
      <c r="U31" s="8" t="n"/>
      <c r="V31" s="8" t="n"/>
    </row>
    <row r="32">
      <c r="B32" s="6" t="n"/>
      <c r="C32" s="6" t="n"/>
      <c r="D32" s="6" t="n"/>
      <c r="E32" s="6" t="n"/>
      <c r="F32" s="7" t="n"/>
      <c r="G32" s="6">
        <f>IF(SUM(H32:S32)=0,"",SUM(H32:S32))</f>
        <v/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7" t="n"/>
      <c r="U32" s="8" t="n"/>
      <c r="V32" s="8" t="n"/>
    </row>
    <row r="33">
      <c r="B33" s="6" t="n"/>
      <c r="C33" s="6" t="n"/>
      <c r="D33" s="6" t="n"/>
      <c r="E33" s="6" t="n"/>
      <c r="F33" s="7" t="n"/>
      <c r="G33" s="6">
        <f>IF(SUM(H33:S33)=0,"",SUM(H33:S33))</f>
        <v/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7" t="n"/>
      <c r="U33" s="8" t="n"/>
      <c r="V33" s="8" t="n"/>
    </row>
    <row r="34">
      <c r="B34" s="6" t="n"/>
      <c r="C34" s="6" t="n"/>
      <c r="D34" s="6" t="n"/>
      <c r="E34" s="6" t="n"/>
      <c r="F34" s="7" t="n"/>
      <c r="G34" s="6">
        <f>IF(SUM(H34:S34)=0,"",SUM(H34:S34))</f>
        <v/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7" t="n"/>
      <c r="U34" s="8" t="n"/>
      <c r="V34" s="8" t="n"/>
    </row>
    <row r="35">
      <c r="B35" s="6" t="n"/>
      <c r="C35" s="6" t="n"/>
      <c r="D35" s="6" t="n"/>
      <c r="E35" s="6" t="n"/>
      <c r="F35" s="7" t="n"/>
      <c r="G35" s="6">
        <f>IF(SUM(H35:S35)=0,"",SUM(H35:S35))</f>
        <v/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7" t="n"/>
      <c r="U35" s="8" t="n"/>
      <c r="V35" s="8" t="n"/>
    </row>
    <row r="36">
      <c r="B36" s="6" t="n"/>
      <c r="C36" s="6" t="n"/>
      <c r="D36" s="6" t="n"/>
      <c r="E36" s="6" t="n"/>
      <c r="F36" s="7" t="n"/>
      <c r="G36" s="6">
        <f>IF(SUM(H36:S36)=0,"",SUM(H36:S36))</f>
        <v/>
      </c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7" t="n"/>
      <c r="U36" s="8" t="n"/>
      <c r="V36" s="8" t="n"/>
    </row>
    <row r="37">
      <c r="B37" s="6" t="n"/>
      <c r="C37" s="6" t="n"/>
      <c r="D37" s="6" t="n"/>
      <c r="E37" s="6" t="n"/>
      <c r="F37" s="7" t="n"/>
      <c r="G37" s="6">
        <f>IF(SUM(H37:S37)=0,"",SUM(H37:S37))</f>
        <v/>
      </c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7" t="n"/>
      <c r="U37" s="8" t="n"/>
      <c r="V37" s="8" t="n"/>
    </row>
    <row r="38">
      <c r="B38" s="6" t="n"/>
      <c r="C38" s="6" t="n"/>
      <c r="D38" s="6" t="n"/>
      <c r="E38" s="6" t="n"/>
      <c r="F38" s="7" t="n"/>
      <c r="G38" s="6">
        <f>IF(SUM(H38:S38)=0,"",SUM(H38:S38))</f>
        <v/>
      </c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7" t="n"/>
      <c r="U38" s="8" t="n"/>
      <c r="V38" s="8" t="n"/>
    </row>
    <row r="39">
      <c r="B39" s="6" t="n"/>
      <c r="C39" s="6" t="n"/>
      <c r="D39" s="6" t="n"/>
      <c r="E39" s="6" t="n"/>
      <c r="F39" s="7" t="n"/>
      <c r="G39" s="6">
        <f>IF(SUM(H39:S39)=0,"",SUM(H39:S39))</f>
        <v/>
      </c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7" t="n"/>
      <c r="U39" s="8" t="n"/>
      <c r="V39" s="8" t="n"/>
    </row>
    <row r="40">
      <c r="B40" s="6" t="n"/>
      <c r="C40" s="6" t="n"/>
      <c r="D40" s="6" t="n"/>
      <c r="E40" s="6" t="n"/>
      <c r="F40" s="7" t="n"/>
      <c r="G40" s="6">
        <f>IF(SUM(H40:S40)=0,"",SUM(H40:S40))</f>
        <v/>
      </c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7" t="n"/>
      <c r="U40" s="8" t="n"/>
      <c r="V40" s="8" t="n"/>
    </row>
    <row r="41">
      <c r="B41" s="6" t="n"/>
      <c r="C41" s="6" t="n"/>
      <c r="D41" s="6" t="n"/>
      <c r="E41" s="6" t="n"/>
      <c r="F41" s="7" t="n"/>
      <c r="G41" s="6">
        <f>IF(SUM(H41:S41)=0,"",SUM(H41:S41))</f>
        <v/>
      </c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7" t="n"/>
      <c r="U41" s="8" t="n"/>
      <c r="V41" s="8" t="n"/>
    </row>
    <row r="42">
      <c r="B42" s="6" t="n"/>
      <c r="C42" s="6" t="n"/>
      <c r="D42" s="6" t="n"/>
      <c r="E42" s="6" t="n"/>
      <c r="F42" s="7" t="n"/>
      <c r="G42" s="6">
        <f>IF(SUM(H42:S42)=0,"",SUM(H42:S42))</f>
        <v/>
      </c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7" t="n"/>
      <c r="U42" s="8" t="n"/>
      <c r="V42" s="8" t="n"/>
    </row>
    <row r="43">
      <c r="B43" s="6" t="n"/>
      <c r="C43" s="6" t="n"/>
      <c r="D43" s="6" t="n"/>
      <c r="E43" s="6" t="n"/>
      <c r="F43" s="7" t="n"/>
      <c r="G43" s="6">
        <f>IF(SUM(H43:S43)=0,"",SUM(H43:S43))</f>
        <v/>
      </c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7" t="n"/>
      <c r="U43" s="8" t="n"/>
      <c r="V43" s="8" t="n"/>
    </row>
    <row r="44">
      <c r="B44" s="6" t="n"/>
      <c r="C44" s="6" t="n"/>
      <c r="D44" s="6" t="n"/>
      <c r="E44" s="6" t="n"/>
      <c r="F44" s="7" t="n"/>
      <c r="G44" s="6">
        <f>IF(SUM(H44:S44)=0,"",SUM(H44:S44))</f>
        <v/>
      </c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7" t="n"/>
      <c r="U44" s="8" t="n"/>
      <c r="V44" s="8" t="n"/>
    </row>
    <row r="45">
      <c r="B45" s="6" t="n"/>
      <c r="C45" s="6" t="n"/>
      <c r="D45" s="6" t="n"/>
      <c r="E45" s="6" t="n"/>
      <c r="F45" s="7" t="n"/>
      <c r="G45" s="6">
        <f>IF(SUM(H45:S45)=0,"",SUM(H45:S45))</f>
        <v/>
      </c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7" t="n"/>
      <c r="U45" s="8" t="n"/>
      <c r="V45" s="8" t="n"/>
    </row>
    <row r="46">
      <c r="B46" s="6" t="n"/>
      <c r="C46" s="6" t="n"/>
      <c r="D46" s="6" t="n"/>
      <c r="E46" s="6" t="n"/>
      <c r="F46" s="7" t="n"/>
      <c r="G46" s="6">
        <f>IF(SUM(H46:S46)=0,"",SUM(H46:S46))</f>
        <v/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7" t="n"/>
      <c r="U46" s="8" t="n"/>
      <c r="V46" s="8" t="n"/>
    </row>
    <row r="47">
      <c r="B47" s="6" t="n"/>
      <c r="C47" s="6" t="n"/>
      <c r="D47" s="6" t="n"/>
      <c r="E47" s="6" t="n"/>
      <c r="F47" s="7" t="n"/>
      <c r="G47" s="6">
        <f>IF(SUM(H47:S47)=0,"",SUM(H47:S47))</f>
        <v/>
      </c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7" t="n"/>
      <c r="U47" s="8" t="n"/>
      <c r="V47" s="8" t="n"/>
    </row>
    <row r="48">
      <c r="B48" s="6" t="n"/>
      <c r="C48" s="6" t="n"/>
      <c r="D48" s="6" t="n"/>
      <c r="E48" s="6" t="n"/>
      <c r="F48" s="7" t="n"/>
      <c r="G48" s="6">
        <f>IF(SUM(H48:S48)=0,"",SUM(H48:S48))</f>
        <v/>
      </c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7" t="n"/>
      <c r="U48" s="8" t="n"/>
      <c r="V48" s="8" t="n"/>
    </row>
    <row r="49">
      <c r="B49" s="6" t="n"/>
      <c r="C49" s="6" t="n"/>
      <c r="D49" s="6" t="n"/>
      <c r="E49" s="6" t="n"/>
      <c r="F49" s="7" t="n"/>
      <c r="G49" s="6">
        <f>IF(SUM(H49:S49)=0,"",SUM(H49:S49))</f>
        <v/>
      </c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7" t="n"/>
      <c r="U49" s="8" t="n"/>
      <c r="V49" s="8" t="n"/>
    </row>
    <row r="50">
      <c r="B50" s="6" t="n"/>
      <c r="C50" s="6" t="n"/>
      <c r="D50" s="6" t="n"/>
      <c r="E50" s="6" t="n"/>
      <c r="F50" s="7" t="n"/>
      <c r="G50" s="6">
        <f>IF(SUM(H50:S50)=0,"",SUM(H50:S50))</f>
        <v/>
      </c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7" t="n"/>
      <c r="U50" s="8" t="n"/>
      <c r="V50" s="8" t="n"/>
    </row>
    <row r="51">
      <c r="B51" s="6" t="n"/>
      <c r="C51" s="6" t="n"/>
      <c r="D51" s="6" t="n"/>
      <c r="E51" s="6" t="n"/>
      <c r="F51" s="7" t="n"/>
      <c r="G51" s="6">
        <f>IF(SUM(H51:S51)=0,"",SUM(H51:S51))</f>
        <v/>
      </c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7" t="n"/>
      <c r="U51" s="8" t="n"/>
      <c r="V51" s="8" t="n"/>
    </row>
    <row r="52">
      <c r="B52" s="6" t="n"/>
      <c r="C52" s="6" t="n"/>
      <c r="D52" s="6" t="n"/>
      <c r="E52" s="6" t="n"/>
      <c r="F52" s="7" t="n"/>
      <c r="G52" s="6">
        <f>IF(SUM(H52:S52)=0,"",SUM(H52:S52))</f>
        <v/>
      </c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7" t="n"/>
      <c r="U52" s="8" t="n"/>
      <c r="V52" s="8" t="n"/>
    </row>
    <row r="53">
      <c r="B53" s="6" t="n"/>
      <c r="C53" s="6" t="n"/>
      <c r="D53" s="6" t="n"/>
      <c r="E53" s="6" t="n"/>
      <c r="F53" s="7" t="n"/>
      <c r="G53" s="6">
        <f>IF(SUM(H53:S53)=0,"",SUM(H53:S53))</f>
        <v/>
      </c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7" t="n"/>
      <c r="U53" s="8" t="n"/>
      <c r="V53" s="8" t="n"/>
    </row>
    <row r="54">
      <c r="B54" s="6" t="n"/>
      <c r="C54" s="6" t="n"/>
      <c r="D54" s="6" t="n"/>
      <c r="E54" s="6" t="n"/>
      <c r="F54" s="7" t="n"/>
      <c r="G54" s="6">
        <f>IF(SUM(H54:S54)=0,"",SUM(H54:S54))</f>
        <v/>
      </c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7" t="n"/>
      <c r="U54" s="8" t="n"/>
      <c r="V54" s="8" t="n"/>
    </row>
    <row r="55">
      <c r="B55" s="6" t="n"/>
      <c r="C55" s="6" t="n"/>
      <c r="D55" s="6" t="n"/>
      <c r="E55" s="6" t="n"/>
      <c r="F55" s="7" t="n"/>
      <c r="G55" s="6">
        <f>IF(SUM(H55:S55)=0,"",SUM(H55:S55))</f>
        <v/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7" t="n"/>
      <c r="U55" s="8" t="n"/>
      <c r="V55" s="8" t="n"/>
    </row>
    <row r="56">
      <c r="B56" s="6" t="n"/>
      <c r="C56" s="6" t="n"/>
      <c r="D56" s="6" t="n"/>
      <c r="E56" s="6" t="n"/>
      <c r="F56" s="7" t="n"/>
      <c r="G56" s="6">
        <f>IF(SUM(H56:S56)=0,"",SUM(H56:S56))</f>
        <v/>
      </c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7" t="n"/>
      <c r="U56" s="8" t="n"/>
      <c r="V56" s="8" t="n"/>
    </row>
  </sheetData>
  <mergeCells count="9">
    <mergeCell ref="U19:U20"/>
    <mergeCell ref="D19:D20"/>
    <mergeCell ref="F19:F20"/>
    <mergeCell ref="H19:S19"/>
    <mergeCell ref="V19:V20"/>
    <mergeCell ref="E19:E20"/>
    <mergeCell ref="T19:T20"/>
    <mergeCell ref="B19:B20"/>
    <mergeCell ref="C19:C20"/>
  </mergeCells>
  <dataValidations count="1">
    <dataValidation sqref="D22:D221" showDropDown="0" showInputMessage="0" showErrorMessage="1" allowBlank="1" errorTitle="드롭다운 값 확인" error="배출계수 DB 기준 드롭다운 목록에서 선택해 주세요." type="list">
      <formula1>DD_TRANSPORT_SPEND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M56"/>
  <sheetViews>
    <sheetView workbookViewId="0">
      <selection activeCell="B18" sqref="B18"/>
    </sheetView>
  </sheetViews>
  <sheetFormatPr baseColWidth="8" defaultRowHeight="14.25"/>
  <cols>
    <col width="10" customWidth="1" style="71" min="2" max="2"/>
    <col width="16" customWidth="1" style="71" min="3" max="3"/>
    <col width="12" customWidth="1" style="71" min="4" max="4"/>
    <col width="20" customWidth="1" style="71" min="5" max="5"/>
    <col width="12" customWidth="1" style="71" min="6" max="6"/>
    <col width="16" customWidth="1" style="71" min="7" max="7"/>
    <col width="24" customWidth="1" style="71" min="8" max="8"/>
    <col width="10" customWidth="1" style="71" min="9" max="9"/>
    <col width="28" customWidth="1" style="71" min="10" max="10"/>
    <col width="24" customWidth="1" style="71" min="11" max="11"/>
    <col width="20" customWidth="1" style="71" min="12" max="12"/>
    <col width="16" customWidth="1" style="71" min="13" max="13"/>
  </cols>
  <sheetData>
    <row r="2" ht="20.25" customHeight="1" s="71">
      <c r="B2" s="1" t="inlineStr">
        <is>
          <t>C11. 판매제품 사용</t>
        </is>
      </c>
    </row>
    <row r="4">
      <c r="B4" s="2" t="inlineStr">
        <is>
          <t>카테고리 정의</t>
        </is>
      </c>
    </row>
    <row r="5">
      <c r="B5" s="11" t="inlineStr">
        <is>
          <t>- 보고년도에 판매된 제품이 최종소비자에게 사용되는 과정에서 발생하는 온실가스 배출량</t>
        </is>
      </c>
    </row>
    <row r="6">
      <c r="B6" s="11" t="inlineStr">
        <is>
          <t>- 에너지를 직접 소비하는 제품, 연료를 사용하는 제품, 사용 단계 배출이 중요한 제품이 대상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Σ(판매수량 × 제품당 연간 에너지 사용량 × 평균 사용기간 × 에너지원별 배출계수)</t>
        </is>
      </c>
    </row>
    <row r="11">
      <c r="B11" s="22" t="inlineStr">
        <is>
          <t xml:space="preserve"> - 온실가스 배출계수는 환경부-환경성적표지(EPD) 평가계수를 활용</t>
        </is>
      </c>
    </row>
    <row r="12">
      <c r="B12" s="11" t="inlineStr">
        <is>
          <t>2) 제품별 판매량, 에너지명, 사용량, 사용기간은 반드시 작성</t>
        </is>
      </c>
    </row>
    <row r="13">
      <c r="B13" s="11" t="inlineStr">
        <is>
          <t>3) 제품 사용 단계 배출이 없는 제품은 작성하지 않음</t>
        </is>
      </c>
    </row>
    <row r="16">
      <c r="B16" s="12" t="inlineStr">
        <is>
          <t>※ 사용 기준: 제품/자산별 기초정보를 기준으로 작성합니다.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>
      <c r="B19" s="60" t="inlineStr">
        <is>
          <t>*국가</t>
        </is>
      </c>
      <c r="C19" s="60" t="inlineStr">
        <is>
          <t>그룹(선택)</t>
        </is>
      </c>
      <c r="D19" s="60" t="inlineStr">
        <is>
          <t>*보고연도</t>
        </is>
      </c>
      <c r="E19" s="60" t="inlineStr">
        <is>
          <t>*제품명</t>
        </is>
      </c>
      <c r="F19" s="60" t="inlineStr">
        <is>
          <t>*제품수량</t>
        </is>
      </c>
      <c r="G19" s="60" t="inlineStr">
        <is>
          <t>*에너지명</t>
        </is>
      </c>
      <c r="H19" s="60" t="inlineStr">
        <is>
          <t>*제품당 연간 에너지 사용량</t>
        </is>
      </c>
      <c r="I19" s="60" t="inlineStr">
        <is>
          <t>*단위</t>
        </is>
      </c>
      <c r="J19" s="60" t="inlineStr">
        <is>
          <t>*수명(개월) 혹은 평균 사용기간(개월)</t>
        </is>
      </c>
      <c r="K19" s="60" t="inlineStr">
        <is>
          <t>설명/적요(선택)</t>
        </is>
      </c>
      <c r="L19" s="60" t="inlineStr">
        <is>
          <t>배출계수(tCO2e/단위)</t>
        </is>
      </c>
      <c r="M19" s="60" t="inlineStr">
        <is>
          <t>배출량(tCO2e)</t>
        </is>
      </c>
    </row>
    <row r="20" ht="15" customHeight="1" s="71">
      <c r="B20" s="61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61" t="n"/>
      <c r="L20" s="61" t="n"/>
      <c r="M20" s="61" t="n"/>
    </row>
    <row r="21">
      <c r="B21" s="3" t="inlineStr">
        <is>
          <t>대한민국</t>
        </is>
      </c>
      <c r="C21" s="4" t="inlineStr">
        <is>
          <t>소형가전</t>
        </is>
      </c>
      <c r="D21" s="3" t="n">
        <v>2025</v>
      </c>
      <c r="E21" s="3" t="inlineStr">
        <is>
          <t>전기제품 A</t>
        </is>
      </c>
      <c r="F21" s="3" t="n">
        <v>1000</v>
      </c>
      <c r="G21" s="3" t="inlineStr">
        <is>
          <t>전력</t>
        </is>
      </c>
      <c r="H21" s="3" t="n">
        <v>150</v>
      </c>
      <c r="I21" s="3" t="inlineStr">
        <is>
          <t>kWh</t>
        </is>
      </c>
      <c r="J21" s="3" t="n">
        <v>60</v>
      </c>
      <c r="K21" s="4" t="inlineStr">
        <is>
          <t>제품 사용 전력</t>
        </is>
      </c>
      <c r="L21" s="5" t="inlineStr">
        <is>
          <t>AI 추천</t>
        </is>
      </c>
      <c r="M21" s="5" t="inlineStr">
        <is>
          <t>AI 자동산정</t>
        </is>
      </c>
    </row>
    <row r="22">
      <c r="B22" s="6" t="n"/>
      <c r="C22" s="7" t="n"/>
      <c r="D22" s="6" t="n"/>
      <c r="E22" s="6" t="n"/>
      <c r="F22" s="6" t="n"/>
      <c r="G22" s="6" t="n"/>
      <c r="H22" s="6" t="n"/>
      <c r="I22" s="6" t="n"/>
      <c r="J22" s="6" t="n"/>
      <c r="K22" s="7" t="n"/>
      <c r="L22" s="8" t="n"/>
      <c r="M22" s="8" t="n"/>
    </row>
    <row r="23">
      <c r="B23" s="6" t="n"/>
      <c r="C23" s="7" t="n"/>
      <c r="D23" s="6" t="n"/>
      <c r="E23" s="6" t="n"/>
      <c r="F23" s="6" t="n"/>
      <c r="G23" s="6" t="n"/>
      <c r="H23" s="6" t="n"/>
      <c r="I23" s="6" t="n"/>
      <c r="J23" s="6" t="n"/>
      <c r="K23" s="7" t="n"/>
      <c r="L23" s="8" t="n"/>
      <c r="M23" s="8" t="n"/>
    </row>
    <row r="24">
      <c r="B24" s="6" t="n"/>
      <c r="C24" s="7" t="n"/>
      <c r="D24" s="6" t="n"/>
      <c r="E24" s="6" t="n"/>
      <c r="F24" s="6" t="n"/>
      <c r="G24" s="6" t="n"/>
      <c r="H24" s="6" t="n"/>
      <c r="I24" s="6" t="n"/>
      <c r="J24" s="6" t="n"/>
      <c r="K24" s="7" t="n"/>
      <c r="L24" s="8" t="n"/>
      <c r="M24" s="8" t="n"/>
    </row>
    <row r="25">
      <c r="B25" s="6" t="n"/>
      <c r="C25" s="7" t="n"/>
      <c r="D25" s="6" t="n"/>
      <c r="E25" s="6" t="n"/>
      <c r="F25" s="6" t="n"/>
      <c r="G25" s="6" t="n"/>
      <c r="H25" s="6" t="n"/>
      <c r="I25" s="6" t="n"/>
      <c r="J25" s="6" t="n"/>
      <c r="K25" s="7" t="n"/>
      <c r="L25" s="8" t="n"/>
      <c r="M25" s="8" t="n"/>
    </row>
    <row r="26">
      <c r="B26" s="6" t="n"/>
      <c r="C26" s="7" t="n"/>
      <c r="D26" s="6" t="n"/>
      <c r="E26" s="6" t="n"/>
      <c r="F26" s="6" t="n"/>
      <c r="G26" s="6" t="n"/>
      <c r="H26" s="6" t="n"/>
      <c r="I26" s="6" t="n"/>
      <c r="J26" s="6" t="n"/>
      <c r="K26" s="7" t="n"/>
      <c r="L26" s="8" t="n"/>
      <c r="M26" s="8" t="n"/>
    </row>
    <row r="27">
      <c r="B27" s="6" t="n"/>
      <c r="C27" s="7" t="n"/>
      <c r="D27" s="6" t="n"/>
      <c r="E27" s="6" t="n"/>
      <c r="F27" s="6" t="n"/>
      <c r="G27" s="6" t="n"/>
      <c r="H27" s="6" t="n"/>
      <c r="I27" s="6" t="n"/>
      <c r="J27" s="6" t="n"/>
      <c r="K27" s="7" t="n"/>
      <c r="L27" s="8" t="n"/>
      <c r="M27" s="8" t="n"/>
    </row>
    <row r="28">
      <c r="B28" s="6" t="n"/>
      <c r="C28" s="7" t="n"/>
      <c r="D28" s="6" t="n"/>
      <c r="E28" s="6" t="n"/>
      <c r="F28" s="6" t="n"/>
      <c r="G28" s="6" t="n"/>
      <c r="H28" s="6" t="n"/>
      <c r="I28" s="6" t="n"/>
      <c r="J28" s="6" t="n"/>
      <c r="K28" s="7" t="n"/>
      <c r="L28" s="8" t="n"/>
      <c r="M28" s="8" t="n"/>
    </row>
    <row r="29">
      <c r="B29" s="6" t="n"/>
      <c r="C29" s="7" t="n"/>
      <c r="D29" s="6" t="n"/>
      <c r="E29" s="6" t="n"/>
      <c r="F29" s="6" t="n"/>
      <c r="G29" s="6" t="n"/>
      <c r="H29" s="6" t="n"/>
      <c r="I29" s="6" t="n"/>
      <c r="J29" s="6" t="n"/>
      <c r="K29" s="7" t="n"/>
      <c r="L29" s="8" t="n"/>
      <c r="M29" s="8" t="n"/>
    </row>
    <row r="30">
      <c r="B30" s="6" t="n"/>
      <c r="C30" s="7" t="n"/>
      <c r="D30" s="6" t="n"/>
      <c r="E30" s="6" t="n"/>
      <c r="F30" s="6" t="n"/>
      <c r="G30" s="6" t="n"/>
      <c r="H30" s="6" t="n"/>
      <c r="I30" s="6" t="n"/>
      <c r="J30" s="6" t="n"/>
      <c r="K30" s="7" t="n"/>
      <c r="L30" s="8" t="n"/>
      <c r="M30" s="8" t="n"/>
    </row>
    <row r="31">
      <c r="B31" s="6" t="n"/>
      <c r="C31" s="7" t="n"/>
      <c r="D31" s="6" t="n"/>
      <c r="E31" s="6" t="n"/>
      <c r="F31" s="6" t="n"/>
      <c r="G31" s="6" t="n"/>
      <c r="H31" s="6" t="n"/>
      <c r="I31" s="6" t="n"/>
      <c r="J31" s="6" t="n"/>
      <c r="K31" s="7" t="n"/>
      <c r="L31" s="8" t="n"/>
      <c r="M31" s="8" t="n"/>
    </row>
    <row r="32">
      <c r="B32" s="6" t="n"/>
      <c r="C32" s="7" t="n"/>
      <c r="D32" s="6" t="n"/>
      <c r="E32" s="6" t="n"/>
      <c r="F32" s="6" t="n"/>
      <c r="G32" s="6" t="n"/>
      <c r="H32" s="6" t="n"/>
      <c r="I32" s="6" t="n"/>
      <c r="J32" s="6" t="n"/>
      <c r="K32" s="7" t="n"/>
      <c r="L32" s="8" t="n"/>
      <c r="M32" s="8" t="n"/>
    </row>
    <row r="33">
      <c r="B33" s="6" t="n"/>
      <c r="C33" s="7" t="n"/>
      <c r="D33" s="6" t="n"/>
      <c r="E33" s="6" t="n"/>
      <c r="F33" s="6" t="n"/>
      <c r="G33" s="6" t="n"/>
      <c r="H33" s="6" t="n"/>
      <c r="I33" s="6" t="n"/>
      <c r="J33" s="6" t="n"/>
      <c r="K33" s="7" t="n"/>
      <c r="L33" s="8" t="n"/>
      <c r="M33" s="8" t="n"/>
    </row>
    <row r="34">
      <c r="B34" s="6" t="n"/>
      <c r="C34" s="7" t="n"/>
      <c r="D34" s="6" t="n"/>
      <c r="E34" s="6" t="n"/>
      <c r="F34" s="6" t="n"/>
      <c r="G34" s="6" t="n"/>
      <c r="H34" s="6" t="n"/>
      <c r="I34" s="6" t="n"/>
      <c r="J34" s="6" t="n"/>
      <c r="K34" s="7" t="n"/>
      <c r="L34" s="8" t="n"/>
      <c r="M34" s="8" t="n"/>
    </row>
    <row r="35">
      <c r="B35" s="6" t="n"/>
      <c r="C35" s="7" t="n"/>
      <c r="D35" s="6" t="n"/>
      <c r="E35" s="6" t="n"/>
      <c r="F35" s="6" t="n"/>
      <c r="G35" s="6" t="n"/>
      <c r="H35" s="6" t="n"/>
      <c r="I35" s="6" t="n"/>
      <c r="J35" s="6" t="n"/>
      <c r="K35" s="7" t="n"/>
      <c r="L35" s="8" t="n"/>
      <c r="M35" s="8" t="n"/>
    </row>
    <row r="36">
      <c r="B36" s="6" t="n"/>
      <c r="C36" s="7" t="n"/>
      <c r="D36" s="6" t="n"/>
      <c r="E36" s="6" t="n"/>
      <c r="F36" s="6" t="n"/>
      <c r="G36" s="6" t="n"/>
      <c r="H36" s="6" t="n"/>
      <c r="I36" s="6" t="n"/>
      <c r="J36" s="6" t="n"/>
      <c r="K36" s="7" t="n"/>
      <c r="L36" s="8" t="n"/>
      <c r="M36" s="8" t="n"/>
    </row>
    <row r="37">
      <c r="B37" s="6" t="n"/>
      <c r="C37" s="7" t="n"/>
      <c r="D37" s="6" t="n"/>
      <c r="E37" s="6" t="n"/>
      <c r="F37" s="6" t="n"/>
      <c r="G37" s="6" t="n"/>
      <c r="H37" s="6" t="n"/>
      <c r="I37" s="6" t="n"/>
      <c r="J37" s="6" t="n"/>
      <c r="K37" s="7" t="n"/>
      <c r="L37" s="8" t="n"/>
      <c r="M37" s="8" t="n"/>
    </row>
    <row r="38">
      <c r="B38" s="6" t="n"/>
      <c r="C38" s="7" t="n"/>
      <c r="D38" s="6" t="n"/>
      <c r="E38" s="6" t="n"/>
      <c r="F38" s="6" t="n"/>
      <c r="G38" s="6" t="n"/>
      <c r="H38" s="6" t="n"/>
      <c r="I38" s="6" t="n"/>
      <c r="J38" s="6" t="n"/>
      <c r="K38" s="7" t="n"/>
      <c r="L38" s="8" t="n"/>
      <c r="M38" s="8" t="n"/>
    </row>
    <row r="39">
      <c r="B39" s="6" t="n"/>
      <c r="C39" s="7" t="n"/>
      <c r="D39" s="6" t="n"/>
      <c r="E39" s="6" t="n"/>
      <c r="F39" s="6" t="n"/>
      <c r="G39" s="6" t="n"/>
      <c r="H39" s="6" t="n"/>
      <c r="I39" s="6" t="n"/>
      <c r="J39" s="6" t="n"/>
      <c r="K39" s="7" t="n"/>
      <c r="L39" s="8" t="n"/>
      <c r="M39" s="8" t="n"/>
    </row>
    <row r="40">
      <c r="B40" s="6" t="n"/>
      <c r="C40" s="7" t="n"/>
      <c r="D40" s="6" t="n"/>
      <c r="E40" s="6" t="n"/>
      <c r="F40" s="6" t="n"/>
      <c r="G40" s="6" t="n"/>
      <c r="H40" s="6" t="n"/>
      <c r="I40" s="6" t="n"/>
      <c r="J40" s="6" t="n"/>
      <c r="K40" s="7" t="n"/>
      <c r="L40" s="8" t="n"/>
      <c r="M40" s="8" t="n"/>
    </row>
    <row r="41">
      <c r="B41" s="6" t="n"/>
      <c r="C41" s="7" t="n"/>
      <c r="D41" s="6" t="n"/>
      <c r="E41" s="6" t="n"/>
      <c r="F41" s="6" t="n"/>
      <c r="G41" s="6" t="n"/>
      <c r="H41" s="6" t="n"/>
      <c r="I41" s="6" t="n"/>
      <c r="J41" s="6" t="n"/>
      <c r="K41" s="7" t="n"/>
      <c r="L41" s="8" t="n"/>
      <c r="M41" s="8" t="n"/>
    </row>
    <row r="42">
      <c r="B42" s="6" t="n"/>
      <c r="C42" s="7" t="n"/>
      <c r="D42" s="6" t="n"/>
      <c r="E42" s="6" t="n"/>
      <c r="F42" s="6" t="n"/>
      <c r="G42" s="6" t="n"/>
      <c r="H42" s="6" t="n"/>
      <c r="I42" s="6" t="n"/>
      <c r="J42" s="6" t="n"/>
      <c r="K42" s="7" t="n"/>
      <c r="L42" s="8" t="n"/>
      <c r="M42" s="8" t="n"/>
    </row>
    <row r="43">
      <c r="B43" s="6" t="n"/>
      <c r="C43" s="7" t="n"/>
      <c r="D43" s="6" t="n"/>
      <c r="E43" s="6" t="n"/>
      <c r="F43" s="6" t="n"/>
      <c r="G43" s="6" t="n"/>
      <c r="H43" s="6" t="n"/>
      <c r="I43" s="6" t="n"/>
      <c r="J43" s="6" t="n"/>
      <c r="K43" s="7" t="n"/>
      <c r="L43" s="8" t="n"/>
      <c r="M43" s="8" t="n"/>
    </row>
    <row r="44">
      <c r="B44" s="6" t="n"/>
      <c r="C44" s="7" t="n"/>
      <c r="D44" s="6" t="n"/>
      <c r="E44" s="6" t="n"/>
      <c r="F44" s="6" t="n"/>
      <c r="G44" s="6" t="n"/>
      <c r="H44" s="6" t="n"/>
      <c r="I44" s="6" t="n"/>
      <c r="J44" s="6" t="n"/>
      <c r="K44" s="7" t="n"/>
      <c r="L44" s="8" t="n"/>
      <c r="M44" s="8" t="n"/>
    </row>
    <row r="45">
      <c r="B45" s="6" t="n"/>
      <c r="C45" s="7" t="n"/>
      <c r="D45" s="6" t="n"/>
      <c r="E45" s="6" t="n"/>
      <c r="F45" s="6" t="n"/>
      <c r="G45" s="6" t="n"/>
      <c r="H45" s="6" t="n"/>
      <c r="I45" s="6" t="n"/>
      <c r="J45" s="6" t="n"/>
      <c r="K45" s="7" t="n"/>
      <c r="L45" s="8" t="n"/>
      <c r="M45" s="8" t="n"/>
    </row>
    <row r="46">
      <c r="B46" s="6" t="n"/>
      <c r="C46" s="7" t="n"/>
      <c r="D46" s="6" t="n"/>
      <c r="E46" s="6" t="n"/>
      <c r="F46" s="6" t="n"/>
      <c r="G46" s="6" t="n"/>
      <c r="H46" s="6" t="n"/>
      <c r="I46" s="6" t="n"/>
      <c r="J46" s="6" t="n"/>
      <c r="K46" s="7" t="n"/>
      <c r="L46" s="8" t="n"/>
      <c r="M46" s="8" t="n"/>
    </row>
    <row r="47">
      <c r="B47" s="6" t="n"/>
      <c r="C47" s="7" t="n"/>
      <c r="D47" s="6" t="n"/>
      <c r="E47" s="6" t="n"/>
      <c r="F47" s="6" t="n"/>
      <c r="G47" s="6" t="n"/>
      <c r="H47" s="6" t="n"/>
      <c r="I47" s="6" t="n"/>
      <c r="J47" s="6" t="n"/>
      <c r="K47" s="7" t="n"/>
      <c r="L47" s="8" t="n"/>
      <c r="M47" s="8" t="n"/>
    </row>
    <row r="48">
      <c r="B48" s="6" t="n"/>
      <c r="C48" s="7" t="n"/>
      <c r="D48" s="6" t="n"/>
      <c r="E48" s="6" t="n"/>
      <c r="F48" s="6" t="n"/>
      <c r="G48" s="6" t="n"/>
      <c r="H48" s="6" t="n"/>
      <c r="I48" s="6" t="n"/>
      <c r="J48" s="6" t="n"/>
      <c r="K48" s="7" t="n"/>
      <c r="L48" s="8" t="n"/>
      <c r="M48" s="8" t="n"/>
    </row>
    <row r="49">
      <c r="B49" s="6" t="n"/>
      <c r="C49" s="7" t="n"/>
      <c r="D49" s="6" t="n"/>
      <c r="E49" s="6" t="n"/>
      <c r="F49" s="6" t="n"/>
      <c r="G49" s="6" t="n"/>
      <c r="H49" s="6" t="n"/>
      <c r="I49" s="6" t="n"/>
      <c r="J49" s="6" t="n"/>
      <c r="K49" s="7" t="n"/>
      <c r="L49" s="8" t="n"/>
      <c r="M49" s="8" t="n"/>
    </row>
    <row r="50">
      <c r="B50" s="6" t="n"/>
      <c r="C50" s="7" t="n"/>
      <c r="D50" s="6" t="n"/>
      <c r="E50" s="6" t="n"/>
      <c r="F50" s="6" t="n"/>
      <c r="G50" s="6" t="n"/>
      <c r="H50" s="6" t="n"/>
      <c r="I50" s="6" t="n"/>
      <c r="J50" s="6" t="n"/>
      <c r="K50" s="7" t="n"/>
      <c r="L50" s="8" t="n"/>
      <c r="M50" s="8" t="n"/>
    </row>
    <row r="51">
      <c r="B51" s="6" t="n"/>
      <c r="C51" s="7" t="n"/>
      <c r="D51" s="6" t="n"/>
      <c r="E51" s="6" t="n"/>
      <c r="F51" s="6" t="n"/>
      <c r="G51" s="6" t="n"/>
      <c r="H51" s="6" t="n"/>
      <c r="I51" s="6" t="n"/>
      <c r="J51" s="6" t="n"/>
      <c r="K51" s="7" t="n"/>
      <c r="L51" s="8" t="n"/>
      <c r="M51" s="8" t="n"/>
    </row>
    <row r="52">
      <c r="B52" s="6" t="n"/>
      <c r="C52" s="7" t="n"/>
      <c r="D52" s="6" t="n"/>
      <c r="E52" s="6" t="n"/>
      <c r="F52" s="6" t="n"/>
      <c r="G52" s="6" t="n"/>
      <c r="H52" s="6" t="n"/>
      <c r="I52" s="6" t="n"/>
      <c r="J52" s="6" t="n"/>
      <c r="K52" s="7" t="n"/>
      <c r="L52" s="8" t="n"/>
      <c r="M52" s="8" t="n"/>
    </row>
    <row r="53">
      <c r="B53" s="6" t="n"/>
      <c r="C53" s="7" t="n"/>
      <c r="D53" s="6" t="n"/>
      <c r="E53" s="6" t="n"/>
      <c r="F53" s="6" t="n"/>
      <c r="G53" s="6" t="n"/>
      <c r="H53" s="6" t="n"/>
      <c r="I53" s="6" t="n"/>
      <c r="J53" s="6" t="n"/>
      <c r="K53" s="7" t="n"/>
      <c r="L53" s="8" t="n"/>
      <c r="M53" s="8" t="n"/>
    </row>
    <row r="54">
      <c r="B54" s="6" t="n"/>
      <c r="C54" s="7" t="n"/>
      <c r="D54" s="6" t="n"/>
      <c r="E54" s="6" t="n"/>
      <c r="F54" s="6" t="n"/>
      <c r="G54" s="6" t="n"/>
      <c r="H54" s="6" t="n"/>
      <c r="I54" s="6" t="n"/>
      <c r="J54" s="6" t="n"/>
      <c r="K54" s="7" t="n"/>
      <c r="L54" s="8" t="n"/>
      <c r="M54" s="8" t="n"/>
    </row>
    <row r="55">
      <c r="B55" s="6" t="n"/>
      <c r="C55" s="7" t="n"/>
      <c r="D55" s="6" t="n"/>
      <c r="E55" s="6" t="n"/>
      <c r="F55" s="6" t="n"/>
      <c r="G55" s="6" t="n"/>
      <c r="H55" s="6" t="n"/>
      <c r="I55" s="6" t="n"/>
      <c r="J55" s="6" t="n"/>
      <c r="K55" s="7" t="n"/>
      <c r="L55" s="8" t="n"/>
      <c r="M55" s="8" t="n"/>
    </row>
    <row r="56">
      <c r="B56" s="6" t="n"/>
      <c r="C56" s="7" t="n"/>
      <c r="D56" s="6" t="n"/>
      <c r="E56" s="6" t="n"/>
      <c r="F56" s="6" t="n"/>
      <c r="G56" s="6" t="n"/>
      <c r="H56" s="6" t="n"/>
      <c r="I56" s="6" t="n"/>
      <c r="J56" s="6" t="n"/>
      <c r="K56" s="7" t="n"/>
      <c r="L56" s="8" t="n"/>
      <c r="M56" s="8" t="n"/>
    </row>
  </sheetData>
  <mergeCells count="12">
    <mergeCell ref="D19:D20"/>
    <mergeCell ref="K19:K20"/>
    <mergeCell ref="F19:F20"/>
    <mergeCell ref="B19:B20"/>
    <mergeCell ref="M19:M20"/>
    <mergeCell ref="C19:C20"/>
    <mergeCell ref="E19:E20"/>
    <mergeCell ref="I19:I20"/>
    <mergeCell ref="G19:G20"/>
    <mergeCell ref="J19:J20"/>
    <mergeCell ref="H19:H20"/>
    <mergeCell ref="L19:L20"/>
  </mergeCells>
  <dataValidations count="2">
    <dataValidation sqref="G22:G221" showDropDown="0" showInputMessage="0" showErrorMessage="1" allowBlank="1" errorTitle="드롭다운 값 확인" error="배출계수 DB 기준 드롭다운 목록에서 선택해 주세요." type="list">
      <formula1>DD_ENERGY</formula1>
    </dataValidation>
    <dataValidation sqref="I22:I221" showDropDown="0" showInputMessage="0" showErrorMessage="1" allowBlank="1" errorTitle="드롭다운 값 확인" error="배출계수 DB 기준 드롭다운 목록에서 선택해 주세요." type="list">
      <formula1>DD_ENERGY_UNIT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AG307"/>
  <sheetViews>
    <sheetView topLeftCell="A2" workbookViewId="0">
      <selection activeCell="D17" sqref="D17"/>
    </sheetView>
  </sheetViews>
  <sheetFormatPr baseColWidth="8" defaultRowHeight="14.25"/>
  <cols>
    <col width="14" customWidth="1" style="71" min="2" max="2"/>
    <col width="34" customWidth="1" style="71" min="3" max="3"/>
    <col width="32" customWidth="1" style="71" min="4" max="4"/>
    <col width="38" customWidth="1" style="71" min="5" max="5"/>
    <col width="18" customWidth="1" style="71" min="6" max="6"/>
    <col width="12" customWidth="1" style="71" min="7" max="7"/>
    <col width="14" customWidth="1" style="71" min="8" max="8"/>
    <col width="16" customWidth="1" style="71" min="9" max="9"/>
    <col width="20.25" bestFit="1" customWidth="1" style="71" min="10" max="10"/>
    <col width="18.125" bestFit="1" customWidth="1" style="71" min="11" max="13"/>
    <col width="28" customWidth="1" style="71" min="14" max="14"/>
    <col width="18" customWidth="1" style="71" min="15" max="15"/>
    <col width="16" customWidth="1" style="71" min="16" max="16"/>
    <col hidden="1" width="1" customWidth="1" style="71" min="27" max="27"/>
    <col hidden="1" width="13" customWidth="1" style="71" min="28" max="33"/>
  </cols>
  <sheetData>
    <row r="1" ht="20.25" customHeight="1" s="71">
      <c r="AA1" s="42" t="inlineStr">
        <is>
          <t>대분류목록</t>
        </is>
      </c>
      <c r="AB1" s="1" t="n"/>
      <c r="AC1" s="42" t="inlineStr">
        <is>
          <t>대분류_매핑</t>
        </is>
      </c>
      <c r="AD1" s="42" t="inlineStr">
        <is>
          <t>중분류목록</t>
        </is>
      </c>
      <c r="AE1" s="1" t="n"/>
      <c r="AF1" s="42" t="inlineStr">
        <is>
          <t>중분류_매핑</t>
        </is>
      </c>
      <c r="AG1" s="42" t="inlineStr">
        <is>
          <t>소분류목록</t>
        </is>
      </c>
    </row>
    <row r="2" ht="20.25" customHeight="1" s="71">
      <c r="B2" s="1" t="inlineStr">
        <is>
          <t>C12. 판매제품 폐기</t>
        </is>
      </c>
      <c r="AA2" s="1" t="inlineStr">
        <is>
          <t>선택안함</t>
        </is>
      </c>
      <c r="AC2" s="1" t="inlineStr">
        <is>
          <t>선택안함</t>
        </is>
      </c>
      <c r="AD2" s="1" t="inlineStr">
        <is>
          <t>선택안함</t>
        </is>
      </c>
      <c r="AF2" s="1" t="inlineStr">
        <is>
          <t>선택안함</t>
        </is>
      </c>
      <c r="AG2" s="1" t="inlineStr">
        <is>
          <t>선택안함</t>
        </is>
      </c>
    </row>
    <row r="3" ht="20.25" customHeight="1" s="71">
      <c r="AA3" s="1" t="inlineStr">
        <is>
          <t>지정 1 | 특정시설에서 발생하는 폐기물</t>
        </is>
      </c>
      <c r="AC3" s="1" t="inlineStr">
        <is>
          <t>지정 1 | 특정시설에서 발생하는 폐기물</t>
        </is>
      </c>
      <c r="AD3" s="1" t="inlineStr">
        <is>
          <t>01-01 | 폐합성고분자화합물</t>
        </is>
      </c>
      <c r="AF3" s="1" t="inlineStr">
        <is>
          <t>01-01 | 폐합성고분자화합물</t>
        </is>
      </c>
      <c r="AG3" s="1" t="inlineStr">
        <is>
          <t>01-01-01 | 폐폴리에틸렌</t>
        </is>
      </c>
    </row>
    <row r="4" ht="20.25" customHeight="1" s="71">
      <c r="B4" s="2" t="inlineStr">
        <is>
          <t>카테고리 정의</t>
        </is>
      </c>
      <c r="AA4" s="1" t="inlineStr">
        <is>
          <t>지정 3 | 유해물질 함유 폐기물</t>
        </is>
      </c>
      <c r="AC4" s="1" t="inlineStr">
        <is>
          <t>지정 1 | 특정시설에서 발생하는 폐기물</t>
        </is>
      </c>
      <c r="AD4" s="1" t="inlineStr">
        <is>
          <t>01-02 | 오니류</t>
        </is>
      </c>
      <c r="AF4" s="1" t="inlineStr">
        <is>
          <t>01-01 | 폐합성고분자화합물</t>
        </is>
      </c>
      <c r="AG4" s="1" t="inlineStr">
        <is>
          <t>01-01-02 | 폐폴리프로필렌</t>
        </is>
      </c>
    </row>
    <row r="5" ht="15" customHeight="1" s="71">
      <c r="B5" s="11" t="inlineStr">
        <is>
          <t>- 보고년도에 판매된 제품이 수명 종료 후 폐기 및 처리되는 과정에서 발생하는 온실가스 배출량</t>
        </is>
      </c>
      <c r="AA5" s="1" t="inlineStr">
        <is>
          <t>사업장일반 51 | 사업장일반폐기물</t>
        </is>
      </c>
      <c r="AC5" s="1" t="inlineStr">
        <is>
          <t>지정 3 | 유해물질 함유 폐기물</t>
        </is>
      </c>
      <c r="AD5" s="1" t="inlineStr">
        <is>
          <t>03-01 | 광재</t>
        </is>
      </c>
      <c r="AF5" s="1" t="inlineStr">
        <is>
          <t>01-01 | 폐합성고분자화합물</t>
        </is>
      </c>
      <c r="AG5" s="1" t="inlineStr">
        <is>
          <t>01-01-03 | 폐폴리염화비닐수지</t>
        </is>
      </c>
    </row>
    <row r="6" ht="14.25" customHeight="1" s="71">
      <c r="B6" s="11" t="inlineStr">
        <is>
          <t>- 판매 제품의 폐기, 소각, 재활용, 매립 등 최종 처리 단계 배출량 산정</t>
        </is>
      </c>
      <c r="AA6" s="1" t="inlineStr">
        <is>
          <t>생활 91 | 생활폐기물</t>
        </is>
      </c>
      <c r="AC6" s="1" t="inlineStr">
        <is>
          <t>지정 3 | 유해물질 함유 폐기물</t>
        </is>
      </c>
      <c r="AD6" s="1" t="inlineStr">
        <is>
          <t>03-05 | 소각재</t>
        </is>
      </c>
      <c r="AF6" s="1" t="inlineStr">
        <is>
          <t>01-01 | 폐합성고분자화합물</t>
        </is>
      </c>
      <c r="AG6" s="1" t="inlineStr">
        <is>
          <t>01-01-04 | 폐폴리에틸렌테레프탈레이트</t>
        </is>
      </c>
    </row>
    <row r="7" ht="16.5" customHeight="1" s="71">
      <c r="AA7" s="1" t="n"/>
      <c r="AC7" s="1" t="inlineStr">
        <is>
          <t>사업장일반 51 | 사업장일반폐기물</t>
        </is>
      </c>
      <c r="AD7" s="1" t="inlineStr">
        <is>
          <t>51-01 | 유기성오니류</t>
        </is>
      </c>
      <c r="AF7" s="1" t="inlineStr">
        <is>
          <t>01-01 | 폐합성고분자화합물</t>
        </is>
      </c>
      <c r="AG7" s="1" t="inlineStr">
        <is>
          <t>01-01-05 | 폐페놀수지</t>
        </is>
      </c>
    </row>
    <row r="8" ht="15.75" customHeight="1" s="71">
      <c r="AA8" s="1" t="n"/>
      <c r="AC8" s="1" t="inlineStr">
        <is>
          <t>사업장일반 51 | 사업장일반폐기물</t>
        </is>
      </c>
      <c r="AD8" s="1" t="inlineStr">
        <is>
          <t>51-02 | 무기성오니류</t>
        </is>
      </c>
      <c r="AF8" s="1" t="inlineStr">
        <is>
          <t>01-01 | 폐합성고분자화합물</t>
        </is>
      </c>
      <c r="AG8" s="1" t="inlineStr">
        <is>
          <t>01-01-06 | 폐폴리우레탄</t>
        </is>
      </c>
    </row>
    <row r="9" ht="15.75" customHeight="1" s="71">
      <c r="B9" s="2" t="inlineStr">
        <is>
          <t>작성 기준</t>
        </is>
      </c>
      <c r="AA9" s="1" t="n"/>
      <c r="AC9" s="1" t="inlineStr">
        <is>
          <t>사업장일반 51 | 사업장일반폐기물</t>
        </is>
      </c>
      <c r="AD9" s="1" t="inlineStr">
        <is>
          <t>51-03 | 폐지류</t>
        </is>
      </c>
      <c r="AF9" s="1" t="inlineStr">
        <is>
          <t>01-01 | 폐합성고분자화합물</t>
        </is>
      </c>
      <c r="AG9" s="1" t="inlineStr">
        <is>
          <t>01-01-07 | 폐합성고무</t>
        </is>
      </c>
    </row>
    <row r="10" ht="18" customHeight="1" s="71">
      <c r="B10" s="22" t="inlineStr">
        <is>
          <t>1) 온실가스 산정 식: Σ(판매수량 × 제품중량 × 폐기방식 비율 × 폐기방식별 배출계수)</t>
        </is>
      </c>
      <c r="AA10" s="1" t="n"/>
      <c r="AC10" s="1" t="inlineStr">
        <is>
          <t>사업장일반 51 | 사업장일반폐기물</t>
        </is>
      </c>
      <c r="AD10" s="1" t="inlineStr">
        <is>
          <t>51-04 | 폐목재류</t>
        </is>
      </c>
      <c r="AF10" s="1" t="inlineStr">
        <is>
          <t>01-01 | 폐합성고분자화합물</t>
        </is>
      </c>
      <c r="AG10" s="1" t="inlineStr">
        <is>
          <t>01-01-08 | 폐폴리스티렌</t>
        </is>
      </c>
    </row>
    <row r="11" ht="18" customHeight="1" s="71">
      <c r="B11" s="22" t="inlineStr">
        <is>
          <t xml:space="preserve"> - 온실가스 배출계수는 환경부-환경성적표지(EPD) 평가계수를 활용하며, 사용자가 선택한 폐기물 분류를 내부 EPD 분류로 매핑합니다.</t>
        </is>
      </c>
      <c r="AA11" s="1" t="n"/>
      <c r="AC11" s="1" t="inlineStr">
        <is>
          <t>사업장일반 51 | 사업장일반폐기물</t>
        </is>
      </c>
      <c r="AD11" s="1" t="inlineStr">
        <is>
          <t>51-05 | 폐합성수지류</t>
        </is>
      </c>
      <c r="AF11" s="1" t="inlineStr">
        <is>
          <t>01-01 | 폐합성고분자화합물</t>
        </is>
      </c>
      <c r="AG11" s="1" t="inlineStr">
        <is>
          <t>01-01-09 | 폐아크리로니트릴브타디엔스티렌(ABS 수지)</t>
        </is>
      </c>
    </row>
    <row r="12" ht="18" customHeight="1" s="71">
      <c r="B12" s="11" t="inlineStr">
        <is>
          <t>2) 폐기물 분류는 국립환경과학원 「폐기물 분류체계 및 분류방법 설명서」(2023) 및 폐기물관리법 시행규칙 [별표4](2023.8.11. 개정) 기준입니다.</t>
        </is>
      </c>
      <c r="AA12" s="1" t="n"/>
      <c r="AC12" s="1" t="inlineStr">
        <is>
          <t>사업장일반 51 | 사업장일반폐기물</t>
        </is>
      </c>
      <c r="AD12" s="1" t="inlineStr">
        <is>
          <t>51-06 | 폐금속류</t>
        </is>
      </c>
      <c r="AF12" s="1" t="inlineStr">
        <is>
          <t>01-01 | 폐합성고분자화합물</t>
        </is>
      </c>
      <c r="AG12" s="1" t="inlineStr">
        <is>
          <t>01-01-99 | 그 밖의 폐합성고분자화합물</t>
        </is>
      </c>
    </row>
    <row r="13" ht="15.75" customHeight="1" s="71">
      <c r="B13" s="11" t="inlineStr">
        <is>
          <t xml:space="preserve"> - 폐기물 대분류를 먼저 선택하면, 해당 대분류에 맞는 중분류만 드롭다운에 표시됩니다. 폐기물 중분류를 선택하면, 해당 중분류에 맞는 소분류만 드롭다운에 표시됩니다. </t>
        </is>
      </c>
      <c r="AA13" s="1" t="n"/>
      <c r="AC13" s="1" t="inlineStr">
        <is>
          <t>사업장일반 51 | 사업장일반폐기물</t>
        </is>
      </c>
      <c r="AD13" s="1" t="inlineStr">
        <is>
          <t>51-07 | 폐유리류</t>
        </is>
      </c>
      <c r="AF13" s="1" t="inlineStr">
        <is>
          <t>01-02 | 오니류</t>
        </is>
      </c>
      <c r="AG13" s="1" t="inlineStr">
        <is>
          <t>01-02-01 | 폐수처리오니</t>
        </is>
      </c>
    </row>
    <row r="14" ht="17.25" customHeight="1" s="71">
      <c r="B14" s="11" t="inlineStr">
        <is>
          <t xml:space="preserve"> - 모르면 비워두거나 선택안함을 선택합니다.</t>
        </is>
      </c>
      <c r="AA14" s="1" t="n"/>
      <c r="AC14" s="1" t="inlineStr">
        <is>
          <t>사업장일반 51 | 사업장일반폐기물</t>
        </is>
      </c>
      <c r="AD14" s="1" t="inlineStr">
        <is>
          <t>51-08 | 폐콘크리트류</t>
        </is>
      </c>
      <c r="AF14" s="1" t="inlineStr">
        <is>
          <t>03-01 | 광재</t>
        </is>
      </c>
      <c r="AG14" s="1" t="inlineStr">
        <is>
          <t>03-01-01 | 제강분진</t>
        </is>
      </c>
    </row>
    <row r="15" ht="16.5" customHeight="1" s="71">
      <c r="B15" s="11" t="inlineStr">
        <is>
          <t>3) 제품중량과 제품중량 단위는 반드시 작성합니다.</t>
        </is>
      </c>
      <c r="AA15" s="1" t="n"/>
      <c r="AC15" s="1" t="inlineStr">
        <is>
          <t>사업장일반 51 | 사업장일반폐기물</t>
        </is>
      </c>
      <c r="AD15" s="1" t="inlineStr">
        <is>
          <t>51-09 | 폐고무류</t>
        </is>
      </c>
      <c r="AF15" s="1" t="inlineStr">
        <is>
          <t>03-05 | 소각재</t>
        </is>
      </c>
      <c r="AG15" s="1" t="inlineStr">
        <is>
          <t>03-05-01 | 소각바닥재</t>
        </is>
      </c>
    </row>
    <row r="16" ht="15.75" customHeight="1" s="71">
      <c r="B16" s="11" t="inlineStr">
        <is>
          <t>4) 재활용, 소각, 매립, 기타 비중 합계는 100%가 되도록 작성합니다. 비율을 알 수 없는 경우에는 국가통계 기반 평균 비율을 추정하여 계산합니다.</t>
        </is>
      </c>
      <c r="AA16" s="1" t="n"/>
      <c r="AC16" s="1" t="inlineStr">
        <is>
          <t>사업장일반 51 | 사업장일반폐기물</t>
        </is>
      </c>
      <c r="AD16" s="1" t="inlineStr">
        <is>
          <t>51-10 | 폐섬유류</t>
        </is>
      </c>
      <c r="AF16" s="1" t="inlineStr">
        <is>
          <t>51-01 | 유기성오니류</t>
        </is>
      </c>
      <c r="AG16" s="1" t="inlineStr">
        <is>
          <t>51-01-01 | 정수처리오니</t>
        </is>
      </c>
    </row>
    <row r="17" ht="16.5" customHeight="1" s="71">
      <c r="B17" s="20" t="inlineStr">
        <is>
          <t>※ 사용 기준: 판매 제품이 수명 종료 후 주로 어떤 폐기물로 처리되는지를 기준으로 작성합니다.</t>
        </is>
      </c>
      <c r="AA17" s="1" t="n"/>
      <c r="AC17" s="1" t="inlineStr">
        <is>
          <t>사업장일반 51 | 사업장일반폐기물</t>
        </is>
      </c>
      <c r="AD17" s="1" t="inlineStr">
        <is>
          <t>51-14 | 폐전지류</t>
        </is>
      </c>
      <c r="AF17" s="1" t="inlineStr">
        <is>
          <t>51-01 | 유기성오니류</t>
        </is>
      </c>
      <c r="AG17" s="1" t="inlineStr">
        <is>
          <t>51-01-02 | 하수처리오니</t>
        </is>
      </c>
    </row>
    <row r="18" ht="16.5" customHeight="1" s="71">
      <c r="B18" s="20" t="inlineStr">
        <is>
          <t>※ 주황색으로 표시된 필수 입력칸은 반드시 작성해야 합니다.</t>
        </is>
      </c>
      <c r="AA18" s="1" t="n"/>
      <c r="AC18" s="1" t="inlineStr">
        <is>
          <t>사업장일반 51 | 사업장일반폐기물</t>
        </is>
      </c>
      <c r="AD18" s="1" t="inlineStr">
        <is>
          <t>51-18 | 폐전기전자제품류</t>
        </is>
      </c>
      <c r="AF18" s="1" t="inlineStr">
        <is>
          <t>51-02 | 무기성오니류</t>
        </is>
      </c>
      <c r="AG18" s="1" t="inlineStr">
        <is>
          <t>51-02-01 | 폐수처리오니(무기성)</t>
        </is>
      </c>
    </row>
    <row r="19" ht="16.5" customHeight="1" s="71">
      <c r="B19" s="50" t="inlineStr">
        <is>
          <t>※ 회색으로 표시된 입력란(배출계수, 배출량)은 자동으로 산출되므로 별도로 입력하지 않으셔도 됩니다.</t>
        </is>
      </c>
      <c r="AA19" s="1" t="n"/>
      <c r="AC19" s="1" t="n"/>
      <c r="AD19" s="1" t="n"/>
      <c r="AF19" s="1" t="n"/>
      <c r="AG19" s="1" t="n"/>
    </row>
    <row r="20" ht="20.25" customHeight="1" s="71">
      <c r="B20" s="60" t="inlineStr">
        <is>
          <t>*국가</t>
        </is>
      </c>
      <c r="C20" s="60" t="inlineStr">
        <is>
          <t>폐기물 대분류(선택)</t>
        </is>
      </c>
      <c r="D20" s="60" t="inlineStr">
        <is>
          <t>폐기물 중분류(선택)</t>
        </is>
      </c>
      <c r="E20" s="60" t="inlineStr">
        <is>
          <t>폐기물 소분류(선택)</t>
        </is>
      </c>
      <c r="F20" s="60" t="inlineStr">
        <is>
          <t>*제품명</t>
        </is>
      </c>
      <c r="G20" s="60" t="inlineStr">
        <is>
          <t>*판매량</t>
        </is>
      </c>
      <c r="H20" s="60" t="inlineStr">
        <is>
          <t>*제품중량</t>
        </is>
      </c>
      <c r="I20" s="60" t="inlineStr">
        <is>
          <t>*제품중량 단위</t>
        </is>
      </c>
      <c r="J20" s="60" t="inlineStr">
        <is>
          <t>재활용 비중(%)(선택)</t>
        </is>
      </c>
      <c r="K20" s="60" t="inlineStr">
        <is>
          <t>소각 비중(%)(선택)</t>
        </is>
      </c>
      <c r="L20" s="60" t="inlineStr">
        <is>
          <t>매립 비중(%)(선택)</t>
        </is>
      </c>
      <c r="M20" s="60" t="inlineStr">
        <is>
          <t>기타 비중(%)(선택)</t>
        </is>
      </c>
      <c r="N20" s="60" t="inlineStr">
        <is>
          <t>설명/적요(선택)</t>
        </is>
      </c>
      <c r="O20" s="60" t="inlineStr">
        <is>
          <t>배출계수(tCO2e/단위)</t>
        </is>
      </c>
      <c r="P20" s="60" t="inlineStr">
        <is>
          <t>배출량(tCO2e)</t>
        </is>
      </c>
      <c r="AC20" s="1" t="inlineStr">
        <is>
          <t>사업장일반 51 | 사업장일반폐기물</t>
        </is>
      </c>
      <c r="AD20" s="1" t="inlineStr">
        <is>
          <t>51-21 | 음식물류 폐기물</t>
        </is>
      </c>
      <c r="AF20" s="1" t="inlineStr">
        <is>
          <t>51-03 | 폐지류</t>
        </is>
      </c>
      <c r="AG20" s="1" t="inlineStr">
        <is>
          <t>51-03-01 | 신문지류</t>
        </is>
      </c>
    </row>
    <row r="21" ht="15" customHeight="1" s="71">
      <c r="B21" s="61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AC21" s="1" t="inlineStr">
        <is>
          <t>사업장일반 51 | 사업장일반폐기물</t>
        </is>
      </c>
      <c r="AD21" s="1" t="inlineStr">
        <is>
          <t>51-99 | 51-99</t>
        </is>
      </c>
      <c r="AF21" s="1" t="inlineStr">
        <is>
          <t>51-03 | 폐지류</t>
        </is>
      </c>
      <c r="AG21" s="1" t="inlineStr">
        <is>
          <t>51-03-02 | 골판지류</t>
        </is>
      </c>
    </row>
    <row r="22" ht="20.25" customHeight="1" s="71">
      <c r="B22" s="3" t="inlineStr">
        <is>
          <t>대한민국</t>
        </is>
      </c>
      <c r="C22" s="4" t="inlineStr">
        <is>
          <t>지정 1 | 특정시설에서 발생하는 폐기물</t>
        </is>
      </c>
      <c r="D22" s="4" t="inlineStr">
        <is>
          <t>01-01 | 폐합성고분자화합물</t>
        </is>
      </c>
      <c r="E22" s="4" t="inlineStr">
        <is>
          <t>01-01-02 | 폐폴리프로필렌</t>
        </is>
      </c>
      <c r="F22" s="3" t="inlineStr">
        <is>
          <t>소형 전자제품</t>
        </is>
      </c>
      <c r="G22" s="3" t="n">
        <v>1000</v>
      </c>
      <c r="H22" s="3" t="n">
        <v>0.3</v>
      </c>
      <c r="I22" s="3" t="inlineStr">
        <is>
          <t>kg</t>
        </is>
      </c>
      <c r="J22" s="4" t="n">
        <v>60</v>
      </c>
      <c r="K22" s="4" t="n">
        <v>20</v>
      </c>
      <c r="L22" s="4" t="n">
        <v>15</v>
      </c>
      <c r="M22" s="4" t="n">
        <v>5</v>
      </c>
      <c r="N22" s="3" t="inlineStr">
        <is>
          <t>폐기 비율 기준</t>
        </is>
      </c>
      <c r="O22" s="5" t="n"/>
      <c r="P22" s="5" t="n"/>
      <c r="AC22" s="1" t="inlineStr">
        <is>
          <t>생활 91 | 생활폐기물</t>
        </is>
      </c>
      <c r="AD22" s="1" t="inlineStr">
        <is>
          <t>91-01 | 음식물류 폐기물</t>
        </is>
      </c>
      <c r="AF22" s="1" t="inlineStr">
        <is>
          <t>51-03 | 폐지류</t>
        </is>
      </c>
      <c r="AG22" s="1" t="inlineStr">
        <is>
          <t>51-03-03 | 잡지류</t>
        </is>
      </c>
    </row>
    <row r="23" ht="20.25" customHeight="1" s="71">
      <c r="B23" s="6" t="n"/>
      <c r="C23" s="7" t="n"/>
      <c r="D23" s="7" t="n"/>
      <c r="E23" s="7" t="n"/>
      <c r="F23" s="6" t="n"/>
      <c r="G23" s="6" t="n"/>
      <c r="H23" s="6" t="n"/>
      <c r="I23" s="6" t="n"/>
      <c r="J23" s="7" t="n"/>
      <c r="K23" s="7" t="n"/>
      <c r="L23" s="7" t="n"/>
      <c r="M23" s="7" t="n"/>
      <c r="N23" s="6" t="n"/>
      <c r="O23" s="8" t="n"/>
      <c r="P23" s="8" t="n"/>
      <c r="AC23" s="1" t="inlineStr">
        <is>
          <t>생활 91 | 생활폐기물</t>
        </is>
      </c>
      <c r="AD23" s="1" t="inlineStr">
        <is>
          <t>91-02 | 폐지류</t>
        </is>
      </c>
      <c r="AF23" s="1" t="inlineStr">
        <is>
          <t>51-03 | 폐지류</t>
        </is>
      </c>
      <c r="AG23" s="1" t="inlineStr">
        <is>
          <t>51-03-04 | 백상지류</t>
        </is>
      </c>
    </row>
    <row r="24" ht="20.25" customHeight="1" s="71">
      <c r="B24" s="6" t="n"/>
      <c r="C24" s="7" t="n"/>
      <c r="D24" s="7" t="n"/>
      <c r="E24" s="7" t="n"/>
      <c r="F24" s="6" t="n"/>
      <c r="G24" s="6" t="n"/>
      <c r="H24" s="6" t="n"/>
      <c r="I24" s="6" t="n"/>
      <c r="J24" s="7" t="n"/>
      <c r="K24" s="7" t="n"/>
      <c r="L24" s="7" t="n"/>
      <c r="M24" s="7" t="n"/>
      <c r="N24" s="6" t="n"/>
      <c r="O24" s="8" t="n"/>
      <c r="P24" s="8" t="n"/>
      <c r="AC24" s="1" t="inlineStr">
        <is>
          <t>생활 91 | 생활폐기물</t>
        </is>
      </c>
      <c r="AD24" s="1" t="inlineStr">
        <is>
          <t>91-03 | 폐금속캔류</t>
        </is>
      </c>
      <c r="AF24" s="1" t="inlineStr">
        <is>
          <t>51-03 | 폐지류</t>
        </is>
      </c>
      <c r="AG24" s="1" t="inlineStr">
        <is>
          <t>51-03-99 | 그 밖의 폐지류</t>
        </is>
      </c>
    </row>
    <row r="25" ht="20.25" customHeight="1" s="71">
      <c r="B25" s="6" t="n"/>
      <c r="C25" s="7" t="n"/>
      <c r="D25" s="7" t="n"/>
      <c r="E25" s="7" t="n"/>
      <c r="F25" s="6" t="n"/>
      <c r="G25" s="6" t="n"/>
      <c r="H25" s="6" t="n"/>
      <c r="I25" s="6" t="n"/>
      <c r="J25" s="7" t="n"/>
      <c r="K25" s="7" t="n"/>
      <c r="L25" s="7" t="n"/>
      <c r="M25" s="7" t="n"/>
      <c r="N25" s="6" t="n"/>
      <c r="O25" s="8" t="n"/>
      <c r="P25" s="8" t="n"/>
      <c r="AC25" s="1" t="inlineStr">
        <is>
          <t>생활 91 | 생활폐기물</t>
        </is>
      </c>
      <c r="AD25" s="1" t="inlineStr">
        <is>
          <t>91-04 | 폐유리병류</t>
        </is>
      </c>
      <c r="AF25" s="1" t="inlineStr">
        <is>
          <t>51-04 | 폐목재류</t>
        </is>
      </c>
      <c r="AG25" s="1" t="inlineStr">
        <is>
          <t>51-04-01 | 폐건설목재</t>
        </is>
      </c>
    </row>
    <row r="26" ht="20.25" customHeight="1" s="71">
      <c r="B26" s="6" t="n"/>
      <c r="C26" s="7" t="n"/>
      <c r="D26" s="7" t="n"/>
      <c r="E26" s="7" t="n"/>
      <c r="F26" s="6" t="n"/>
      <c r="G26" s="6" t="n"/>
      <c r="H26" s="6" t="n"/>
      <c r="I26" s="6" t="n"/>
      <c r="J26" s="7" t="n"/>
      <c r="K26" s="7" t="n"/>
      <c r="L26" s="7" t="n"/>
      <c r="M26" s="7" t="n"/>
      <c r="N26" s="6" t="n"/>
      <c r="O26" s="8" t="n"/>
      <c r="P26" s="8" t="n"/>
      <c r="AC26" s="1" t="inlineStr">
        <is>
          <t>생활 91 | 생활폐기물</t>
        </is>
      </c>
      <c r="AD26" s="1" t="inlineStr">
        <is>
          <t>91-05 | 폐합성수지류</t>
        </is>
      </c>
      <c r="AF26" s="1" t="inlineStr">
        <is>
          <t>51-04 | 폐목재류</t>
        </is>
      </c>
      <c r="AG26" s="1" t="inlineStr">
        <is>
          <t>51-04-02 | 폐팔레트</t>
        </is>
      </c>
    </row>
    <row r="27" ht="20.25" customHeight="1" s="71">
      <c r="B27" s="6" t="n"/>
      <c r="C27" s="7" t="n"/>
      <c r="D27" s="7" t="n"/>
      <c r="E27" s="7" t="n"/>
      <c r="F27" s="6" t="n"/>
      <c r="G27" s="6" t="n"/>
      <c r="H27" s="6" t="n"/>
      <c r="I27" s="6" t="n"/>
      <c r="J27" s="7" t="n"/>
      <c r="K27" s="7" t="n"/>
      <c r="L27" s="7" t="n"/>
      <c r="M27" s="7" t="n"/>
      <c r="N27" s="6" t="n"/>
      <c r="O27" s="8" t="n"/>
      <c r="P27" s="8" t="n"/>
      <c r="AC27" s="1" t="inlineStr">
        <is>
          <t>생활 91 | 생활폐기물</t>
        </is>
      </c>
      <c r="AD27" s="1" t="inlineStr">
        <is>
          <t>91-06 | 폐의류</t>
        </is>
      </c>
      <c r="AF27" s="1" t="inlineStr">
        <is>
          <t>51-04 | 폐목재류</t>
        </is>
      </c>
      <c r="AG27" s="1" t="inlineStr">
        <is>
          <t>51-04-03 | 폐가구류</t>
        </is>
      </c>
    </row>
    <row r="28" ht="20.25" customHeight="1" s="71">
      <c r="B28" s="6" t="n"/>
      <c r="C28" s="7" t="n"/>
      <c r="D28" s="7" t="n"/>
      <c r="E28" s="7" t="n"/>
      <c r="F28" s="6" t="n"/>
      <c r="G28" s="6" t="n"/>
      <c r="H28" s="6" t="n"/>
      <c r="I28" s="6" t="n"/>
      <c r="J28" s="7" t="n"/>
      <c r="K28" s="7" t="n"/>
      <c r="L28" s="7" t="n"/>
      <c r="M28" s="7" t="n"/>
      <c r="N28" s="6" t="n"/>
      <c r="O28" s="8" t="n"/>
      <c r="P28" s="8" t="n"/>
      <c r="AC28" s="1" t="inlineStr">
        <is>
          <t>생활 91 | 생활폐기물</t>
        </is>
      </c>
      <c r="AD28" s="1" t="inlineStr">
        <is>
          <t>91-07 | 폐가전제품</t>
        </is>
      </c>
      <c r="AF28" s="1" t="inlineStr">
        <is>
          <t>51-04 | 폐목재류</t>
        </is>
      </c>
      <c r="AG28" s="1" t="inlineStr">
        <is>
          <t>51-04-99 | 그 밖의 폐목재류</t>
        </is>
      </c>
    </row>
    <row r="29" ht="20.25" customHeight="1" s="71">
      <c r="B29" s="6" t="n"/>
      <c r="C29" s="7" t="n"/>
      <c r="D29" s="7" t="n"/>
      <c r="E29" s="7" t="n"/>
      <c r="F29" s="6" t="n"/>
      <c r="G29" s="6" t="n"/>
      <c r="H29" s="6" t="n"/>
      <c r="I29" s="6" t="n"/>
      <c r="J29" s="7" t="n"/>
      <c r="K29" s="7" t="n"/>
      <c r="L29" s="7" t="n"/>
      <c r="M29" s="7" t="n"/>
      <c r="N29" s="6" t="n"/>
      <c r="O29" s="8" t="n"/>
      <c r="P29" s="8" t="n"/>
      <c r="AC29" s="1" t="inlineStr">
        <is>
          <t>생활 91 | 생활폐기물</t>
        </is>
      </c>
      <c r="AD29" s="1" t="inlineStr">
        <is>
          <t>91-08 | 폐가구류</t>
        </is>
      </c>
      <c r="AF29" s="1" t="inlineStr">
        <is>
          <t>51-05 | 폐합성수지류</t>
        </is>
      </c>
      <c r="AG29" s="1" t="inlineStr">
        <is>
          <t>51-05-01 | 폐PE</t>
        </is>
      </c>
    </row>
    <row r="30" ht="20.25" customHeight="1" s="71">
      <c r="B30" s="6" t="n"/>
      <c r="C30" s="7" t="n"/>
      <c r="D30" s="7" t="n"/>
      <c r="E30" s="7" t="n"/>
      <c r="F30" s="6" t="n"/>
      <c r="G30" s="6" t="n"/>
      <c r="H30" s="6" t="n"/>
      <c r="I30" s="6" t="n"/>
      <c r="J30" s="7" t="n"/>
      <c r="K30" s="7" t="n"/>
      <c r="L30" s="7" t="n"/>
      <c r="M30" s="7" t="n"/>
      <c r="N30" s="6" t="n"/>
      <c r="O30" s="8" t="n"/>
      <c r="P30" s="8" t="n"/>
      <c r="AC30" s="1" t="inlineStr">
        <is>
          <t>생활 91 | 생활폐기물</t>
        </is>
      </c>
      <c r="AD30" s="1" t="inlineStr">
        <is>
          <t>91-09 | 폐목재류</t>
        </is>
      </c>
      <c r="AF30" s="1" t="inlineStr">
        <is>
          <t>51-05 | 폐합성수지류</t>
        </is>
      </c>
      <c r="AG30" s="1" t="inlineStr">
        <is>
          <t>51-05-02 | 폐PP</t>
        </is>
      </c>
    </row>
    <row r="31" ht="20.25" customHeight="1" s="71">
      <c r="B31" s="6" t="n"/>
      <c r="C31" s="7" t="n"/>
      <c r="D31" s="7" t="n"/>
      <c r="E31" s="7" t="n"/>
      <c r="F31" s="6" t="n"/>
      <c r="G31" s="6" t="n"/>
      <c r="H31" s="6" t="n"/>
      <c r="I31" s="6" t="n"/>
      <c r="J31" s="7" t="n"/>
      <c r="K31" s="7" t="n"/>
      <c r="L31" s="7" t="n"/>
      <c r="M31" s="7" t="n"/>
      <c r="N31" s="6" t="n"/>
      <c r="O31" s="8" t="n"/>
      <c r="P31" s="8" t="n"/>
      <c r="AC31" s="1" t="inlineStr">
        <is>
          <t>생활 91 | 생활폐기물</t>
        </is>
      </c>
      <c r="AD31" s="1" t="inlineStr">
        <is>
          <t>91-99 | 91-99</t>
        </is>
      </c>
      <c r="AF31" s="1" t="inlineStr">
        <is>
          <t>51-05 | 폐합성수지류</t>
        </is>
      </c>
      <c r="AG31" s="1" t="inlineStr">
        <is>
          <t>51-05-03 | 폐PVC</t>
        </is>
      </c>
    </row>
    <row r="32" ht="20.25" customHeight="1" s="71">
      <c r="B32" s="6" t="n"/>
      <c r="C32" s="7" t="n"/>
      <c r="D32" s="7" t="n"/>
      <c r="E32" s="7" t="n"/>
      <c r="F32" s="6" t="n"/>
      <c r="G32" s="6" t="n"/>
      <c r="H32" s="6" t="n"/>
      <c r="I32" s="6" t="n"/>
      <c r="J32" s="7" t="n"/>
      <c r="K32" s="7" t="n"/>
      <c r="L32" s="7" t="n"/>
      <c r="M32" s="7" t="n"/>
      <c r="N32" s="6" t="n"/>
      <c r="O32" s="8" t="n"/>
      <c r="P32" s="8" t="n"/>
      <c r="AC32" s="1" t="n"/>
      <c r="AD32" s="1" t="n"/>
      <c r="AF32" s="1" t="inlineStr">
        <is>
          <t>51-05 | 폐합성수지류</t>
        </is>
      </c>
      <c r="AG32" s="1" t="inlineStr">
        <is>
          <t>51-05-04 | 폐PET</t>
        </is>
      </c>
    </row>
    <row r="33" ht="20.25" customHeight="1" s="71">
      <c r="B33" s="6" t="n"/>
      <c r="C33" s="7" t="n"/>
      <c r="D33" s="7" t="n"/>
      <c r="E33" s="7" t="n"/>
      <c r="F33" s="6" t="n"/>
      <c r="G33" s="6" t="n"/>
      <c r="H33" s="6" t="n"/>
      <c r="I33" s="6" t="n"/>
      <c r="J33" s="7" t="n"/>
      <c r="K33" s="7" t="n"/>
      <c r="L33" s="7" t="n"/>
      <c r="M33" s="7" t="n"/>
      <c r="N33" s="6" t="n"/>
      <c r="O33" s="8" t="n"/>
      <c r="P33" s="8" t="n"/>
      <c r="AC33" s="1" t="n"/>
      <c r="AD33" s="1" t="n"/>
      <c r="AF33" s="1" t="inlineStr">
        <is>
          <t>51-05 | 폐합성수지류</t>
        </is>
      </c>
      <c r="AG33" s="1" t="inlineStr">
        <is>
          <t>51-05-05 | 폐PS</t>
        </is>
      </c>
    </row>
    <row r="34" ht="20.25" customHeight="1" s="71">
      <c r="B34" s="6" t="n"/>
      <c r="C34" s="7" t="n"/>
      <c r="D34" s="7" t="n"/>
      <c r="E34" s="7" t="n"/>
      <c r="F34" s="6" t="n"/>
      <c r="G34" s="6" t="n"/>
      <c r="H34" s="6" t="n"/>
      <c r="I34" s="6" t="n"/>
      <c r="J34" s="7" t="n"/>
      <c r="K34" s="7" t="n"/>
      <c r="L34" s="7" t="n"/>
      <c r="M34" s="7" t="n"/>
      <c r="N34" s="6" t="n"/>
      <c r="O34" s="8" t="n"/>
      <c r="P34" s="8" t="n"/>
      <c r="AC34" s="1" t="n"/>
      <c r="AD34" s="1" t="n"/>
      <c r="AF34" s="1" t="inlineStr">
        <is>
          <t>51-05 | 폐합성수지류</t>
        </is>
      </c>
      <c r="AG34" s="1" t="inlineStr">
        <is>
          <t>51-05-06 | 폐ABS수지</t>
        </is>
      </c>
    </row>
    <row r="35" ht="20.25" customHeight="1" s="71">
      <c r="B35" s="6" t="n"/>
      <c r="C35" s="7" t="n"/>
      <c r="D35" s="7" t="n"/>
      <c r="E35" s="7" t="n"/>
      <c r="F35" s="6" t="n"/>
      <c r="G35" s="6" t="n"/>
      <c r="H35" s="6" t="n"/>
      <c r="I35" s="6" t="n"/>
      <c r="J35" s="7" t="n"/>
      <c r="K35" s="7" t="n"/>
      <c r="L35" s="7" t="n"/>
      <c r="M35" s="7" t="n"/>
      <c r="N35" s="6" t="n"/>
      <c r="O35" s="8" t="n"/>
      <c r="P35" s="8" t="n"/>
      <c r="AC35" s="1" t="n"/>
      <c r="AD35" s="1" t="n"/>
      <c r="AF35" s="1" t="inlineStr">
        <is>
          <t>51-05 | 폐합성수지류</t>
        </is>
      </c>
      <c r="AG35" s="1" t="inlineStr">
        <is>
          <t>51-05-07 | 폐EPS(스티로폼)</t>
        </is>
      </c>
    </row>
    <row r="36" ht="20.25" customHeight="1" s="71">
      <c r="B36" s="6" t="n"/>
      <c r="C36" s="7" t="n"/>
      <c r="D36" s="7" t="n"/>
      <c r="E36" s="7" t="n"/>
      <c r="F36" s="6" t="n"/>
      <c r="G36" s="6" t="n"/>
      <c r="H36" s="6" t="n"/>
      <c r="I36" s="6" t="n"/>
      <c r="J36" s="7" t="n"/>
      <c r="K36" s="7" t="n"/>
      <c r="L36" s="7" t="n"/>
      <c r="M36" s="7" t="n"/>
      <c r="N36" s="6" t="n"/>
      <c r="O36" s="8" t="n"/>
      <c r="P36" s="8" t="n"/>
      <c r="AC36" s="1" t="n"/>
      <c r="AD36" s="1" t="n"/>
      <c r="AF36" s="1" t="inlineStr">
        <is>
          <t>51-05 | 폐합성수지류</t>
        </is>
      </c>
      <c r="AG36" s="1" t="inlineStr">
        <is>
          <t>51-05-99 | 그 밖의 폐합성수지류</t>
        </is>
      </c>
    </row>
    <row r="37" ht="20.25" customHeight="1" s="71">
      <c r="B37" s="6" t="n"/>
      <c r="C37" s="7" t="n"/>
      <c r="D37" s="7" t="n"/>
      <c r="E37" s="7" t="n"/>
      <c r="F37" s="6" t="n"/>
      <c r="G37" s="6" t="n"/>
      <c r="H37" s="6" t="n"/>
      <c r="I37" s="6" t="n"/>
      <c r="J37" s="7" t="n"/>
      <c r="K37" s="7" t="n"/>
      <c r="L37" s="7" t="n"/>
      <c r="M37" s="7" t="n"/>
      <c r="N37" s="6" t="n"/>
      <c r="O37" s="8" t="n"/>
      <c r="P37" s="8" t="n"/>
      <c r="AC37" s="1" t="n"/>
      <c r="AD37" s="1" t="n"/>
      <c r="AF37" s="1" t="inlineStr">
        <is>
          <t>51-06 | 폐금속류</t>
        </is>
      </c>
      <c r="AG37" s="1" t="inlineStr">
        <is>
          <t>51-06-01 | 폐철류</t>
        </is>
      </c>
    </row>
    <row r="38" ht="20.25" customHeight="1" s="71">
      <c r="B38" s="6" t="n"/>
      <c r="C38" s="7" t="n"/>
      <c r="D38" s="7" t="n"/>
      <c r="E38" s="7" t="n"/>
      <c r="F38" s="6" t="n"/>
      <c r="G38" s="6" t="n"/>
      <c r="H38" s="6" t="n"/>
      <c r="I38" s="6" t="n"/>
      <c r="J38" s="7" t="n"/>
      <c r="K38" s="7" t="n"/>
      <c r="L38" s="7" t="n"/>
      <c r="M38" s="7" t="n"/>
      <c r="N38" s="6" t="n"/>
      <c r="O38" s="8" t="n"/>
      <c r="P38" s="8" t="n"/>
      <c r="AC38" s="1" t="n"/>
      <c r="AD38" s="1" t="n"/>
      <c r="AF38" s="1" t="inlineStr">
        <is>
          <t>51-06 | 폐금속류</t>
        </is>
      </c>
      <c r="AG38" s="1" t="inlineStr">
        <is>
          <t>51-06-02 | 폐동류</t>
        </is>
      </c>
    </row>
    <row r="39" ht="20.25" customHeight="1" s="71">
      <c r="B39" s="6" t="n"/>
      <c r="C39" s="7" t="n"/>
      <c r="D39" s="7" t="n"/>
      <c r="E39" s="7" t="n"/>
      <c r="F39" s="6" t="n"/>
      <c r="G39" s="6" t="n"/>
      <c r="H39" s="6" t="n"/>
      <c r="I39" s="6" t="n"/>
      <c r="J39" s="7" t="n"/>
      <c r="K39" s="7" t="n"/>
      <c r="L39" s="7" t="n"/>
      <c r="M39" s="7" t="n"/>
      <c r="N39" s="6" t="n"/>
      <c r="O39" s="8" t="n"/>
      <c r="P39" s="8" t="n"/>
      <c r="AC39" s="1" t="n"/>
      <c r="AD39" s="1" t="n"/>
      <c r="AF39" s="1" t="inlineStr">
        <is>
          <t>51-06 | 폐금속류</t>
        </is>
      </c>
      <c r="AG39" s="1" t="inlineStr">
        <is>
          <t>51-06-03 | 폐알루미늄류</t>
        </is>
      </c>
    </row>
    <row r="40" ht="20.25" customHeight="1" s="71">
      <c r="B40" s="6" t="n"/>
      <c r="C40" s="7" t="n"/>
      <c r="D40" s="7" t="n"/>
      <c r="E40" s="7" t="n"/>
      <c r="F40" s="6" t="n"/>
      <c r="G40" s="6" t="n"/>
      <c r="H40" s="6" t="n"/>
      <c r="I40" s="6" t="n"/>
      <c r="J40" s="7" t="n"/>
      <c r="K40" s="7" t="n"/>
      <c r="L40" s="7" t="n"/>
      <c r="M40" s="7" t="n"/>
      <c r="N40" s="6" t="n"/>
      <c r="O40" s="8" t="n"/>
      <c r="P40" s="8" t="n"/>
      <c r="AC40" s="1" t="n"/>
      <c r="AD40" s="1" t="n"/>
      <c r="AF40" s="1" t="inlineStr">
        <is>
          <t>51-06 | 폐금속류</t>
        </is>
      </c>
      <c r="AG40" s="1" t="inlineStr">
        <is>
          <t>51-06-04 | 폐납류</t>
        </is>
      </c>
    </row>
    <row r="41" ht="20.25" customHeight="1" s="71">
      <c r="B41" s="6" t="n"/>
      <c r="C41" s="7" t="n"/>
      <c r="D41" s="7" t="n"/>
      <c r="E41" s="7" t="n"/>
      <c r="F41" s="6" t="n"/>
      <c r="G41" s="6" t="n"/>
      <c r="H41" s="6" t="n"/>
      <c r="I41" s="6" t="n"/>
      <c r="J41" s="7" t="n"/>
      <c r="K41" s="7" t="n"/>
      <c r="L41" s="7" t="n"/>
      <c r="M41" s="7" t="n"/>
      <c r="N41" s="6" t="n"/>
      <c r="O41" s="8" t="n"/>
      <c r="P41" s="8" t="n"/>
      <c r="AC41" s="1" t="n"/>
      <c r="AD41" s="1" t="n"/>
      <c r="AF41" s="1" t="inlineStr">
        <is>
          <t>51-06 | 폐금속류</t>
        </is>
      </c>
      <c r="AG41" s="1" t="inlineStr">
        <is>
          <t>51-06-05 | 폐아연류</t>
        </is>
      </c>
    </row>
    <row r="42" ht="20.25" customHeight="1" s="71">
      <c r="B42" s="6" t="n"/>
      <c r="C42" s="7" t="n"/>
      <c r="D42" s="7" t="n"/>
      <c r="E42" s="7" t="n"/>
      <c r="F42" s="6" t="n"/>
      <c r="G42" s="6" t="n"/>
      <c r="H42" s="6" t="n"/>
      <c r="I42" s="6" t="n"/>
      <c r="J42" s="7" t="n"/>
      <c r="K42" s="7" t="n"/>
      <c r="L42" s="7" t="n"/>
      <c r="M42" s="7" t="n"/>
      <c r="N42" s="6" t="n"/>
      <c r="O42" s="8" t="n"/>
      <c r="P42" s="8" t="n"/>
      <c r="AC42" s="1" t="n"/>
      <c r="AD42" s="1" t="n"/>
      <c r="AF42" s="1" t="inlineStr">
        <is>
          <t>51-06 | 폐금속류</t>
        </is>
      </c>
      <c r="AG42" s="1" t="inlineStr">
        <is>
          <t>51-06-99 | 그 밖의 폐금속류</t>
        </is>
      </c>
    </row>
    <row r="43" ht="20.25" customHeight="1" s="71">
      <c r="B43" s="6" t="n"/>
      <c r="C43" s="7" t="n"/>
      <c r="D43" s="7" t="n"/>
      <c r="E43" s="7" t="n"/>
      <c r="F43" s="6" t="n"/>
      <c r="G43" s="6" t="n"/>
      <c r="H43" s="6" t="n"/>
      <c r="I43" s="6" t="n"/>
      <c r="J43" s="7" t="n"/>
      <c r="K43" s="7" t="n"/>
      <c r="L43" s="7" t="n"/>
      <c r="M43" s="7" t="n"/>
      <c r="N43" s="6" t="n"/>
      <c r="O43" s="8" t="n"/>
      <c r="P43" s="8" t="n"/>
      <c r="AC43" s="1" t="n"/>
      <c r="AD43" s="1" t="n"/>
      <c r="AF43" s="1" t="inlineStr">
        <is>
          <t>51-07 | 폐유리류</t>
        </is>
      </c>
      <c r="AG43" s="1" t="inlineStr">
        <is>
          <t>51-07-01 | 폐판유리</t>
        </is>
      </c>
    </row>
    <row r="44" ht="20.25" customHeight="1" s="71">
      <c r="B44" s="6" t="n"/>
      <c r="C44" s="7" t="n"/>
      <c r="D44" s="7" t="n"/>
      <c r="E44" s="7" t="n"/>
      <c r="F44" s="6" t="n"/>
      <c r="G44" s="6" t="n"/>
      <c r="H44" s="6" t="n"/>
      <c r="I44" s="6" t="n"/>
      <c r="J44" s="7" t="n"/>
      <c r="K44" s="7" t="n"/>
      <c r="L44" s="7" t="n"/>
      <c r="M44" s="7" t="n"/>
      <c r="N44" s="6" t="n"/>
      <c r="O44" s="8" t="n"/>
      <c r="P44" s="8" t="n"/>
      <c r="AC44" s="1" t="n"/>
      <c r="AD44" s="1" t="n"/>
      <c r="AF44" s="1" t="inlineStr">
        <is>
          <t>51-07 | 폐유리류</t>
        </is>
      </c>
      <c r="AG44" s="1" t="inlineStr">
        <is>
          <t>51-07-02 | 폐병류</t>
        </is>
      </c>
    </row>
    <row r="45" ht="20.25" customHeight="1" s="71">
      <c r="B45" s="6" t="n"/>
      <c r="C45" s="7" t="n"/>
      <c r="D45" s="7" t="n"/>
      <c r="E45" s="7" t="n"/>
      <c r="F45" s="6" t="n"/>
      <c r="G45" s="6" t="n"/>
      <c r="H45" s="6" t="n"/>
      <c r="I45" s="6" t="n"/>
      <c r="J45" s="7" t="n"/>
      <c r="K45" s="7" t="n"/>
      <c r="L45" s="7" t="n"/>
      <c r="M45" s="7" t="n"/>
      <c r="N45" s="6" t="n"/>
      <c r="O45" s="8" t="n"/>
      <c r="P45" s="8" t="n"/>
      <c r="AC45" s="1" t="n"/>
      <c r="AD45" s="1" t="n"/>
      <c r="AF45" s="1" t="inlineStr">
        <is>
          <t>51-07 | 폐유리류</t>
        </is>
      </c>
      <c r="AG45" s="1" t="inlineStr">
        <is>
          <t>51-07-99 | 그 밖의 폐유리류</t>
        </is>
      </c>
    </row>
    <row r="46" ht="20.25" customHeight="1" s="71">
      <c r="B46" s="6" t="n"/>
      <c r="C46" s="7" t="n"/>
      <c r="D46" s="7" t="n"/>
      <c r="E46" s="7" t="n"/>
      <c r="F46" s="6" t="n"/>
      <c r="G46" s="6" t="n"/>
      <c r="H46" s="6" t="n"/>
      <c r="I46" s="6" t="n"/>
      <c r="J46" s="7" t="n"/>
      <c r="K46" s="7" t="n"/>
      <c r="L46" s="7" t="n"/>
      <c r="M46" s="7" t="n"/>
      <c r="N46" s="6" t="n"/>
      <c r="O46" s="8" t="n"/>
      <c r="P46" s="8" t="n"/>
      <c r="AC46" s="1" t="n"/>
      <c r="AD46" s="1" t="n"/>
      <c r="AF46" s="1" t="inlineStr">
        <is>
          <t>51-08 | 폐콘크리트류</t>
        </is>
      </c>
      <c r="AG46" s="1" t="inlineStr">
        <is>
          <t>51-08-01 | 폐콘크리트</t>
        </is>
      </c>
    </row>
    <row r="47" ht="20.25" customHeight="1" s="71">
      <c r="B47" s="6" t="n"/>
      <c r="C47" s="7" t="n"/>
      <c r="D47" s="7" t="n"/>
      <c r="E47" s="7" t="n"/>
      <c r="F47" s="6" t="n"/>
      <c r="G47" s="6" t="n"/>
      <c r="H47" s="6" t="n"/>
      <c r="I47" s="6" t="n"/>
      <c r="J47" s="7" t="n"/>
      <c r="K47" s="7" t="n"/>
      <c r="L47" s="7" t="n"/>
      <c r="M47" s="7" t="n"/>
      <c r="N47" s="6" t="n"/>
      <c r="O47" s="8" t="n"/>
      <c r="P47" s="8" t="n"/>
      <c r="AC47" s="1" t="n"/>
      <c r="AD47" s="1" t="n"/>
      <c r="AF47" s="1" t="inlineStr">
        <is>
          <t>51-08 | 폐콘크리트류</t>
        </is>
      </c>
      <c r="AG47" s="1" t="inlineStr">
        <is>
          <t>51-08-02 | 폐아스콘</t>
        </is>
      </c>
    </row>
    <row r="48" ht="20.25" customHeight="1" s="71">
      <c r="B48" s="6" t="n"/>
      <c r="C48" s="7" t="n"/>
      <c r="D48" s="7" t="n"/>
      <c r="E48" s="7" t="n"/>
      <c r="F48" s="6" t="n"/>
      <c r="G48" s="6" t="n"/>
      <c r="H48" s="6" t="n"/>
      <c r="I48" s="6" t="n"/>
      <c r="J48" s="7" t="n"/>
      <c r="K48" s="7" t="n"/>
      <c r="L48" s="7" t="n"/>
      <c r="M48" s="7" t="n"/>
      <c r="N48" s="6" t="n"/>
      <c r="O48" s="8" t="n"/>
      <c r="P48" s="8" t="n"/>
      <c r="AC48" s="1" t="n"/>
      <c r="AD48" s="1" t="n"/>
      <c r="AF48" s="1" t="inlineStr">
        <is>
          <t>51-08 | 폐콘크리트류</t>
        </is>
      </c>
      <c r="AG48" s="1" t="inlineStr">
        <is>
          <t>51-08-99 | 그 밖의 폐콘크리트류</t>
        </is>
      </c>
    </row>
    <row r="49" ht="20.25" customHeight="1" s="71">
      <c r="B49" s="6" t="n"/>
      <c r="C49" s="7" t="n"/>
      <c r="D49" s="7" t="n"/>
      <c r="E49" s="7" t="n"/>
      <c r="F49" s="6" t="n"/>
      <c r="G49" s="6" t="n"/>
      <c r="H49" s="6" t="n"/>
      <c r="I49" s="6" t="n"/>
      <c r="J49" s="7" t="n"/>
      <c r="K49" s="7" t="n"/>
      <c r="L49" s="7" t="n"/>
      <c r="M49" s="7" t="n"/>
      <c r="N49" s="6" t="n"/>
      <c r="O49" s="8" t="n"/>
      <c r="P49" s="8" t="n"/>
      <c r="AC49" s="1" t="n"/>
      <c r="AD49" s="1" t="n"/>
      <c r="AF49" s="1" t="inlineStr">
        <is>
          <t>51-09 | 폐고무류</t>
        </is>
      </c>
      <c r="AG49" s="1" t="inlineStr">
        <is>
          <t>51-09-01 | 폐타이어</t>
        </is>
      </c>
    </row>
    <row r="50" ht="20.25" customHeight="1" s="71">
      <c r="B50" s="6" t="n"/>
      <c r="C50" s="7" t="n"/>
      <c r="D50" s="7" t="n"/>
      <c r="E50" s="7" t="n"/>
      <c r="F50" s="6" t="n"/>
      <c r="G50" s="6" t="n"/>
      <c r="H50" s="6" t="n"/>
      <c r="I50" s="6" t="n"/>
      <c r="J50" s="7" t="n"/>
      <c r="K50" s="7" t="n"/>
      <c r="L50" s="7" t="n"/>
      <c r="M50" s="7" t="n"/>
      <c r="N50" s="6" t="n"/>
      <c r="O50" s="8" t="n"/>
      <c r="P50" s="8" t="n"/>
      <c r="AC50" s="1" t="n"/>
      <c r="AD50" s="1" t="n"/>
      <c r="AF50" s="1" t="inlineStr">
        <is>
          <t>51-09 | 폐고무류</t>
        </is>
      </c>
      <c r="AG50" s="1" t="inlineStr">
        <is>
          <t>51-09-02 | 폐고무장갑</t>
        </is>
      </c>
    </row>
    <row r="51" ht="20.25" customHeight="1" s="71">
      <c r="B51" s="6" t="n"/>
      <c r="C51" s="7" t="n"/>
      <c r="D51" s="7" t="n"/>
      <c r="E51" s="7" t="n"/>
      <c r="F51" s="6" t="n"/>
      <c r="G51" s="6" t="n"/>
      <c r="H51" s="6" t="n"/>
      <c r="I51" s="6" t="n"/>
      <c r="J51" s="7" t="n"/>
      <c r="K51" s="7" t="n"/>
      <c r="L51" s="7" t="n"/>
      <c r="M51" s="7" t="n"/>
      <c r="N51" s="6" t="n"/>
      <c r="O51" s="8" t="n"/>
      <c r="P51" s="8" t="n"/>
      <c r="AC51" s="1" t="n"/>
      <c r="AD51" s="1" t="n"/>
      <c r="AF51" s="1" t="inlineStr">
        <is>
          <t>51-09 | 폐고무류</t>
        </is>
      </c>
      <c r="AG51" s="1" t="inlineStr">
        <is>
          <t>51-09-99 | 그 밖의 폐고무류</t>
        </is>
      </c>
    </row>
    <row r="52" ht="20.25" customHeight="1" s="71">
      <c r="B52" s="6" t="n"/>
      <c r="C52" s="7" t="n"/>
      <c r="D52" s="7" t="n"/>
      <c r="E52" s="7" t="n"/>
      <c r="F52" s="6" t="n"/>
      <c r="G52" s="6" t="n"/>
      <c r="H52" s="6" t="n"/>
      <c r="I52" s="6" t="n"/>
      <c r="J52" s="7" t="n"/>
      <c r="K52" s="7" t="n"/>
      <c r="L52" s="7" t="n"/>
      <c r="M52" s="7" t="n"/>
      <c r="N52" s="6" t="n"/>
      <c r="O52" s="8" t="n"/>
      <c r="P52" s="8" t="n"/>
      <c r="AC52" s="1" t="n"/>
      <c r="AD52" s="1" t="n"/>
      <c r="AF52" s="1" t="inlineStr">
        <is>
          <t>51-10 | 폐섬유류</t>
        </is>
      </c>
      <c r="AG52" s="1" t="inlineStr">
        <is>
          <t>51-10-01 | 폐의류</t>
        </is>
      </c>
    </row>
    <row r="53" ht="20.25" customHeight="1" s="71">
      <c r="B53" s="6" t="n"/>
      <c r="C53" s="7" t="n"/>
      <c r="D53" s="7" t="n"/>
      <c r="E53" s="7" t="n"/>
      <c r="F53" s="6" t="n"/>
      <c r="G53" s="6" t="n"/>
      <c r="H53" s="6" t="n"/>
      <c r="I53" s="6" t="n"/>
      <c r="J53" s="7" t="n"/>
      <c r="K53" s="7" t="n"/>
      <c r="L53" s="7" t="n"/>
      <c r="M53" s="7" t="n"/>
      <c r="N53" s="6" t="n"/>
      <c r="O53" s="8" t="n"/>
      <c r="P53" s="8" t="n"/>
      <c r="AC53" s="1" t="n"/>
      <c r="AD53" s="1" t="n"/>
      <c r="AF53" s="1" t="inlineStr">
        <is>
          <t>51-10 | 폐섬유류</t>
        </is>
      </c>
      <c r="AG53" s="1" t="inlineStr">
        <is>
          <t>51-10-02 | 폐원단</t>
        </is>
      </c>
    </row>
    <row r="54" ht="20.25" customHeight="1" s="71">
      <c r="B54" s="6" t="n"/>
      <c r="C54" s="7" t="n"/>
      <c r="D54" s="7" t="n"/>
      <c r="E54" s="7" t="n"/>
      <c r="F54" s="6" t="n"/>
      <c r="G54" s="6" t="n"/>
      <c r="H54" s="6" t="n"/>
      <c r="I54" s="6" t="n"/>
      <c r="J54" s="7" t="n"/>
      <c r="K54" s="7" t="n"/>
      <c r="L54" s="7" t="n"/>
      <c r="M54" s="7" t="n"/>
      <c r="N54" s="6" t="n"/>
      <c r="O54" s="8" t="n"/>
      <c r="P54" s="8" t="n"/>
      <c r="AC54" s="1" t="n"/>
      <c r="AD54" s="1" t="n"/>
      <c r="AF54" s="1" t="inlineStr">
        <is>
          <t>51-10 | 폐섬유류</t>
        </is>
      </c>
      <c r="AG54" s="1" t="inlineStr">
        <is>
          <t>51-10-99 | 그 밖의 폐섬유류</t>
        </is>
      </c>
    </row>
    <row r="55" ht="20.25" customHeight="1" s="71">
      <c r="B55" s="6" t="n"/>
      <c r="C55" s="7" t="n"/>
      <c r="D55" s="7" t="n"/>
      <c r="E55" s="7" t="n"/>
      <c r="F55" s="6" t="n"/>
      <c r="G55" s="6" t="n"/>
      <c r="H55" s="6" t="n"/>
      <c r="I55" s="6" t="n"/>
      <c r="J55" s="7" t="n"/>
      <c r="K55" s="7" t="n"/>
      <c r="L55" s="7" t="n"/>
      <c r="M55" s="7" t="n"/>
      <c r="N55" s="6" t="n"/>
      <c r="O55" s="8" t="n"/>
      <c r="P55" s="8" t="n"/>
      <c r="AC55" s="1" t="n"/>
      <c r="AD55" s="1" t="n"/>
      <c r="AF55" s="1" t="inlineStr">
        <is>
          <t>51-14 | 폐전지류</t>
        </is>
      </c>
      <c r="AG55" s="1" t="inlineStr">
        <is>
          <t>51-14-04 | 폐리튬이온전지</t>
        </is>
      </c>
    </row>
    <row r="56" ht="20.25" customHeight="1" s="71">
      <c r="B56" s="6" t="n"/>
      <c r="C56" s="7" t="n"/>
      <c r="D56" s="7" t="n"/>
      <c r="E56" s="7" t="n"/>
      <c r="F56" s="6" t="n"/>
      <c r="G56" s="6" t="n"/>
      <c r="H56" s="6" t="n"/>
      <c r="I56" s="6" t="n"/>
      <c r="J56" s="7" t="n"/>
      <c r="K56" s="7" t="n"/>
      <c r="L56" s="7" t="n"/>
      <c r="M56" s="7" t="n"/>
      <c r="N56" s="6" t="n"/>
      <c r="O56" s="8" t="n"/>
      <c r="P56" s="8" t="n"/>
      <c r="AC56" s="1" t="n"/>
      <c r="AD56" s="1" t="n"/>
      <c r="AF56" s="1" t="inlineStr">
        <is>
          <t>51-14 | 폐전지류</t>
        </is>
      </c>
      <c r="AG56" s="1" t="inlineStr">
        <is>
          <t>51-14-99 | 그 밖의 폐전지류</t>
        </is>
      </c>
    </row>
    <row r="57" ht="20.25" customHeight="1" s="71">
      <c r="B57" s="6" t="n"/>
      <c r="C57" s="7" t="n"/>
      <c r="D57" s="7" t="n"/>
      <c r="E57" s="7" t="n"/>
      <c r="F57" s="6" t="n"/>
      <c r="G57" s="6" t="n"/>
      <c r="H57" s="6" t="n"/>
      <c r="I57" s="6" t="n"/>
      <c r="J57" s="7" t="n"/>
      <c r="K57" s="7" t="n"/>
      <c r="L57" s="7" t="n"/>
      <c r="M57" s="7" t="n"/>
      <c r="N57" s="6" t="n"/>
      <c r="O57" s="8" t="n"/>
      <c r="P57" s="8" t="n"/>
      <c r="AC57" s="1" t="n"/>
      <c r="AD57" s="1" t="n"/>
      <c r="AF57" s="1" t="inlineStr">
        <is>
          <t>51-18 | 폐전기전자제품류</t>
        </is>
      </c>
      <c r="AG57" s="1" t="inlineStr">
        <is>
          <t>51-18-01 | 폐가전제품</t>
        </is>
      </c>
    </row>
    <row r="58" ht="20.25" customHeight="1" s="71">
      <c r="B58" s="6" t="n"/>
      <c r="C58" s="7" t="n"/>
      <c r="D58" s="7" t="n"/>
      <c r="E58" s="7" t="n"/>
      <c r="F58" s="6" t="n"/>
      <c r="G58" s="6" t="n"/>
      <c r="H58" s="6" t="n"/>
      <c r="I58" s="6" t="n"/>
      <c r="J58" s="7" t="n"/>
      <c r="K58" s="7" t="n"/>
      <c r="L58" s="7" t="n"/>
      <c r="M58" s="7" t="n"/>
      <c r="N58" s="6" t="n"/>
      <c r="O58" s="8" t="n"/>
      <c r="P58" s="8" t="n"/>
      <c r="AC58" s="1" t="n"/>
      <c r="AD58" s="1" t="n"/>
      <c r="AF58" s="1" t="inlineStr">
        <is>
          <t>51-18 | 폐전기전자제품류</t>
        </is>
      </c>
      <c r="AG58" s="1" t="inlineStr">
        <is>
          <t>51-18-02 | 산업용폐전기전자제품</t>
        </is>
      </c>
    </row>
    <row r="59" ht="20.25" customHeight="1" s="71">
      <c r="B59" s="6" t="n"/>
      <c r="C59" s="7" t="n"/>
      <c r="D59" s="7" t="n"/>
      <c r="E59" s="7" t="n"/>
      <c r="F59" s="6" t="n"/>
      <c r="G59" s="6" t="n"/>
      <c r="H59" s="6" t="n"/>
      <c r="I59" s="6" t="n"/>
      <c r="J59" s="7" t="n"/>
      <c r="K59" s="7" t="n"/>
      <c r="L59" s="7" t="n"/>
      <c r="M59" s="7" t="n"/>
      <c r="N59" s="6" t="n"/>
      <c r="O59" s="8" t="n"/>
      <c r="P59" s="8" t="n"/>
      <c r="AC59" s="1" t="n"/>
      <c r="AD59" s="1" t="n"/>
      <c r="AF59" s="1" t="inlineStr">
        <is>
          <t>51-18 | 폐전기전자제품류</t>
        </is>
      </c>
      <c r="AG59" s="1" t="inlineStr">
        <is>
          <t>51-18-03 | 프린트토너 및 카트리지폐부속품</t>
        </is>
      </c>
    </row>
    <row r="60" ht="20.25" customHeight="1" s="71">
      <c r="B60" s="6" t="n"/>
      <c r="C60" s="7" t="n"/>
      <c r="D60" s="7" t="n"/>
      <c r="E60" s="7" t="n"/>
      <c r="F60" s="6" t="n"/>
      <c r="G60" s="6" t="n"/>
      <c r="H60" s="6" t="n"/>
      <c r="I60" s="6" t="n"/>
      <c r="J60" s="7" t="n"/>
      <c r="K60" s="7" t="n"/>
      <c r="L60" s="7" t="n"/>
      <c r="M60" s="7" t="n"/>
      <c r="N60" s="6" t="n"/>
      <c r="O60" s="8" t="n"/>
      <c r="P60" s="8" t="n"/>
      <c r="AC60" s="1" t="n"/>
      <c r="AD60" s="1" t="n"/>
      <c r="AF60" s="1" t="inlineStr">
        <is>
          <t>51-21 | 음식물류 폐기물</t>
        </is>
      </c>
      <c r="AG60" s="1" t="inlineStr">
        <is>
          <t>51-21-01 | 음식물류 폐기물</t>
        </is>
      </c>
    </row>
    <row r="61" ht="20.25" customHeight="1" s="71">
      <c r="B61" s="6" t="n"/>
      <c r="C61" s="7" t="n"/>
      <c r="D61" s="7" t="n"/>
      <c r="E61" s="7" t="n"/>
      <c r="F61" s="6" t="n"/>
      <c r="G61" s="6" t="n"/>
      <c r="H61" s="6" t="n"/>
      <c r="I61" s="6" t="n"/>
      <c r="J61" s="7" t="n"/>
      <c r="K61" s="7" t="n"/>
      <c r="L61" s="7" t="n"/>
      <c r="M61" s="7" t="n"/>
      <c r="N61" s="6" t="n"/>
      <c r="O61" s="8" t="n"/>
      <c r="P61" s="8" t="n"/>
      <c r="AC61" s="1" t="n"/>
      <c r="AD61" s="1" t="n"/>
      <c r="AF61" s="1" t="inlineStr">
        <is>
          <t>51-99 | 51-99</t>
        </is>
      </c>
      <c r="AG61" s="1" t="inlineStr">
        <is>
          <t>51-99-00 | 그 밖의 사업장일반폐기물</t>
        </is>
      </c>
    </row>
    <row r="62" ht="20.25" customHeight="1" s="71">
      <c r="B62" s="6" t="n"/>
      <c r="C62" s="7" t="n"/>
      <c r="D62" s="7" t="n"/>
      <c r="E62" s="7" t="n"/>
      <c r="F62" s="6" t="n"/>
      <c r="G62" s="6" t="n"/>
      <c r="H62" s="6" t="n"/>
      <c r="I62" s="6" t="n"/>
      <c r="J62" s="7" t="n"/>
      <c r="K62" s="7" t="n"/>
      <c r="L62" s="7" t="n"/>
      <c r="M62" s="7" t="n"/>
      <c r="N62" s="6" t="n"/>
      <c r="O62" s="8" t="n"/>
      <c r="P62" s="8" t="n"/>
      <c r="AC62" s="1" t="n"/>
      <c r="AD62" s="1" t="n"/>
      <c r="AF62" s="1" t="inlineStr">
        <is>
          <t>91-01 | 음식물류 폐기물</t>
        </is>
      </c>
      <c r="AG62" s="1" t="inlineStr">
        <is>
          <t>91-01-00 | 음식물류 폐기물</t>
        </is>
      </c>
    </row>
    <row r="63" ht="20.25" customHeight="1" s="71">
      <c r="B63" s="6" t="n"/>
      <c r="C63" s="7" t="n"/>
      <c r="D63" s="7" t="n"/>
      <c r="E63" s="7" t="n"/>
      <c r="F63" s="6" t="n"/>
      <c r="G63" s="6" t="n"/>
      <c r="H63" s="6" t="n"/>
      <c r="I63" s="6" t="n"/>
      <c r="J63" s="7" t="n"/>
      <c r="K63" s="7" t="n"/>
      <c r="L63" s="7" t="n"/>
      <c r="M63" s="7" t="n"/>
      <c r="N63" s="6" t="n"/>
      <c r="O63" s="8" t="n"/>
      <c r="P63" s="8" t="n"/>
      <c r="AC63" s="1" t="n"/>
      <c r="AD63" s="1" t="n"/>
      <c r="AF63" s="1" t="inlineStr">
        <is>
          <t>91-02 | 폐지류</t>
        </is>
      </c>
      <c r="AG63" s="1" t="inlineStr">
        <is>
          <t>91-02-01 | 신문지류</t>
        </is>
      </c>
    </row>
    <row r="64" ht="20.25" customHeight="1" s="71">
      <c r="B64" s="6" t="n"/>
      <c r="C64" s="7" t="n"/>
      <c r="D64" s="7" t="n"/>
      <c r="E64" s="7" t="n"/>
      <c r="F64" s="6" t="n"/>
      <c r="G64" s="6" t="n"/>
      <c r="H64" s="6" t="n"/>
      <c r="I64" s="6" t="n"/>
      <c r="J64" s="7" t="n"/>
      <c r="K64" s="7" t="n"/>
      <c r="L64" s="7" t="n"/>
      <c r="M64" s="7" t="n"/>
      <c r="N64" s="6" t="n"/>
      <c r="O64" s="8" t="n"/>
      <c r="P64" s="8" t="n"/>
      <c r="AC64" s="1" t="n"/>
      <c r="AD64" s="1" t="n"/>
      <c r="AF64" s="1" t="inlineStr">
        <is>
          <t>91-02 | 폐지류</t>
        </is>
      </c>
      <c r="AG64" s="1" t="inlineStr">
        <is>
          <t>91-02-02 | 골판지류</t>
        </is>
      </c>
    </row>
    <row r="65" ht="20.25" customHeight="1" s="71">
      <c r="B65" s="6" t="n"/>
      <c r="C65" s="7" t="n"/>
      <c r="D65" s="7" t="n"/>
      <c r="E65" s="7" t="n"/>
      <c r="F65" s="6" t="n"/>
      <c r="G65" s="6" t="n"/>
      <c r="H65" s="6" t="n"/>
      <c r="I65" s="6" t="n"/>
      <c r="J65" s="7" t="n"/>
      <c r="K65" s="7" t="n"/>
      <c r="L65" s="7" t="n"/>
      <c r="M65" s="7" t="n"/>
      <c r="N65" s="6" t="n"/>
      <c r="O65" s="8" t="n"/>
      <c r="P65" s="8" t="n"/>
      <c r="AC65" s="1" t="n"/>
      <c r="AD65" s="1" t="n"/>
      <c r="AF65" s="1" t="inlineStr">
        <is>
          <t>91-03 | 폐금속캔류</t>
        </is>
      </c>
      <c r="AG65" s="1" t="inlineStr">
        <is>
          <t>91-03-01 | 폐철캔</t>
        </is>
      </c>
    </row>
    <row r="66" ht="20.25" customHeight="1" s="71">
      <c r="B66" s="6" t="n"/>
      <c r="C66" s="7" t="n"/>
      <c r="D66" s="7" t="n"/>
      <c r="E66" s="7" t="n"/>
      <c r="F66" s="6" t="n"/>
      <c r="G66" s="6" t="n"/>
      <c r="H66" s="6" t="n"/>
      <c r="I66" s="6" t="n"/>
      <c r="J66" s="7" t="n"/>
      <c r="K66" s="7" t="n"/>
      <c r="L66" s="7" t="n"/>
      <c r="M66" s="7" t="n"/>
      <c r="N66" s="6" t="n"/>
      <c r="O66" s="8" t="n"/>
      <c r="P66" s="8" t="n"/>
      <c r="AC66" s="1" t="n"/>
      <c r="AD66" s="1" t="n"/>
      <c r="AF66" s="1" t="inlineStr">
        <is>
          <t>91-03 | 폐금속캔류</t>
        </is>
      </c>
      <c r="AG66" s="1" t="inlineStr">
        <is>
          <t>91-03-02 | 폐알루미늄캔</t>
        </is>
      </c>
    </row>
    <row r="67" ht="20.25" customHeight="1" s="71">
      <c r="B67" s="6" t="n"/>
      <c r="C67" s="7" t="n"/>
      <c r="D67" s="7" t="n"/>
      <c r="E67" s="7" t="n"/>
      <c r="F67" s="6" t="n"/>
      <c r="G67" s="6" t="n"/>
      <c r="H67" s="6" t="n"/>
      <c r="I67" s="6" t="n"/>
      <c r="J67" s="7" t="n"/>
      <c r="K67" s="7" t="n"/>
      <c r="L67" s="7" t="n"/>
      <c r="M67" s="7" t="n"/>
      <c r="N67" s="6" t="n"/>
      <c r="O67" s="8" t="n"/>
      <c r="P67" s="8" t="n"/>
      <c r="AC67" s="1" t="n"/>
      <c r="AD67" s="1" t="n"/>
      <c r="AF67" s="1" t="inlineStr">
        <is>
          <t>91-04 | 폐유리병류</t>
        </is>
      </c>
      <c r="AG67" s="1" t="inlineStr">
        <is>
          <t>91-04-01 | 폐유리병</t>
        </is>
      </c>
    </row>
    <row r="68" ht="20.25" customHeight="1" s="71">
      <c r="B68" s="6" t="n"/>
      <c r="C68" s="7" t="n"/>
      <c r="D68" s="7" t="n"/>
      <c r="E68" s="7" t="n"/>
      <c r="F68" s="6" t="n"/>
      <c r="G68" s="6" t="n"/>
      <c r="H68" s="6" t="n"/>
      <c r="I68" s="6" t="n"/>
      <c r="J68" s="7" t="n"/>
      <c r="K68" s="7" t="n"/>
      <c r="L68" s="7" t="n"/>
      <c r="M68" s="7" t="n"/>
      <c r="N68" s="6" t="n"/>
      <c r="O68" s="8" t="n"/>
      <c r="P68" s="8" t="n"/>
      <c r="AC68" s="1" t="n"/>
      <c r="AD68" s="1" t="n"/>
      <c r="AF68" s="1" t="inlineStr">
        <is>
          <t>91-05 | 폐합성수지류</t>
        </is>
      </c>
      <c r="AG68" s="1" t="inlineStr">
        <is>
          <t>91-05-01 | 폐PET병</t>
        </is>
      </c>
    </row>
    <row r="69" ht="20.25" customHeight="1" s="71">
      <c r="B69" s="6" t="n"/>
      <c r="C69" s="7" t="n"/>
      <c r="D69" s="7" t="n"/>
      <c r="E69" s="7" t="n"/>
      <c r="F69" s="6" t="n"/>
      <c r="G69" s="6" t="n"/>
      <c r="H69" s="6" t="n"/>
      <c r="I69" s="6" t="n"/>
      <c r="J69" s="7" t="n"/>
      <c r="K69" s="7" t="n"/>
      <c r="L69" s="7" t="n"/>
      <c r="M69" s="7" t="n"/>
      <c r="N69" s="6" t="n"/>
      <c r="O69" s="8" t="n"/>
      <c r="P69" s="8" t="n"/>
      <c r="AC69" s="1" t="n"/>
      <c r="AD69" s="1" t="n"/>
      <c r="AF69" s="1" t="inlineStr">
        <is>
          <t>91-06 | 폐의류</t>
        </is>
      </c>
      <c r="AG69" s="1" t="inlineStr">
        <is>
          <t>91-06-00 | 폐의류</t>
        </is>
      </c>
    </row>
    <row r="70" ht="20.25" customHeight="1" s="71">
      <c r="B70" s="6" t="n"/>
      <c r="C70" s="7" t="n"/>
      <c r="D70" s="7" t="n"/>
      <c r="E70" s="7" t="n"/>
      <c r="F70" s="6" t="n"/>
      <c r="G70" s="6" t="n"/>
      <c r="H70" s="6" t="n"/>
      <c r="I70" s="6" t="n"/>
      <c r="J70" s="7" t="n"/>
      <c r="K70" s="7" t="n"/>
      <c r="L70" s="7" t="n"/>
      <c r="M70" s="7" t="n"/>
      <c r="N70" s="6" t="n"/>
      <c r="O70" s="8" t="n"/>
      <c r="P70" s="8" t="n"/>
      <c r="AC70" s="1" t="n"/>
      <c r="AD70" s="1" t="n"/>
      <c r="AF70" s="1" t="inlineStr">
        <is>
          <t>91-07 | 폐가전제품</t>
        </is>
      </c>
      <c r="AG70" s="1" t="inlineStr">
        <is>
          <t>91-07-00 | 폐가전제품</t>
        </is>
      </c>
    </row>
    <row r="71" ht="20.25" customHeight="1" s="71">
      <c r="B71" s="6" t="n"/>
      <c r="C71" s="7" t="n"/>
      <c r="D71" s="7" t="n"/>
      <c r="E71" s="7" t="n"/>
      <c r="F71" s="6" t="n"/>
      <c r="G71" s="6" t="n"/>
      <c r="H71" s="6" t="n"/>
      <c r="I71" s="6" t="n"/>
      <c r="J71" s="7" t="n"/>
      <c r="K71" s="7" t="n"/>
      <c r="L71" s="7" t="n"/>
      <c r="M71" s="7" t="n"/>
      <c r="N71" s="6" t="n"/>
      <c r="O71" s="8" t="n"/>
      <c r="P71" s="8" t="n"/>
      <c r="AC71" s="1" t="n"/>
      <c r="AD71" s="1" t="n"/>
      <c r="AF71" s="1" t="inlineStr">
        <is>
          <t>91-08 | 폐가구류</t>
        </is>
      </c>
      <c r="AG71" s="1" t="inlineStr">
        <is>
          <t>91-08-00 | 폐가구류</t>
        </is>
      </c>
    </row>
    <row r="72" ht="20.25" customHeight="1" s="71">
      <c r="B72" s="6" t="n"/>
      <c r="C72" s="7" t="n"/>
      <c r="D72" s="7" t="n"/>
      <c r="E72" s="7" t="n"/>
      <c r="F72" s="6" t="n"/>
      <c r="G72" s="6" t="n"/>
      <c r="H72" s="6" t="n"/>
      <c r="I72" s="6" t="n"/>
      <c r="J72" s="7" t="n"/>
      <c r="K72" s="7" t="n"/>
      <c r="L72" s="7" t="n"/>
      <c r="M72" s="7" t="n"/>
      <c r="N72" s="6" t="n"/>
      <c r="O72" s="8" t="n"/>
      <c r="P72" s="8" t="n"/>
      <c r="AC72" s="1" t="n"/>
      <c r="AD72" s="1" t="n"/>
      <c r="AF72" s="1" t="inlineStr">
        <is>
          <t>91-09 | 폐목재류</t>
        </is>
      </c>
      <c r="AG72" s="1" t="inlineStr">
        <is>
          <t>91-09-00 | 폐목재류</t>
        </is>
      </c>
    </row>
    <row r="73" ht="20.25" customHeight="1" s="71">
      <c r="B73" s="6" t="n"/>
      <c r="C73" s="7" t="n"/>
      <c r="D73" s="7" t="n"/>
      <c r="E73" s="7" t="n"/>
      <c r="F73" s="6" t="n"/>
      <c r="G73" s="6" t="n"/>
      <c r="H73" s="6" t="n"/>
      <c r="I73" s="6" t="n"/>
      <c r="J73" s="7" t="n"/>
      <c r="K73" s="7" t="n"/>
      <c r="L73" s="7" t="n"/>
      <c r="M73" s="7" t="n"/>
      <c r="N73" s="6" t="n"/>
      <c r="O73" s="8" t="n"/>
      <c r="P73" s="8" t="n"/>
      <c r="AC73" s="1" t="n"/>
      <c r="AD73" s="1" t="n"/>
      <c r="AF73" s="1" t="inlineStr">
        <is>
          <t>91-99 | 91-99</t>
        </is>
      </c>
      <c r="AG73" s="1" t="inlineStr">
        <is>
          <t>91-99-00 | 그 밖의 생활폐기물</t>
        </is>
      </c>
    </row>
    <row r="74" ht="20.25" customHeight="1" s="71">
      <c r="B74" s="6" t="n"/>
      <c r="C74" s="7" t="n"/>
      <c r="D74" s="7" t="n"/>
      <c r="E74" s="7" t="n"/>
      <c r="F74" s="6" t="n"/>
      <c r="G74" s="6" t="n"/>
      <c r="H74" s="6" t="n"/>
      <c r="I74" s="6" t="n"/>
      <c r="J74" s="7" t="n"/>
      <c r="K74" s="7" t="n"/>
      <c r="L74" s="7" t="n"/>
      <c r="M74" s="7" t="n"/>
      <c r="N74" s="6" t="n"/>
      <c r="O74" s="8" t="n"/>
      <c r="P74" s="8" t="n"/>
      <c r="AC74" s="1" t="n"/>
      <c r="AD74" s="1" t="n"/>
      <c r="AF74" s="1" t="n"/>
      <c r="AG74" s="1" t="n"/>
    </row>
    <row r="75" ht="20.25" customHeight="1" s="71">
      <c r="B75" s="6" t="n"/>
      <c r="C75" s="7" t="n"/>
      <c r="D75" s="7" t="n"/>
      <c r="E75" s="7" t="n"/>
      <c r="F75" s="6" t="n"/>
      <c r="G75" s="6" t="n"/>
      <c r="H75" s="6" t="n"/>
      <c r="I75" s="6" t="n"/>
      <c r="J75" s="7" t="n"/>
      <c r="K75" s="7" t="n"/>
      <c r="L75" s="7" t="n"/>
      <c r="M75" s="7" t="n"/>
      <c r="N75" s="6" t="n"/>
      <c r="O75" s="8" t="n"/>
      <c r="P75" s="8" t="n"/>
      <c r="AC75" s="1" t="n"/>
      <c r="AD75" s="1" t="n"/>
      <c r="AF75" s="1" t="n"/>
      <c r="AG75" s="1" t="n"/>
    </row>
    <row r="76" ht="20.25" customHeight="1" s="71">
      <c r="B76" s="6" t="n"/>
      <c r="C76" s="7" t="n"/>
      <c r="D76" s="7" t="n"/>
      <c r="E76" s="7" t="n"/>
      <c r="F76" s="6" t="n"/>
      <c r="G76" s="6" t="n"/>
      <c r="H76" s="6" t="n"/>
      <c r="I76" s="6" t="n"/>
      <c r="J76" s="7" t="n"/>
      <c r="K76" s="7" t="n"/>
      <c r="L76" s="7" t="n"/>
      <c r="M76" s="7" t="n"/>
      <c r="N76" s="6" t="n"/>
      <c r="O76" s="8" t="n"/>
      <c r="P76" s="8" t="n"/>
      <c r="AC76" s="1" t="n"/>
      <c r="AD76" s="1" t="n"/>
      <c r="AF76" s="1" t="n"/>
      <c r="AG76" s="1" t="n"/>
    </row>
    <row r="77" ht="20.25" customHeight="1" s="71">
      <c r="B77" s="6" t="n"/>
      <c r="C77" s="7" t="n"/>
      <c r="D77" s="7" t="n"/>
      <c r="E77" s="7" t="n"/>
      <c r="F77" s="6" t="n"/>
      <c r="G77" s="6" t="n"/>
      <c r="H77" s="6" t="n"/>
      <c r="I77" s="6" t="n"/>
      <c r="J77" s="7" t="n"/>
      <c r="K77" s="7" t="n"/>
      <c r="L77" s="7" t="n"/>
      <c r="M77" s="7" t="n"/>
      <c r="N77" s="6" t="n"/>
      <c r="O77" s="8" t="n"/>
      <c r="P77" s="8" t="n"/>
      <c r="AC77" s="1" t="n"/>
      <c r="AD77" s="1" t="n"/>
      <c r="AF77" s="1" t="n"/>
      <c r="AG77" s="1" t="n"/>
    </row>
    <row r="78" ht="20.25" customHeight="1" s="71">
      <c r="B78" s="6" t="n"/>
      <c r="C78" s="7" t="n"/>
      <c r="D78" s="7" t="n"/>
      <c r="E78" s="7" t="n"/>
      <c r="F78" s="6" t="n"/>
      <c r="G78" s="6" t="n"/>
      <c r="H78" s="6" t="n"/>
      <c r="I78" s="6" t="n"/>
      <c r="J78" s="7" t="n"/>
      <c r="K78" s="7" t="n"/>
      <c r="L78" s="7" t="n"/>
      <c r="M78" s="7" t="n"/>
      <c r="N78" s="6" t="n"/>
      <c r="O78" s="8" t="n"/>
      <c r="P78" s="8" t="n"/>
      <c r="AC78" s="1" t="n"/>
      <c r="AD78" s="1" t="n"/>
      <c r="AF78" s="1" t="n"/>
      <c r="AG78" s="1" t="n"/>
    </row>
    <row r="79" ht="20.25" customHeight="1" s="71">
      <c r="B79" s="6" t="n"/>
      <c r="C79" s="7" t="n"/>
      <c r="D79" s="7" t="n"/>
      <c r="E79" s="7" t="n"/>
      <c r="F79" s="6" t="n"/>
      <c r="G79" s="6" t="n"/>
      <c r="H79" s="6" t="n"/>
      <c r="I79" s="6" t="n"/>
      <c r="J79" s="7" t="n"/>
      <c r="K79" s="7" t="n"/>
      <c r="L79" s="7" t="n"/>
      <c r="M79" s="7" t="n"/>
      <c r="N79" s="6" t="n"/>
      <c r="O79" s="8" t="n"/>
      <c r="P79" s="8" t="n"/>
      <c r="AC79" s="1" t="n"/>
      <c r="AD79" s="1" t="n"/>
      <c r="AF79" s="1" t="n"/>
      <c r="AG79" s="1" t="n"/>
    </row>
    <row r="80" ht="20.25" customHeight="1" s="71">
      <c r="B80" s="6" t="n"/>
      <c r="C80" s="7" t="n"/>
      <c r="D80" s="7" t="n"/>
      <c r="E80" s="7" t="n"/>
      <c r="F80" s="6" t="n"/>
      <c r="G80" s="6" t="n"/>
      <c r="H80" s="6" t="n"/>
      <c r="I80" s="6" t="n"/>
      <c r="J80" s="7" t="n"/>
      <c r="K80" s="7" t="n"/>
      <c r="L80" s="7" t="n"/>
      <c r="M80" s="7" t="n"/>
      <c r="N80" s="6" t="n"/>
      <c r="O80" s="8" t="n"/>
      <c r="P80" s="8" t="n"/>
      <c r="AC80" s="1" t="n"/>
      <c r="AD80" s="1" t="n"/>
      <c r="AF80" s="1" t="n"/>
      <c r="AG80" s="1" t="n"/>
    </row>
    <row r="81" ht="20.25" customHeight="1" s="71">
      <c r="B81" s="6" t="n"/>
      <c r="C81" s="7" t="n"/>
      <c r="D81" s="7" t="n"/>
      <c r="E81" s="7" t="n"/>
      <c r="F81" s="6" t="n"/>
      <c r="G81" s="6" t="n"/>
      <c r="H81" s="6" t="n"/>
      <c r="I81" s="6" t="n"/>
      <c r="J81" s="7" t="n"/>
      <c r="K81" s="7" t="n"/>
      <c r="L81" s="7" t="n"/>
      <c r="M81" s="7" t="n"/>
      <c r="N81" s="6" t="n"/>
      <c r="O81" s="8" t="n"/>
      <c r="P81" s="8" t="n"/>
      <c r="AC81" s="1" t="n"/>
      <c r="AD81" s="1" t="n"/>
      <c r="AF81" s="1" t="n"/>
      <c r="AG81" s="1" t="n"/>
    </row>
    <row r="82" ht="20.25" customHeight="1" s="71">
      <c r="B82" s="6" t="n"/>
      <c r="C82" s="7" t="n"/>
      <c r="D82" s="7" t="n"/>
      <c r="E82" s="7" t="n"/>
      <c r="F82" s="6" t="n"/>
      <c r="G82" s="6" t="n"/>
      <c r="H82" s="6" t="n"/>
      <c r="I82" s="6" t="n"/>
      <c r="J82" s="7" t="n"/>
      <c r="K82" s="7" t="n"/>
      <c r="L82" s="7" t="n"/>
      <c r="M82" s="7" t="n"/>
      <c r="N82" s="6" t="n"/>
      <c r="O82" s="8" t="n"/>
      <c r="P82" s="8" t="n"/>
      <c r="AC82" s="1" t="n"/>
      <c r="AD82" s="1" t="n"/>
      <c r="AF82" s="1" t="n"/>
      <c r="AG82" s="1" t="n"/>
    </row>
    <row r="83" ht="20.25" customHeight="1" s="71">
      <c r="B83" s="6" t="n"/>
      <c r="C83" s="7" t="n"/>
      <c r="D83" s="7" t="n"/>
      <c r="E83" s="7" t="n"/>
      <c r="F83" s="6" t="n"/>
      <c r="G83" s="6" t="n"/>
      <c r="H83" s="6" t="n"/>
      <c r="I83" s="6" t="n"/>
      <c r="J83" s="7" t="n"/>
      <c r="K83" s="7" t="n"/>
      <c r="L83" s="7" t="n"/>
      <c r="M83" s="7" t="n"/>
      <c r="N83" s="6" t="n"/>
      <c r="O83" s="8" t="n"/>
      <c r="P83" s="8" t="n"/>
      <c r="AC83" s="1" t="n"/>
      <c r="AD83" s="1" t="n"/>
      <c r="AF83" s="1" t="n"/>
      <c r="AG83" s="1" t="n"/>
    </row>
    <row r="84" ht="20.25" customHeight="1" s="71">
      <c r="B84" s="6" t="n"/>
      <c r="C84" s="7" t="n"/>
      <c r="D84" s="7" t="n"/>
      <c r="E84" s="7" t="n"/>
      <c r="F84" s="6" t="n"/>
      <c r="G84" s="6" t="n"/>
      <c r="H84" s="6" t="n"/>
      <c r="I84" s="6" t="n"/>
      <c r="J84" s="7" t="n"/>
      <c r="K84" s="7" t="n"/>
      <c r="L84" s="7" t="n"/>
      <c r="M84" s="7" t="n"/>
      <c r="N84" s="6" t="n"/>
      <c r="O84" s="8" t="n"/>
      <c r="P84" s="8" t="n"/>
      <c r="AC84" s="1" t="n"/>
      <c r="AD84" s="1" t="n"/>
      <c r="AF84" s="1" t="n"/>
      <c r="AG84" s="1" t="n"/>
    </row>
    <row r="85" ht="20.25" customHeight="1" s="71">
      <c r="B85" s="6" t="n"/>
      <c r="C85" s="7" t="n"/>
      <c r="D85" s="7" t="n"/>
      <c r="E85" s="7" t="n"/>
      <c r="F85" s="6" t="n"/>
      <c r="G85" s="6" t="n"/>
      <c r="H85" s="6" t="n"/>
      <c r="I85" s="6" t="n"/>
      <c r="J85" s="7" t="n"/>
      <c r="K85" s="7" t="n"/>
      <c r="L85" s="7" t="n"/>
      <c r="M85" s="7" t="n"/>
      <c r="N85" s="6" t="n"/>
      <c r="O85" s="8" t="n"/>
      <c r="P85" s="8" t="n"/>
      <c r="AC85" s="1" t="n"/>
      <c r="AD85" s="1" t="n"/>
      <c r="AF85" s="1" t="n"/>
      <c r="AG85" s="1" t="n"/>
    </row>
    <row r="86" ht="20.25" customHeight="1" s="71">
      <c r="B86" s="6" t="n"/>
      <c r="C86" s="7" t="n"/>
      <c r="D86" s="7" t="n"/>
      <c r="E86" s="7" t="n"/>
      <c r="F86" s="6" t="n"/>
      <c r="G86" s="6" t="n"/>
      <c r="H86" s="6" t="n"/>
      <c r="I86" s="6" t="n"/>
      <c r="J86" s="7" t="n"/>
      <c r="K86" s="7" t="n"/>
      <c r="L86" s="7" t="n"/>
      <c r="M86" s="7" t="n"/>
      <c r="N86" s="6" t="n"/>
      <c r="O86" s="8" t="n"/>
      <c r="P86" s="8" t="n"/>
      <c r="AC86" s="1" t="n"/>
      <c r="AD86" s="1" t="n"/>
      <c r="AF86" s="1" t="n"/>
      <c r="AG86" s="1" t="n"/>
    </row>
    <row r="87" ht="20.25" customHeight="1" s="71">
      <c r="B87" s="6" t="n"/>
      <c r="C87" s="7" t="n"/>
      <c r="D87" s="7" t="n"/>
      <c r="E87" s="7" t="n"/>
      <c r="F87" s="6" t="n"/>
      <c r="G87" s="6" t="n"/>
      <c r="H87" s="6" t="n"/>
      <c r="I87" s="6" t="n"/>
      <c r="J87" s="7" t="n"/>
      <c r="K87" s="7" t="n"/>
      <c r="L87" s="7" t="n"/>
      <c r="M87" s="7" t="n"/>
      <c r="N87" s="6" t="n"/>
      <c r="O87" s="8" t="n"/>
      <c r="P87" s="8" t="n"/>
      <c r="AC87" s="1" t="n"/>
      <c r="AD87" s="1" t="n"/>
      <c r="AF87" s="1" t="n"/>
      <c r="AG87" s="1" t="n"/>
    </row>
    <row r="88" ht="20.25" customHeight="1" s="71">
      <c r="B88" s="6" t="n"/>
      <c r="C88" s="7" t="n"/>
      <c r="D88" s="7" t="n"/>
      <c r="E88" s="7" t="n"/>
      <c r="F88" s="6" t="n"/>
      <c r="G88" s="6" t="n"/>
      <c r="H88" s="6" t="n"/>
      <c r="I88" s="6" t="n"/>
      <c r="J88" s="7" t="n"/>
      <c r="K88" s="7" t="n"/>
      <c r="L88" s="7" t="n"/>
      <c r="M88" s="7" t="n"/>
      <c r="N88" s="6" t="n"/>
      <c r="O88" s="8" t="n"/>
      <c r="P88" s="8" t="n"/>
      <c r="AC88" s="1" t="n"/>
      <c r="AD88" s="1" t="n"/>
      <c r="AF88" s="1" t="n"/>
      <c r="AG88" s="1" t="n"/>
    </row>
    <row r="89" ht="20.25" customHeight="1" s="71">
      <c r="B89" s="6" t="n"/>
      <c r="C89" s="7" t="n"/>
      <c r="D89" s="7" t="n"/>
      <c r="E89" s="7" t="n"/>
      <c r="F89" s="6" t="n"/>
      <c r="G89" s="6" t="n"/>
      <c r="H89" s="6" t="n"/>
      <c r="I89" s="6" t="n"/>
      <c r="J89" s="7" t="n"/>
      <c r="K89" s="7" t="n"/>
      <c r="L89" s="7" t="n"/>
      <c r="M89" s="7" t="n"/>
      <c r="N89" s="6" t="n"/>
      <c r="O89" s="8" t="n"/>
      <c r="P89" s="8" t="n"/>
      <c r="AC89" s="1" t="n"/>
      <c r="AD89" s="1" t="n"/>
      <c r="AF89" s="1" t="n"/>
      <c r="AG89" s="1" t="n"/>
    </row>
    <row r="90" ht="20.25" customHeight="1" s="71">
      <c r="B90" s="6" t="n"/>
      <c r="C90" s="7" t="n"/>
      <c r="D90" s="7" t="n"/>
      <c r="E90" s="7" t="n"/>
      <c r="F90" s="6" t="n"/>
      <c r="G90" s="6" t="n"/>
      <c r="H90" s="6" t="n"/>
      <c r="I90" s="6" t="n"/>
      <c r="J90" s="7" t="n"/>
      <c r="K90" s="7" t="n"/>
      <c r="L90" s="7" t="n"/>
      <c r="M90" s="7" t="n"/>
      <c r="N90" s="6" t="n"/>
      <c r="O90" s="8" t="n"/>
      <c r="P90" s="8" t="n"/>
      <c r="AC90" s="1" t="n"/>
      <c r="AD90" s="1" t="n"/>
      <c r="AF90" s="1" t="n"/>
      <c r="AG90" s="1" t="n"/>
    </row>
    <row r="91" ht="20.25" customHeight="1" s="71">
      <c r="B91" s="6" t="n"/>
      <c r="C91" s="7" t="n"/>
      <c r="D91" s="7" t="n"/>
      <c r="E91" s="7" t="n"/>
      <c r="F91" s="6" t="n"/>
      <c r="G91" s="6" t="n"/>
      <c r="H91" s="6" t="n"/>
      <c r="I91" s="6" t="n"/>
      <c r="J91" s="7" t="n"/>
      <c r="K91" s="7" t="n"/>
      <c r="L91" s="7" t="n"/>
      <c r="M91" s="7" t="n"/>
      <c r="N91" s="6" t="n"/>
      <c r="O91" s="8" t="n"/>
      <c r="P91" s="8" t="n"/>
      <c r="AC91" s="1" t="n"/>
      <c r="AD91" s="1" t="n"/>
      <c r="AF91" s="1" t="n"/>
      <c r="AG91" s="1" t="n"/>
    </row>
    <row r="92" ht="20.25" customHeight="1" s="71">
      <c r="B92" s="6" t="n"/>
      <c r="C92" s="7" t="n"/>
      <c r="D92" s="7" t="n"/>
      <c r="E92" s="7" t="n"/>
      <c r="F92" s="6" t="n"/>
      <c r="G92" s="6" t="n"/>
      <c r="H92" s="6" t="n"/>
      <c r="I92" s="6" t="n"/>
      <c r="J92" s="7" t="n"/>
      <c r="K92" s="7" t="n"/>
      <c r="L92" s="7" t="n"/>
      <c r="M92" s="7" t="n"/>
      <c r="N92" s="6" t="n"/>
      <c r="O92" s="8" t="n"/>
      <c r="P92" s="8" t="n"/>
      <c r="AC92" s="1" t="n"/>
      <c r="AD92" s="1" t="n"/>
      <c r="AF92" s="1" t="n"/>
      <c r="AG92" s="1" t="n"/>
    </row>
    <row r="93" ht="20.25" customHeight="1" s="71">
      <c r="B93" s="6" t="n"/>
      <c r="C93" s="7" t="n"/>
      <c r="D93" s="7" t="n"/>
      <c r="E93" s="7" t="n"/>
      <c r="F93" s="6" t="n"/>
      <c r="G93" s="6" t="n"/>
      <c r="H93" s="6" t="n"/>
      <c r="I93" s="6" t="n"/>
      <c r="J93" s="7" t="n"/>
      <c r="K93" s="7" t="n"/>
      <c r="L93" s="7" t="n"/>
      <c r="M93" s="7" t="n"/>
      <c r="N93" s="6" t="n"/>
      <c r="O93" s="8" t="n"/>
      <c r="P93" s="8" t="n"/>
      <c r="AC93" s="1" t="n"/>
      <c r="AD93" s="1" t="n"/>
      <c r="AF93" s="1" t="n"/>
      <c r="AG93" s="1" t="n"/>
    </row>
    <row r="94" ht="20.25" customHeight="1" s="71">
      <c r="B94" s="6" t="n"/>
      <c r="C94" s="7" t="n"/>
      <c r="D94" s="7" t="n"/>
      <c r="E94" s="7" t="n"/>
      <c r="F94" s="6" t="n"/>
      <c r="G94" s="6" t="n"/>
      <c r="H94" s="6" t="n"/>
      <c r="I94" s="6" t="n"/>
      <c r="J94" s="7" t="n"/>
      <c r="K94" s="7" t="n"/>
      <c r="L94" s="7" t="n"/>
      <c r="M94" s="7" t="n"/>
      <c r="N94" s="6" t="n"/>
      <c r="O94" s="8" t="n"/>
      <c r="P94" s="8" t="n"/>
      <c r="AC94" s="1" t="n"/>
      <c r="AD94" s="1" t="n"/>
      <c r="AF94" s="1" t="n"/>
      <c r="AG94" s="1" t="n"/>
    </row>
    <row r="95" ht="20.25" customHeight="1" s="71">
      <c r="B95" s="6" t="n"/>
      <c r="C95" s="7" t="n"/>
      <c r="D95" s="7" t="n"/>
      <c r="E95" s="7" t="n"/>
      <c r="F95" s="6" t="n"/>
      <c r="G95" s="6" t="n"/>
      <c r="H95" s="6" t="n"/>
      <c r="I95" s="6" t="n"/>
      <c r="J95" s="7" t="n"/>
      <c r="K95" s="7" t="n"/>
      <c r="L95" s="7" t="n"/>
      <c r="M95" s="7" t="n"/>
      <c r="N95" s="6" t="n"/>
      <c r="O95" s="8" t="n"/>
      <c r="P95" s="8" t="n"/>
      <c r="AC95" s="1" t="n"/>
      <c r="AD95" s="1" t="n"/>
      <c r="AF95" s="1" t="n"/>
      <c r="AG95" s="1" t="n"/>
    </row>
    <row r="96" ht="20.25" customHeight="1" s="71">
      <c r="B96" s="6" t="n"/>
      <c r="C96" s="7" t="n"/>
      <c r="D96" s="7" t="n"/>
      <c r="E96" s="7" t="n"/>
      <c r="F96" s="6" t="n"/>
      <c r="G96" s="6" t="n"/>
      <c r="H96" s="6" t="n"/>
      <c r="I96" s="6" t="n"/>
      <c r="J96" s="7" t="n"/>
      <c r="K96" s="7" t="n"/>
      <c r="L96" s="7" t="n"/>
      <c r="M96" s="7" t="n"/>
      <c r="N96" s="6" t="n"/>
      <c r="O96" s="8" t="n"/>
      <c r="P96" s="8" t="n"/>
      <c r="AC96" s="1" t="n"/>
      <c r="AD96" s="1" t="n"/>
      <c r="AF96" s="1" t="n"/>
      <c r="AG96" s="1" t="n"/>
    </row>
    <row r="97" ht="20.25" customHeight="1" s="71">
      <c r="B97" s="6" t="n"/>
      <c r="C97" s="7" t="n"/>
      <c r="D97" s="7" t="n"/>
      <c r="E97" s="7" t="n"/>
      <c r="F97" s="6" t="n"/>
      <c r="G97" s="6" t="n"/>
      <c r="H97" s="6" t="n"/>
      <c r="I97" s="6" t="n"/>
      <c r="J97" s="7" t="n"/>
      <c r="K97" s="7" t="n"/>
      <c r="L97" s="7" t="n"/>
      <c r="M97" s="7" t="n"/>
      <c r="N97" s="6" t="n"/>
      <c r="O97" s="8" t="n"/>
      <c r="P97" s="8" t="n"/>
      <c r="AC97" s="1" t="n"/>
      <c r="AD97" s="1" t="n"/>
      <c r="AF97" s="1" t="n"/>
      <c r="AG97" s="1" t="n"/>
    </row>
    <row r="98" ht="20.25" customHeight="1" s="71">
      <c r="B98" s="6" t="n"/>
      <c r="C98" s="7" t="n"/>
      <c r="D98" s="7" t="n"/>
      <c r="E98" s="7" t="n"/>
      <c r="F98" s="6" t="n"/>
      <c r="G98" s="6" t="n"/>
      <c r="H98" s="6" t="n"/>
      <c r="I98" s="6" t="n"/>
      <c r="J98" s="7" t="n"/>
      <c r="K98" s="7" t="n"/>
      <c r="L98" s="7" t="n"/>
      <c r="M98" s="7" t="n"/>
      <c r="N98" s="6" t="n"/>
      <c r="O98" s="8" t="n"/>
      <c r="P98" s="8" t="n"/>
      <c r="AC98" s="1" t="n"/>
      <c r="AD98" s="1" t="n"/>
      <c r="AF98" s="1" t="n"/>
      <c r="AG98" s="1" t="n"/>
    </row>
    <row r="99" ht="20.25" customHeight="1" s="71">
      <c r="B99" s="6" t="n"/>
      <c r="C99" s="7" t="n"/>
      <c r="D99" s="7" t="n"/>
      <c r="E99" s="7" t="n"/>
      <c r="F99" s="6" t="n"/>
      <c r="G99" s="6" t="n"/>
      <c r="H99" s="6" t="n"/>
      <c r="I99" s="6" t="n"/>
      <c r="J99" s="7" t="n"/>
      <c r="K99" s="7" t="n"/>
      <c r="L99" s="7" t="n"/>
      <c r="M99" s="7" t="n"/>
      <c r="N99" s="6" t="n"/>
      <c r="O99" s="8" t="n"/>
      <c r="P99" s="8" t="n"/>
      <c r="AC99" s="1" t="n"/>
      <c r="AD99" s="1" t="n"/>
      <c r="AF99" s="1" t="n"/>
      <c r="AG99" s="1" t="n"/>
    </row>
    <row r="100" ht="20.25" customHeight="1" s="71">
      <c r="B100" s="6" t="n"/>
      <c r="C100" s="7" t="n"/>
      <c r="D100" s="7" t="n"/>
      <c r="E100" s="7" t="n"/>
      <c r="F100" s="6" t="n"/>
      <c r="G100" s="6" t="n"/>
      <c r="H100" s="6" t="n"/>
      <c r="I100" s="6" t="n"/>
      <c r="J100" s="7" t="n"/>
      <c r="K100" s="7" t="n"/>
      <c r="L100" s="7" t="n"/>
      <c r="M100" s="7" t="n"/>
      <c r="N100" s="6" t="n"/>
      <c r="O100" s="8" t="n"/>
      <c r="P100" s="8" t="n"/>
      <c r="AC100" s="1" t="n"/>
      <c r="AD100" s="1" t="n"/>
      <c r="AF100" s="1" t="n"/>
      <c r="AG100" s="1" t="n"/>
    </row>
    <row r="101" ht="20.25" customHeight="1" s="71">
      <c r="B101" s="6" t="n"/>
      <c r="C101" s="7" t="n"/>
      <c r="D101" s="7" t="n"/>
      <c r="E101" s="7" t="n"/>
      <c r="F101" s="6" t="n"/>
      <c r="G101" s="6" t="n"/>
      <c r="H101" s="6" t="n"/>
      <c r="I101" s="6" t="n"/>
      <c r="J101" s="7" t="n"/>
      <c r="K101" s="7" t="n"/>
      <c r="L101" s="7" t="n"/>
      <c r="M101" s="7" t="n"/>
      <c r="N101" s="6" t="n"/>
      <c r="O101" s="8" t="n"/>
      <c r="P101" s="8" t="n"/>
      <c r="AF101" s="1" t="n"/>
      <c r="AG101" s="1" t="n"/>
    </row>
    <row r="102" ht="20.25" customHeight="1" s="71">
      <c r="B102" s="6" t="n"/>
      <c r="C102" s="7" t="n"/>
      <c r="D102" s="7" t="n"/>
      <c r="E102" s="7" t="n"/>
      <c r="F102" s="6" t="n"/>
      <c r="G102" s="6" t="n"/>
      <c r="H102" s="6" t="n"/>
      <c r="I102" s="6" t="n"/>
      <c r="J102" s="7" t="n"/>
      <c r="K102" s="7" t="n"/>
      <c r="L102" s="7" t="n"/>
      <c r="M102" s="7" t="n"/>
      <c r="N102" s="6" t="n"/>
      <c r="O102" s="8" t="n"/>
      <c r="P102" s="8" t="n"/>
      <c r="AF102" s="1" t="n"/>
      <c r="AG102" s="1" t="n"/>
    </row>
    <row r="103" ht="20.25" customHeight="1" s="71">
      <c r="B103" s="6" t="n"/>
      <c r="C103" s="7" t="n"/>
      <c r="D103" s="7" t="n"/>
      <c r="E103" s="7" t="n"/>
      <c r="F103" s="6" t="n"/>
      <c r="G103" s="6" t="n"/>
      <c r="H103" s="6" t="n"/>
      <c r="I103" s="6" t="n"/>
      <c r="J103" s="7" t="n"/>
      <c r="K103" s="7" t="n"/>
      <c r="L103" s="7" t="n"/>
      <c r="M103" s="7" t="n"/>
      <c r="N103" s="6" t="n"/>
      <c r="O103" s="8" t="n"/>
      <c r="P103" s="8" t="n"/>
      <c r="AF103" s="1" t="n"/>
      <c r="AG103" s="1" t="n"/>
    </row>
    <row r="104" ht="20.25" customHeight="1" s="71">
      <c r="B104" s="6" t="n"/>
      <c r="C104" s="7" t="n"/>
      <c r="D104" s="7" t="n"/>
      <c r="E104" s="7" t="n"/>
      <c r="F104" s="6" t="n"/>
      <c r="G104" s="6" t="n"/>
      <c r="H104" s="6" t="n"/>
      <c r="I104" s="6" t="n"/>
      <c r="J104" s="7" t="n"/>
      <c r="K104" s="7" t="n"/>
      <c r="L104" s="7" t="n"/>
      <c r="M104" s="7" t="n"/>
      <c r="N104" s="6" t="n"/>
      <c r="O104" s="8" t="n"/>
      <c r="P104" s="8" t="n"/>
      <c r="AF104" s="1" t="n"/>
      <c r="AG104" s="1" t="n"/>
    </row>
    <row r="105" ht="20.25" customHeight="1" s="71">
      <c r="B105" s="6" t="n"/>
      <c r="C105" s="7" t="n"/>
      <c r="D105" s="7" t="n"/>
      <c r="E105" s="7" t="n"/>
      <c r="F105" s="6" t="n"/>
      <c r="G105" s="6" t="n"/>
      <c r="H105" s="6" t="n"/>
      <c r="I105" s="6" t="n"/>
      <c r="J105" s="7" t="n"/>
      <c r="K105" s="7" t="n"/>
      <c r="L105" s="7" t="n"/>
      <c r="M105" s="7" t="n"/>
      <c r="N105" s="6" t="n"/>
      <c r="O105" s="8" t="n"/>
      <c r="P105" s="8" t="n"/>
      <c r="AF105" s="1" t="n"/>
      <c r="AG105" s="1" t="n"/>
    </row>
    <row r="106" ht="20.25" customHeight="1" s="71">
      <c r="B106" s="6" t="n"/>
      <c r="C106" s="7" t="n"/>
      <c r="D106" s="7" t="n"/>
      <c r="E106" s="7" t="n"/>
      <c r="F106" s="6" t="n"/>
      <c r="G106" s="6" t="n"/>
      <c r="H106" s="6" t="n"/>
      <c r="I106" s="6" t="n"/>
      <c r="J106" s="7" t="n"/>
      <c r="K106" s="7" t="n"/>
      <c r="L106" s="7" t="n"/>
      <c r="M106" s="7" t="n"/>
      <c r="N106" s="6" t="n"/>
      <c r="O106" s="8" t="n"/>
      <c r="P106" s="8" t="n"/>
      <c r="AF106" s="1" t="n"/>
      <c r="AG106" s="1" t="n"/>
    </row>
    <row r="107" ht="20.25" customHeight="1" s="71">
      <c r="B107" s="6" t="n"/>
      <c r="C107" s="7" t="n"/>
      <c r="D107" s="7" t="n"/>
      <c r="E107" s="7" t="n"/>
      <c r="F107" s="6" t="n"/>
      <c r="G107" s="6" t="n"/>
      <c r="H107" s="6" t="n"/>
      <c r="I107" s="6" t="n"/>
      <c r="J107" s="7" t="n"/>
      <c r="K107" s="7" t="n"/>
      <c r="L107" s="7" t="n"/>
      <c r="M107" s="7" t="n"/>
      <c r="N107" s="6" t="n"/>
      <c r="O107" s="8" t="n"/>
      <c r="P107" s="8" t="n"/>
      <c r="AF107" s="1" t="n"/>
      <c r="AG107" s="1" t="n"/>
    </row>
    <row r="108" ht="20.25" customHeight="1" s="71">
      <c r="B108" s="6" t="n"/>
      <c r="C108" s="7" t="n"/>
      <c r="D108" s="7" t="n"/>
      <c r="E108" s="7" t="n"/>
      <c r="F108" s="6" t="n"/>
      <c r="G108" s="6" t="n"/>
      <c r="H108" s="6" t="n"/>
      <c r="I108" s="6" t="n"/>
      <c r="J108" s="7" t="n"/>
      <c r="K108" s="7" t="n"/>
      <c r="L108" s="7" t="n"/>
      <c r="M108" s="7" t="n"/>
      <c r="N108" s="6" t="n"/>
      <c r="O108" s="8" t="n"/>
      <c r="P108" s="8" t="n"/>
      <c r="AF108" s="1" t="n"/>
      <c r="AG108" s="1" t="n"/>
    </row>
    <row r="109" ht="20.25" customHeight="1" s="71">
      <c r="B109" s="6" t="n"/>
      <c r="C109" s="7" t="n"/>
      <c r="D109" s="7" t="n"/>
      <c r="E109" s="7" t="n"/>
      <c r="F109" s="6" t="n"/>
      <c r="G109" s="6" t="n"/>
      <c r="H109" s="6" t="n"/>
      <c r="I109" s="6" t="n"/>
      <c r="J109" s="7" t="n"/>
      <c r="K109" s="7" t="n"/>
      <c r="L109" s="7" t="n"/>
      <c r="M109" s="7" t="n"/>
      <c r="N109" s="6" t="n"/>
      <c r="O109" s="8" t="n"/>
      <c r="P109" s="8" t="n"/>
      <c r="AF109" s="1" t="n"/>
      <c r="AG109" s="1" t="n"/>
    </row>
    <row r="110" ht="20.25" customHeight="1" s="71">
      <c r="B110" s="6" t="n"/>
      <c r="C110" s="7" t="n"/>
      <c r="D110" s="7" t="n"/>
      <c r="E110" s="7" t="n"/>
      <c r="F110" s="6" t="n"/>
      <c r="G110" s="6" t="n"/>
      <c r="H110" s="6" t="n"/>
      <c r="I110" s="6" t="n"/>
      <c r="J110" s="7" t="n"/>
      <c r="K110" s="7" t="n"/>
      <c r="L110" s="7" t="n"/>
      <c r="M110" s="7" t="n"/>
      <c r="N110" s="6" t="n"/>
      <c r="O110" s="8" t="n"/>
      <c r="P110" s="8" t="n"/>
      <c r="AF110" s="1" t="n"/>
      <c r="AG110" s="1" t="n"/>
    </row>
    <row r="111" ht="20.25" customHeight="1" s="71">
      <c r="B111" s="6" t="n"/>
      <c r="C111" s="7" t="n"/>
      <c r="D111" s="7" t="n"/>
      <c r="E111" s="7" t="n"/>
      <c r="F111" s="6" t="n"/>
      <c r="G111" s="6" t="n"/>
      <c r="H111" s="6" t="n"/>
      <c r="I111" s="6" t="n"/>
      <c r="J111" s="7" t="n"/>
      <c r="K111" s="7" t="n"/>
      <c r="L111" s="7" t="n"/>
      <c r="M111" s="7" t="n"/>
      <c r="N111" s="6" t="n"/>
      <c r="O111" s="8" t="n"/>
      <c r="P111" s="8" t="n"/>
      <c r="AF111" s="1" t="n"/>
      <c r="AG111" s="1" t="n"/>
    </row>
    <row r="112" ht="20.25" customHeight="1" s="71">
      <c r="B112" s="6" t="n"/>
      <c r="C112" s="7" t="n"/>
      <c r="D112" s="7" t="n"/>
      <c r="E112" s="7" t="n"/>
      <c r="F112" s="6" t="n"/>
      <c r="G112" s="6" t="n"/>
      <c r="H112" s="6" t="n"/>
      <c r="I112" s="6" t="n"/>
      <c r="J112" s="7" t="n"/>
      <c r="K112" s="7" t="n"/>
      <c r="L112" s="7" t="n"/>
      <c r="M112" s="7" t="n"/>
      <c r="N112" s="6" t="n"/>
      <c r="O112" s="8" t="n"/>
      <c r="P112" s="8" t="n"/>
      <c r="AF112" s="1" t="n"/>
      <c r="AG112" s="1" t="n"/>
    </row>
    <row r="113" ht="20.25" customHeight="1" s="71">
      <c r="B113" s="6" t="n"/>
      <c r="C113" s="7" t="n"/>
      <c r="D113" s="7" t="n"/>
      <c r="E113" s="7" t="n"/>
      <c r="F113" s="6" t="n"/>
      <c r="G113" s="6" t="n"/>
      <c r="H113" s="6" t="n"/>
      <c r="I113" s="6" t="n"/>
      <c r="J113" s="7" t="n"/>
      <c r="K113" s="7" t="n"/>
      <c r="L113" s="7" t="n"/>
      <c r="M113" s="7" t="n"/>
      <c r="N113" s="6" t="n"/>
      <c r="O113" s="8" t="n"/>
      <c r="P113" s="8" t="n"/>
      <c r="AF113" s="1" t="n"/>
      <c r="AG113" s="1" t="n"/>
    </row>
    <row r="114" ht="20.25" customHeight="1" s="71">
      <c r="B114" s="6" t="n"/>
      <c r="C114" s="7" t="n"/>
      <c r="D114" s="7" t="n"/>
      <c r="E114" s="7" t="n"/>
      <c r="F114" s="6" t="n"/>
      <c r="G114" s="6" t="n"/>
      <c r="H114" s="6" t="n"/>
      <c r="I114" s="6" t="n"/>
      <c r="J114" s="7" t="n"/>
      <c r="K114" s="7" t="n"/>
      <c r="L114" s="7" t="n"/>
      <c r="M114" s="7" t="n"/>
      <c r="N114" s="6" t="n"/>
      <c r="O114" s="8" t="n"/>
      <c r="P114" s="8" t="n"/>
      <c r="AF114" s="1" t="n"/>
      <c r="AG114" s="1" t="n"/>
    </row>
    <row r="115" ht="20.25" customHeight="1" s="71">
      <c r="B115" s="6" t="n"/>
      <c r="C115" s="7" t="n"/>
      <c r="D115" s="7" t="n"/>
      <c r="E115" s="7" t="n"/>
      <c r="F115" s="6" t="n"/>
      <c r="G115" s="6" t="n"/>
      <c r="H115" s="6" t="n"/>
      <c r="I115" s="6" t="n"/>
      <c r="J115" s="7" t="n"/>
      <c r="K115" s="7" t="n"/>
      <c r="L115" s="7" t="n"/>
      <c r="M115" s="7" t="n"/>
      <c r="N115" s="6" t="n"/>
      <c r="O115" s="8" t="n"/>
      <c r="P115" s="8" t="n"/>
      <c r="AF115" s="1" t="n"/>
      <c r="AG115" s="1" t="n"/>
    </row>
    <row r="116" ht="20.25" customHeight="1" s="71">
      <c r="B116" s="6" t="n"/>
      <c r="C116" s="7" t="n"/>
      <c r="D116" s="7" t="n"/>
      <c r="E116" s="7" t="n"/>
      <c r="F116" s="6" t="n"/>
      <c r="G116" s="6" t="n"/>
      <c r="H116" s="6" t="n"/>
      <c r="I116" s="6" t="n"/>
      <c r="J116" s="7" t="n"/>
      <c r="K116" s="7" t="n"/>
      <c r="L116" s="7" t="n"/>
      <c r="M116" s="7" t="n"/>
      <c r="N116" s="6" t="n"/>
      <c r="O116" s="8" t="n"/>
      <c r="P116" s="8" t="n"/>
      <c r="AF116" s="1" t="n"/>
      <c r="AG116" s="1" t="n"/>
    </row>
    <row r="117" ht="20.25" customHeight="1" s="71">
      <c r="B117" s="6" t="n"/>
      <c r="C117" s="7" t="n"/>
      <c r="D117" s="7" t="n"/>
      <c r="E117" s="7" t="n"/>
      <c r="F117" s="6" t="n"/>
      <c r="G117" s="6" t="n"/>
      <c r="H117" s="6" t="n"/>
      <c r="I117" s="6" t="n"/>
      <c r="J117" s="7" t="n"/>
      <c r="K117" s="7" t="n"/>
      <c r="L117" s="7" t="n"/>
      <c r="M117" s="7" t="n"/>
      <c r="N117" s="6" t="n"/>
      <c r="O117" s="8" t="n"/>
      <c r="P117" s="8" t="n"/>
      <c r="AF117" s="1" t="n"/>
      <c r="AG117" s="1" t="n"/>
    </row>
    <row r="118" ht="20.25" customHeight="1" s="71">
      <c r="B118" s="6" t="n"/>
      <c r="C118" s="7" t="n"/>
      <c r="D118" s="7" t="n"/>
      <c r="E118" s="7" t="n"/>
      <c r="F118" s="6" t="n"/>
      <c r="G118" s="6" t="n"/>
      <c r="H118" s="6" t="n"/>
      <c r="I118" s="6" t="n"/>
      <c r="J118" s="7" t="n"/>
      <c r="K118" s="7" t="n"/>
      <c r="L118" s="7" t="n"/>
      <c r="M118" s="7" t="n"/>
      <c r="N118" s="6" t="n"/>
      <c r="O118" s="8" t="n"/>
      <c r="P118" s="8" t="n"/>
      <c r="AF118" s="1" t="n"/>
      <c r="AG118" s="1" t="n"/>
    </row>
    <row r="119" ht="20.25" customHeight="1" s="71">
      <c r="B119" s="6" t="n"/>
      <c r="C119" s="7" t="n"/>
      <c r="D119" s="7" t="n"/>
      <c r="E119" s="7" t="n"/>
      <c r="F119" s="6" t="n"/>
      <c r="G119" s="6" t="n"/>
      <c r="H119" s="6" t="n"/>
      <c r="I119" s="6" t="n"/>
      <c r="J119" s="7" t="n"/>
      <c r="K119" s="7" t="n"/>
      <c r="L119" s="7" t="n"/>
      <c r="M119" s="7" t="n"/>
      <c r="N119" s="6" t="n"/>
      <c r="O119" s="8" t="n"/>
      <c r="P119" s="8" t="n"/>
      <c r="AF119" s="1" t="n"/>
      <c r="AG119" s="1" t="n"/>
    </row>
    <row r="120" ht="20.25" customHeight="1" s="71">
      <c r="B120" s="6" t="n"/>
      <c r="C120" s="7" t="n"/>
      <c r="D120" s="7" t="n"/>
      <c r="E120" s="7" t="n"/>
      <c r="F120" s="6" t="n"/>
      <c r="G120" s="6" t="n"/>
      <c r="H120" s="6" t="n"/>
      <c r="I120" s="6" t="n"/>
      <c r="J120" s="7" t="n"/>
      <c r="K120" s="7" t="n"/>
      <c r="L120" s="7" t="n"/>
      <c r="M120" s="7" t="n"/>
      <c r="N120" s="6" t="n"/>
      <c r="O120" s="8" t="n"/>
      <c r="P120" s="8" t="n"/>
      <c r="AF120" s="1" t="n"/>
      <c r="AG120" s="1" t="n"/>
    </row>
    <row r="121" ht="20.25" customHeight="1" s="71">
      <c r="B121" s="6" t="n"/>
      <c r="C121" s="7" t="n"/>
      <c r="D121" s="7" t="n"/>
      <c r="E121" s="7" t="n"/>
      <c r="F121" s="6" t="n"/>
      <c r="G121" s="6" t="n"/>
      <c r="H121" s="6" t="n"/>
      <c r="I121" s="6" t="n"/>
      <c r="J121" s="7" t="n"/>
      <c r="K121" s="7" t="n"/>
      <c r="L121" s="7" t="n"/>
      <c r="M121" s="7" t="n"/>
      <c r="N121" s="6" t="n"/>
      <c r="O121" s="8" t="n"/>
      <c r="P121" s="8" t="n"/>
      <c r="AF121" s="1" t="n"/>
      <c r="AG121" s="1" t="n"/>
    </row>
    <row r="122" ht="20.25" customHeight="1" s="71">
      <c r="B122" s="6" t="n"/>
      <c r="C122" s="7" t="n"/>
      <c r="D122" s="7" t="n"/>
      <c r="E122" s="7" t="n"/>
      <c r="F122" s="6" t="n"/>
      <c r="G122" s="6" t="n"/>
      <c r="H122" s="6" t="n"/>
      <c r="I122" s="6" t="n"/>
      <c r="J122" s="7" t="n"/>
      <c r="K122" s="7" t="n"/>
      <c r="L122" s="7" t="n"/>
      <c r="M122" s="7" t="n"/>
      <c r="N122" s="6" t="n"/>
      <c r="O122" s="8" t="n"/>
      <c r="P122" s="8" t="n"/>
      <c r="AF122" s="1" t="n"/>
      <c r="AG122" s="1" t="n"/>
    </row>
    <row r="123" ht="20.25" customHeight="1" s="71">
      <c r="AF123" s="1" t="n"/>
      <c r="AG123" s="1" t="n"/>
    </row>
    <row r="124" ht="20.25" customHeight="1" s="71">
      <c r="AF124" s="1" t="n"/>
      <c r="AG124" s="1" t="n"/>
    </row>
    <row r="125" ht="20.25" customHeight="1" s="71">
      <c r="AF125" s="1" t="n"/>
      <c r="AG125" s="1" t="n"/>
    </row>
    <row r="126" ht="20.25" customHeight="1" s="71">
      <c r="AF126" s="1" t="n"/>
      <c r="AG126" s="1" t="n"/>
    </row>
    <row r="127" ht="20.25" customHeight="1" s="71">
      <c r="AF127" s="1" t="n"/>
      <c r="AG127" s="1" t="n"/>
    </row>
    <row r="128" ht="20.25" customHeight="1" s="71">
      <c r="AF128" s="1" t="n"/>
      <c r="AG128" s="1" t="n"/>
    </row>
    <row r="129" ht="20.25" customHeight="1" s="71">
      <c r="AF129" s="1" t="n"/>
      <c r="AG129" s="1" t="n"/>
    </row>
    <row r="130" ht="20.25" customHeight="1" s="71">
      <c r="AF130" s="1" t="n"/>
      <c r="AG130" s="1" t="n"/>
    </row>
    <row r="131" ht="20.25" customHeight="1" s="71">
      <c r="AF131" s="1" t="n"/>
      <c r="AG131" s="1" t="n"/>
    </row>
    <row r="132" ht="20.25" customHeight="1" s="71">
      <c r="AF132" s="1" t="n"/>
      <c r="AG132" s="1" t="n"/>
    </row>
    <row r="133" ht="20.25" customHeight="1" s="71">
      <c r="AF133" s="1" t="n"/>
      <c r="AG133" s="1" t="n"/>
    </row>
    <row r="134" ht="20.25" customHeight="1" s="71">
      <c r="AF134" s="1" t="n"/>
      <c r="AG134" s="1" t="n"/>
    </row>
    <row r="135" ht="20.25" customHeight="1" s="71">
      <c r="AF135" s="1" t="n"/>
      <c r="AG135" s="1" t="n"/>
    </row>
    <row r="136" ht="20.25" customHeight="1" s="71">
      <c r="AF136" s="1" t="n"/>
      <c r="AG136" s="1" t="n"/>
    </row>
    <row r="137" ht="20.25" customHeight="1" s="71">
      <c r="AF137" s="1" t="n"/>
      <c r="AG137" s="1" t="n"/>
    </row>
    <row r="138" ht="20.25" customHeight="1" s="71">
      <c r="AF138" s="1" t="n"/>
      <c r="AG138" s="1" t="n"/>
    </row>
    <row r="139" ht="20.25" customHeight="1" s="71">
      <c r="AF139" s="1" t="n"/>
      <c r="AG139" s="1" t="n"/>
    </row>
    <row r="140" ht="20.25" customHeight="1" s="71">
      <c r="AF140" s="1" t="n"/>
      <c r="AG140" s="1" t="n"/>
    </row>
    <row r="141" ht="20.25" customHeight="1" s="71">
      <c r="AF141" s="1" t="n"/>
      <c r="AG141" s="1" t="n"/>
    </row>
    <row r="142" ht="20.25" customHeight="1" s="71">
      <c r="AF142" s="1" t="n"/>
      <c r="AG142" s="1" t="n"/>
    </row>
    <row r="143" ht="20.25" customHeight="1" s="71">
      <c r="AF143" s="1" t="n"/>
      <c r="AG143" s="1" t="n"/>
    </row>
    <row r="144" ht="20.25" customHeight="1" s="71">
      <c r="AF144" s="1" t="n"/>
      <c r="AG144" s="1" t="n"/>
    </row>
    <row r="145" ht="20.25" customHeight="1" s="71">
      <c r="AF145" s="1" t="n"/>
      <c r="AG145" s="1" t="n"/>
    </row>
    <row r="146" ht="20.25" customHeight="1" s="71">
      <c r="AF146" s="1" t="n"/>
      <c r="AG146" s="1" t="n"/>
    </row>
    <row r="147" ht="20.25" customHeight="1" s="71">
      <c r="AF147" s="1" t="n"/>
      <c r="AG147" s="1" t="n"/>
    </row>
    <row r="148" ht="20.25" customHeight="1" s="71">
      <c r="AF148" s="1" t="n"/>
      <c r="AG148" s="1" t="n"/>
    </row>
    <row r="149" ht="20.25" customHeight="1" s="71">
      <c r="AF149" s="1" t="n"/>
      <c r="AG149" s="1" t="n"/>
    </row>
    <row r="150" ht="20.25" customHeight="1" s="71">
      <c r="AF150" s="1" t="n"/>
      <c r="AG150" s="1" t="n"/>
    </row>
    <row r="151" ht="20.25" customHeight="1" s="71">
      <c r="AF151" s="1" t="n"/>
      <c r="AG151" s="1" t="n"/>
    </row>
    <row r="152" ht="20.25" customHeight="1" s="71">
      <c r="AF152" s="1" t="n"/>
      <c r="AG152" s="1" t="n"/>
    </row>
    <row r="153" ht="20.25" customHeight="1" s="71">
      <c r="AF153" s="1" t="n"/>
      <c r="AG153" s="1" t="n"/>
    </row>
    <row r="154" ht="20.25" customHeight="1" s="71">
      <c r="AF154" s="1" t="n"/>
      <c r="AG154" s="1" t="n"/>
    </row>
    <row r="155" ht="20.25" customHeight="1" s="71">
      <c r="AF155" s="1" t="n"/>
      <c r="AG155" s="1" t="n"/>
    </row>
    <row r="156" ht="20.25" customHeight="1" s="71">
      <c r="AF156" s="1" t="n"/>
      <c r="AG156" s="1" t="n"/>
    </row>
    <row r="157" ht="20.25" customHeight="1" s="71">
      <c r="AF157" s="1" t="n"/>
      <c r="AG157" s="1" t="n"/>
    </row>
    <row r="158" ht="20.25" customHeight="1" s="71">
      <c r="AF158" s="1" t="n"/>
      <c r="AG158" s="1" t="n"/>
    </row>
    <row r="159" ht="20.25" customHeight="1" s="71">
      <c r="AF159" s="1" t="n"/>
      <c r="AG159" s="1" t="n"/>
    </row>
    <row r="160" ht="20.25" customHeight="1" s="71">
      <c r="AF160" s="1" t="n"/>
      <c r="AG160" s="1" t="n"/>
    </row>
    <row r="161" ht="20.25" customHeight="1" s="71">
      <c r="AF161" s="1" t="n"/>
      <c r="AG161" s="1" t="n"/>
    </row>
    <row r="162" ht="20.25" customHeight="1" s="71">
      <c r="AF162" s="1" t="n"/>
      <c r="AG162" s="1" t="n"/>
    </row>
    <row r="163" ht="20.25" customHeight="1" s="71">
      <c r="AF163" s="1" t="n"/>
      <c r="AG163" s="1" t="n"/>
    </row>
    <row r="164" ht="20.25" customHeight="1" s="71">
      <c r="AF164" s="1" t="n"/>
      <c r="AG164" s="1" t="n"/>
    </row>
    <row r="165" ht="20.25" customHeight="1" s="71">
      <c r="AF165" s="1" t="n"/>
      <c r="AG165" s="1" t="n"/>
    </row>
    <row r="166" ht="20.25" customHeight="1" s="71">
      <c r="AF166" s="1" t="n"/>
      <c r="AG166" s="1" t="n"/>
    </row>
    <row r="167" ht="20.25" customHeight="1" s="71">
      <c r="AF167" s="1" t="n"/>
      <c r="AG167" s="1" t="n"/>
    </row>
    <row r="168" ht="20.25" customHeight="1" s="71">
      <c r="AF168" s="1" t="n"/>
      <c r="AG168" s="1" t="n"/>
    </row>
    <row r="169" ht="20.25" customHeight="1" s="71">
      <c r="AF169" s="1" t="n"/>
      <c r="AG169" s="1" t="n"/>
    </row>
    <row r="170" ht="20.25" customHeight="1" s="71">
      <c r="AF170" s="1" t="n"/>
      <c r="AG170" s="1" t="n"/>
    </row>
    <row r="171" ht="20.25" customHeight="1" s="71">
      <c r="AF171" s="1" t="n"/>
      <c r="AG171" s="1" t="n"/>
    </row>
    <row r="172" ht="20.25" customHeight="1" s="71">
      <c r="AF172" s="1" t="n"/>
      <c r="AG172" s="1" t="n"/>
    </row>
    <row r="173" ht="20.25" customHeight="1" s="71">
      <c r="AF173" s="1" t="n"/>
      <c r="AG173" s="1" t="n"/>
    </row>
    <row r="174" ht="20.25" customHeight="1" s="71">
      <c r="AF174" s="1" t="n"/>
      <c r="AG174" s="1" t="n"/>
    </row>
    <row r="175" ht="20.25" customHeight="1" s="71">
      <c r="AF175" s="1" t="n"/>
      <c r="AG175" s="1" t="n"/>
    </row>
    <row r="176" ht="20.25" customHeight="1" s="71">
      <c r="AF176" s="1" t="n"/>
      <c r="AG176" s="1" t="n"/>
    </row>
    <row r="177" ht="20.25" customHeight="1" s="71">
      <c r="AF177" s="1" t="n"/>
      <c r="AG177" s="1" t="n"/>
    </row>
    <row r="178" ht="20.25" customHeight="1" s="71">
      <c r="AF178" s="1" t="n"/>
      <c r="AG178" s="1" t="n"/>
    </row>
    <row r="179" ht="20.25" customHeight="1" s="71">
      <c r="AF179" s="1" t="n"/>
      <c r="AG179" s="1" t="n"/>
    </row>
    <row r="180" ht="20.25" customHeight="1" s="71">
      <c r="AF180" s="1" t="n"/>
      <c r="AG180" s="1" t="n"/>
    </row>
    <row r="181" ht="20.25" customHeight="1" s="71">
      <c r="AF181" s="1" t="n"/>
      <c r="AG181" s="1" t="n"/>
    </row>
    <row r="182" ht="20.25" customHeight="1" s="71">
      <c r="AF182" s="1" t="n"/>
      <c r="AG182" s="1" t="n"/>
    </row>
    <row r="183" ht="20.25" customHeight="1" s="71">
      <c r="AF183" s="1" t="n"/>
      <c r="AG183" s="1" t="n"/>
    </row>
    <row r="184" ht="20.25" customHeight="1" s="71">
      <c r="AF184" s="1" t="n"/>
      <c r="AG184" s="1" t="n"/>
    </row>
    <row r="185" ht="20.25" customHeight="1" s="71">
      <c r="AF185" s="1" t="n"/>
      <c r="AG185" s="1" t="n"/>
    </row>
    <row r="186" ht="20.25" customHeight="1" s="71">
      <c r="AF186" s="1" t="n"/>
      <c r="AG186" s="1" t="n"/>
    </row>
    <row r="187" ht="20.25" customHeight="1" s="71">
      <c r="AF187" s="1" t="n"/>
      <c r="AG187" s="1" t="n"/>
    </row>
    <row r="188" ht="20.25" customHeight="1" s="71">
      <c r="AF188" s="1" t="n"/>
      <c r="AG188" s="1" t="n"/>
    </row>
    <row r="189" ht="20.25" customHeight="1" s="71">
      <c r="AF189" s="1" t="n"/>
      <c r="AG189" s="1" t="n"/>
    </row>
    <row r="190" ht="20.25" customHeight="1" s="71">
      <c r="AF190" s="1" t="n"/>
      <c r="AG190" s="1" t="n"/>
    </row>
    <row r="191" ht="20.25" customHeight="1" s="71">
      <c r="AF191" s="1" t="n"/>
      <c r="AG191" s="1" t="n"/>
    </row>
    <row r="192" ht="20.25" customHeight="1" s="71">
      <c r="AF192" s="1" t="n"/>
      <c r="AG192" s="1" t="n"/>
    </row>
    <row r="193" ht="20.25" customHeight="1" s="71">
      <c r="AF193" s="1" t="n"/>
      <c r="AG193" s="1" t="n"/>
    </row>
    <row r="194" ht="20.25" customHeight="1" s="71">
      <c r="AF194" s="1" t="n"/>
      <c r="AG194" s="1" t="n"/>
    </row>
    <row r="195" ht="20.25" customHeight="1" s="71">
      <c r="AF195" s="1" t="n"/>
      <c r="AG195" s="1" t="n"/>
    </row>
    <row r="196" ht="20.25" customHeight="1" s="71">
      <c r="AF196" s="1" t="n"/>
      <c r="AG196" s="1" t="n"/>
    </row>
    <row r="197" ht="20.25" customHeight="1" s="71">
      <c r="AF197" s="1" t="n"/>
      <c r="AG197" s="1" t="n"/>
    </row>
    <row r="198" ht="20.25" customHeight="1" s="71">
      <c r="AF198" s="1" t="n"/>
      <c r="AG198" s="1" t="n"/>
    </row>
    <row r="199" ht="20.25" customHeight="1" s="71">
      <c r="AF199" s="1" t="n"/>
      <c r="AG199" s="1" t="n"/>
    </row>
    <row r="200" ht="20.25" customHeight="1" s="71">
      <c r="AF200" s="1" t="n"/>
      <c r="AG200" s="1" t="n"/>
    </row>
    <row r="201" ht="20.25" customHeight="1" s="71">
      <c r="AF201" s="1" t="n"/>
      <c r="AG201" s="1" t="n"/>
    </row>
    <row r="202" ht="20.25" customHeight="1" s="71">
      <c r="AF202" s="1" t="n"/>
      <c r="AG202" s="1" t="n"/>
    </row>
    <row r="203" ht="20.25" customHeight="1" s="71">
      <c r="AF203" s="1" t="n"/>
      <c r="AG203" s="1" t="n"/>
    </row>
    <row r="204" ht="20.25" customHeight="1" s="71">
      <c r="AF204" s="1" t="n"/>
      <c r="AG204" s="1" t="n"/>
    </row>
    <row r="205" ht="20.25" customHeight="1" s="71">
      <c r="AF205" s="1" t="n"/>
      <c r="AG205" s="1" t="n"/>
    </row>
    <row r="206" ht="20.25" customHeight="1" s="71">
      <c r="AF206" s="1" t="n"/>
      <c r="AG206" s="1" t="n"/>
    </row>
    <row r="207" ht="20.25" customHeight="1" s="71">
      <c r="AF207" s="1" t="n"/>
      <c r="AG207" s="1" t="n"/>
    </row>
    <row r="208" ht="20.25" customHeight="1" s="71">
      <c r="AF208" s="1" t="n"/>
      <c r="AG208" s="1" t="n"/>
    </row>
    <row r="209" ht="20.25" customHeight="1" s="71">
      <c r="AF209" s="1" t="n"/>
      <c r="AG209" s="1" t="n"/>
    </row>
    <row r="210" ht="20.25" customHeight="1" s="71">
      <c r="AF210" s="1" t="n"/>
      <c r="AG210" s="1" t="n"/>
    </row>
    <row r="211" ht="20.25" customHeight="1" s="71">
      <c r="AF211" s="1" t="n"/>
      <c r="AG211" s="1" t="n"/>
    </row>
    <row r="212" ht="20.25" customHeight="1" s="71">
      <c r="AF212" s="1" t="n"/>
      <c r="AG212" s="1" t="n"/>
    </row>
    <row r="213" ht="20.25" customHeight="1" s="71">
      <c r="AF213" s="1" t="n"/>
      <c r="AG213" s="1" t="n"/>
    </row>
    <row r="214" ht="20.25" customHeight="1" s="71">
      <c r="AF214" s="1" t="n"/>
      <c r="AG214" s="1" t="n"/>
    </row>
    <row r="215" ht="20.25" customHeight="1" s="71">
      <c r="AF215" s="1" t="n"/>
      <c r="AG215" s="1" t="n"/>
    </row>
    <row r="216" ht="20.25" customHeight="1" s="71">
      <c r="AF216" s="1" t="n"/>
      <c r="AG216" s="1" t="n"/>
    </row>
    <row r="217" ht="20.25" customHeight="1" s="71">
      <c r="AF217" s="1" t="n"/>
      <c r="AG217" s="1" t="n"/>
    </row>
    <row r="218" ht="20.25" customHeight="1" s="71">
      <c r="AF218" s="1" t="n"/>
      <c r="AG218" s="1" t="n"/>
    </row>
    <row r="219" ht="20.25" customHeight="1" s="71">
      <c r="AF219" s="1" t="n"/>
      <c r="AG219" s="1" t="n"/>
    </row>
    <row r="220" ht="20.25" customHeight="1" s="71">
      <c r="AF220" s="1" t="n"/>
      <c r="AG220" s="1" t="n"/>
    </row>
    <row r="221" ht="20.25" customHeight="1" s="71">
      <c r="AF221" s="1" t="n"/>
      <c r="AG221" s="1" t="n"/>
    </row>
    <row r="222" ht="20.25" customHeight="1" s="71">
      <c r="AF222" s="1" t="n"/>
      <c r="AG222" s="1" t="n"/>
    </row>
    <row r="223" ht="20.25" customHeight="1" s="71">
      <c r="AF223" s="1" t="n"/>
      <c r="AG223" s="1" t="n"/>
    </row>
    <row r="224" ht="20.25" customHeight="1" s="71">
      <c r="AF224" s="1" t="n"/>
      <c r="AG224" s="1" t="n"/>
    </row>
    <row r="225" ht="20.25" customHeight="1" s="71">
      <c r="AF225" s="1" t="n"/>
      <c r="AG225" s="1" t="n"/>
    </row>
    <row r="226" ht="20.25" customHeight="1" s="71">
      <c r="AF226" s="1" t="n"/>
      <c r="AG226" s="1" t="n"/>
    </row>
    <row r="227" ht="20.25" customHeight="1" s="71">
      <c r="AF227" s="1" t="n"/>
      <c r="AG227" s="1" t="n"/>
    </row>
    <row r="228" ht="20.25" customHeight="1" s="71">
      <c r="AF228" s="1" t="n"/>
      <c r="AG228" s="1" t="n"/>
    </row>
    <row r="229" ht="20.25" customHeight="1" s="71">
      <c r="AF229" s="1" t="n"/>
      <c r="AG229" s="1" t="n"/>
    </row>
    <row r="230" ht="20.25" customHeight="1" s="71">
      <c r="AF230" s="1" t="n"/>
      <c r="AG230" s="1" t="n"/>
    </row>
    <row r="231" ht="20.25" customHeight="1" s="71">
      <c r="AF231" s="1" t="n"/>
      <c r="AG231" s="1" t="n"/>
    </row>
    <row r="232" ht="20.25" customHeight="1" s="71">
      <c r="AF232" s="1" t="n"/>
      <c r="AG232" s="1" t="n"/>
    </row>
    <row r="233" ht="20.25" customHeight="1" s="71">
      <c r="AF233" s="1" t="n"/>
      <c r="AG233" s="1" t="n"/>
    </row>
    <row r="234" ht="20.25" customHeight="1" s="71">
      <c r="AF234" s="1" t="n"/>
      <c r="AG234" s="1" t="n"/>
    </row>
    <row r="235" ht="20.25" customHeight="1" s="71">
      <c r="AF235" s="1" t="n"/>
      <c r="AG235" s="1" t="n"/>
    </row>
    <row r="236" ht="20.25" customHeight="1" s="71">
      <c r="AF236" s="1" t="n"/>
      <c r="AG236" s="1" t="n"/>
    </row>
    <row r="237" ht="20.25" customHeight="1" s="71">
      <c r="AF237" s="1" t="n"/>
      <c r="AG237" s="1" t="n"/>
    </row>
    <row r="238" ht="20.25" customHeight="1" s="71">
      <c r="AF238" s="1" t="n"/>
      <c r="AG238" s="1" t="n"/>
    </row>
    <row r="239" ht="20.25" customHeight="1" s="71">
      <c r="AF239" s="1" t="n"/>
      <c r="AG239" s="1" t="n"/>
    </row>
    <row r="240" ht="20.25" customHeight="1" s="71">
      <c r="AF240" s="1" t="n"/>
      <c r="AG240" s="1" t="n"/>
    </row>
    <row r="241" ht="20.25" customHeight="1" s="71">
      <c r="AF241" s="1" t="n"/>
      <c r="AG241" s="1" t="n"/>
    </row>
    <row r="242" ht="20.25" customHeight="1" s="71">
      <c r="AF242" s="1" t="n"/>
      <c r="AG242" s="1" t="n"/>
    </row>
    <row r="243" ht="20.25" customHeight="1" s="71">
      <c r="AF243" s="1" t="n"/>
      <c r="AG243" s="1" t="n"/>
    </row>
    <row r="244" ht="20.25" customHeight="1" s="71">
      <c r="AF244" s="1" t="n"/>
      <c r="AG244" s="1" t="n"/>
    </row>
    <row r="245" ht="20.25" customHeight="1" s="71">
      <c r="AF245" s="1" t="n"/>
      <c r="AG245" s="1" t="n"/>
    </row>
    <row r="246" ht="20.25" customHeight="1" s="71">
      <c r="AF246" s="1" t="n"/>
      <c r="AG246" s="1" t="n"/>
    </row>
    <row r="247" ht="20.25" customHeight="1" s="71">
      <c r="AF247" s="1" t="n"/>
      <c r="AG247" s="1" t="n"/>
    </row>
    <row r="248" ht="20.25" customHeight="1" s="71">
      <c r="AF248" s="1" t="n"/>
      <c r="AG248" s="1" t="n"/>
    </row>
    <row r="249" ht="20.25" customHeight="1" s="71">
      <c r="AF249" s="1" t="n"/>
      <c r="AG249" s="1" t="n"/>
    </row>
    <row r="250" ht="20.25" customHeight="1" s="71">
      <c r="AF250" s="1" t="n"/>
      <c r="AG250" s="1" t="n"/>
    </row>
    <row r="251" ht="20.25" customHeight="1" s="71">
      <c r="AF251" s="1" t="n"/>
      <c r="AG251" s="1" t="n"/>
    </row>
    <row r="252" ht="20.25" customHeight="1" s="71">
      <c r="AF252" s="1" t="n"/>
      <c r="AG252" s="1" t="n"/>
    </row>
    <row r="253" ht="20.25" customHeight="1" s="71">
      <c r="AF253" s="1" t="n"/>
      <c r="AG253" s="1" t="n"/>
    </row>
    <row r="254" ht="20.25" customHeight="1" s="71">
      <c r="AF254" s="1" t="n"/>
      <c r="AG254" s="1" t="n"/>
    </row>
    <row r="255" ht="20.25" customHeight="1" s="71">
      <c r="AF255" s="1" t="n"/>
      <c r="AG255" s="1" t="n"/>
    </row>
    <row r="256" ht="20.25" customHeight="1" s="71">
      <c r="AF256" s="1" t="n"/>
      <c r="AG256" s="1" t="n"/>
    </row>
    <row r="257" ht="20.25" customHeight="1" s="71">
      <c r="AF257" s="1" t="n"/>
      <c r="AG257" s="1" t="n"/>
    </row>
    <row r="258" ht="20.25" customHeight="1" s="71">
      <c r="AF258" s="1" t="n"/>
      <c r="AG258" s="1" t="n"/>
    </row>
    <row r="259" ht="20.25" customHeight="1" s="71">
      <c r="AF259" s="1" t="n"/>
      <c r="AG259" s="1" t="n"/>
    </row>
    <row r="260" ht="20.25" customHeight="1" s="71">
      <c r="AF260" s="1" t="n"/>
      <c r="AG260" s="1" t="n"/>
    </row>
    <row r="261" ht="20.25" customHeight="1" s="71">
      <c r="AF261" s="1" t="n"/>
      <c r="AG261" s="1" t="n"/>
    </row>
    <row r="262" ht="20.25" customHeight="1" s="71">
      <c r="AF262" s="1" t="n"/>
      <c r="AG262" s="1" t="n"/>
    </row>
    <row r="263" ht="20.25" customHeight="1" s="71">
      <c r="AF263" s="1" t="n"/>
      <c r="AG263" s="1" t="n"/>
    </row>
    <row r="264" ht="20.25" customHeight="1" s="71">
      <c r="AF264" s="1" t="n"/>
      <c r="AG264" s="1" t="n"/>
    </row>
    <row r="265" ht="20.25" customHeight="1" s="71">
      <c r="AF265" s="1" t="n"/>
      <c r="AG265" s="1" t="n"/>
    </row>
    <row r="266" ht="20.25" customHeight="1" s="71">
      <c r="AF266" s="1" t="n"/>
      <c r="AG266" s="1" t="n"/>
    </row>
    <row r="267" ht="20.25" customHeight="1" s="71">
      <c r="AF267" s="1" t="n"/>
      <c r="AG267" s="1" t="n"/>
    </row>
    <row r="268" ht="20.25" customHeight="1" s="71">
      <c r="AF268" s="1" t="n"/>
      <c r="AG268" s="1" t="n"/>
    </row>
    <row r="269" ht="20.25" customHeight="1" s="71">
      <c r="AF269" s="1" t="n"/>
      <c r="AG269" s="1" t="n"/>
    </row>
    <row r="270" ht="20.25" customHeight="1" s="71">
      <c r="AF270" s="1" t="n"/>
      <c r="AG270" s="1" t="n"/>
    </row>
    <row r="271" ht="20.25" customHeight="1" s="71">
      <c r="AF271" s="1" t="n"/>
      <c r="AG271" s="1" t="n"/>
    </row>
    <row r="272" ht="20.25" customHeight="1" s="71">
      <c r="AF272" s="1" t="n"/>
      <c r="AG272" s="1" t="n"/>
    </row>
    <row r="273" ht="20.25" customHeight="1" s="71">
      <c r="AF273" s="1" t="n"/>
      <c r="AG273" s="1" t="n"/>
    </row>
    <row r="274" ht="20.25" customHeight="1" s="71">
      <c r="AF274" s="1" t="n"/>
      <c r="AG274" s="1" t="n"/>
    </row>
    <row r="275" ht="20.25" customHeight="1" s="71">
      <c r="AF275" s="1" t="n"/>
      <c r="AG275" s="1" t="n"/>
    </row>
    <row r="276" ht="20.25" customHeight="1" s="71">
      <c r="AF276" s="1" t="n"/>
      <c r="AG276" s="1" t="n"/>
    </row>
    <row r="277" ht="20.25" customHeight="1" s="71">
      <c r="AF277" s="1" t="n"/>
      <c r="AG277" s="1" t="n"/>
    </row>
    <row r="278" ht="20.25" customHeight="1" s="71">
      <c r="AF278" s="1" t="n"/>
      <c r="AG278" s="1" t="n"/>
    </row>
    <row r="279" ht="20.25" customHeight="1" s="71">
      <c r="AF279" s="1" t="n"/>
      <c r="AG279" s="1" t="n"/>
    </row>
    <row r="280" ht="20.25" customHeight="1" s="71">
      <c r="AF280" s="1" t="n"/>
      <c r="AG280" s="1" t="n"/>
    </row>
    <row r="281" ht="20.25" customHeight="1" s="71">
      <c r="AF281" s="1" t="n"/>
      <c r="AG281" s="1" t="n"/>
    </row>
    <row r="282" ht="20.25" customHeight="1" s="71">
      <c r="AF282" s="1" t="n"/>
      <c r="AG282" s="1" t="n"/>
    </row>
    <row r="283" ht="20.25" customHeight="1" s="71">
      <c r="AF283" s="1" t="n"/>
      <c r="AG283" s="1" t="n"/>
    </row>
    <row r="284" ht="20.25" customHeight="1" s="71">
      <c r="AF284" s="1" t="n"/>
      <c r="AG284" s="1" t="n"/>
    </row>
    <row r="285" ht="20.25" customHeight="1" s="71">
      <c r="AF285" s="1" t="n"/>
      <c r="AG285" s="1" t="n"/>
    </row>
    <row r="286" ht="20.25" customHeight="1" s="71">
      <c r="AF286" s="1" t="n"/>
      <c r="AG286" s="1" t="n"/>
    </row>
    <row r="287" ht="20.25" customHeight="1" s="71">
      <c r="AF287" s="1" t="n"/>
      <c r="AG287" s="1" t="n"/>
    </row>
    <row r="288" ht="20.25" customHeight="1" s="71">
      <c r="AF288" s="1" t="n"/>
      <c r="AG288" s="1" t="n"/>
    </row>
    <row r="289" ht="20.25" customHeight="1" s="71">
      <c r="AF289" s="1" t="n"/>
      <c r="AG289" s="1" t="n"/>
    </row>
    <row r="290" ht="20.25" customHeight="1" s="71">
      <c r="AF290" s="1" t="n"/>
      <c r="AG290" s="1" t="n"/>
    </row>
    <row r="291" ht="20.25" customHeight="1" s="71">
      <c r="AF291" s="1" t="n"/>
      <c r="AG291" s="1" t="n"/>
    </row>
    <row r="292" ht="20.25" customHeight="1" s="71">
      <c r="AF292" s="1" t="n"/>
      <c r="AG292" s="1" t="n"/>
    </row>
    <row r="293" ht="20.25" customHeight="1" s="71">
      <c r="AF293" s="1" t="n"/>
      <c r="AG293" s="1" t="n"/>
    </row>
    <row r="294" ht="20.25" customHeight="1" s="71">
      <c r="AF294" s="1" t="n"/>
      <c r="AG294" s="1" t="n"/>
    </row>
    <row r="295" ht="20.25" customHeight="1" s="71">
      <c r="AF295" s="1" t="n"/>
      <c r="AG295" s="1" t="n"/>
    </row>
    <row r="296" ht="20.25" customHeight="1" s="71">
      <c r="AF296" s="1" t="n"/>
      <c r="AG296" s="1" t="n"/>
    </row>
    <row r="297" ht="20.25" customHeight="1" s="71">
      <c r="AF297" s="1" t="n"/>
      <c r="AG297" s="1" t="n"/>
    </row>
    <row r="298" ht="20.25" customHeight="1" s="71">
      <c r="AF298" s="1" t="n"/>
      <c r="AG298" s="1" t="n"/>
    </row>
    <row r="299" ht="20.25" customHeight="1" s="71">
      <c r="AF299" s="1" t="n"/>
      <c r="AG299" s="1" t="n"/>
    </row>
    <row r="300" ht="20.25" customHeight="1" s="71">
      <c r="AF300" s="1" t="n"/>
      <c r="AG300" s="1" t="n"/>
    </row>
    <row r="301" ht="20.25" customHeight="1" s="71">
      <c r="AF301" s="1" t="n"/>
      <c r="AG301" s="1" t="n"/>
    </row>
    <row r="302" ht="20.25" customHeight="1" s="71">
      <c r="AF302" s="1" t="n"/>
      <c r="AG302" s="1" t="n"/>
    </row>
    <row r="303" ht="20.25" customHeight="1" s="71">
      <c r="AF303" s="1" t="n"/>
      <c r="AG303" s="1" t="n"/>
    </row>
    <row r="304" ht="20.25" customHeight="1" s="71">
      <c r="AF304" s="1" t="n"/>
      <c r="AG304" s="1" t="n"/>
    </row>
    <row r="305" ht="20.25" customHeight="1" s="71">
      <c r="AF305" s="1" t="n"/>
      <c r="AG305" s="1" t="n"/>
    </row>
    <row r="306" ht="20.25" customHeight="1" s="71">
      <c r="AF306" s="1" t="n"/>
      <c r="AG306" s="1" t="n"/>
    </row>
    <row r="307" ht="20.25" customHeight="1" s="71">
      <c r="AF307" s="1" t="n"/>
      <c r="AG307" s="1" t="n"/>
    </row>
  </sheetData>
  <mergeCells count="15">
    <mergeCell ref="M20:M21"/>
    <mergeCell ref="C20:C21"/>
    <mergeCell ref="E20:E21"/>
    <mergeCell ref="J20:J21"/>
    <mergeCell ref="H20:H21"/>
    <mergeCell ref="N20:N21"/>
    <mergeCell ref="L20:L21"/>
    <mergeCell ref="I20:I21"/>
    <mergeCell ref="P20:P21"/>
    <mergeCell ref="O20:O21"/>
    <mergeCell ref="B20:B21"/>
    <mergeCell ref="F20:F21"/>
    <mergeCell ref="D20:D21"/>
    <mergeCell ref="G20:G21"/>
    <mergeCell ref="K20:K21"/>
  </mergeCells>
  <dataValidations count="5">
    <dataValidation sqref="J22:M122" showDropDown="0" showInputMessage="0" showErrorMessage="0" allowBlank="1" type="decimal">
      <formula1>0</formula1>
      <formula2>100</formula2>
    </dataValidation>
    <dataValidation sqref="C22:C122" showDropDown="0" showInputMessage="0" showErrorMessage="1" allowBlank="1" errorTitle="대분류 확인" error="배출계수 DB 기준 대분류 목록에서 선택해 주세요." type="list">
      <formula1>$AA$2:$AA$6</formula1>
    </dataValidation>
    <dataValidation sqref="D22:D122" showDropDown="0" showInputMessage="0" showErrorMessage="1" allowBlank="1" errorTitle="중분류 확인" error="선택한 대분류에 대응되는 배출계수 DB 기준 중분류에서 선택해 주세요." type="list">
      <formula1>OFFSET($AD$2,MATCH($C22,$AC$2:$AC$31,0)-1,0,COUNTIF($AC$2:$AC$31,$C22),1)</formula1>
    </dataValidation>
    <dataValidation sqref="E22:E122" showDropDown="0" showInputMessage="0" showErrorMessage="1" allowBlank="1" errorTitle="소분류 확인" error="선택한 중분류에 대응되는 배출계수 DB 기준 소분류에서 선택해 주세요." type="list">
      <formula1>OFFSET($AG$2,MATCH($D22,$AF$2:$AF$73,0)-1,0,COUNTIF($AF$2:$AF$73,$D22),1)</formula1>
    </dataValidation>
    <dataValidation sqref="I22:I122" showDropDown="0" showInputMessage="0" showErrorMessage="1" allowBlank="1" errorTitle="중량단위 확인" error="g, kg, ton 중에서 선택해 주세요." type="list">
      <formula1>"g,kg,ton"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U56"/>
  <sheetViews>
    <sheetView workbookViewId="0">
      <selection activeCell="B18" sqref="B18"/>
    </sheetView>
  </sheetViews>
  <sheetFormatPr baseColWidth="8" defaultRowHeight="14.25"/>
  <cols>
    <col width="10" customWidth="1" style="71" min="2" max="2"/>
    <col width="18" customWidth="1" style="71" min="3" max="3"/>
    <col width="16" customWidth="1" style="71" min="4" max="4"/>
    <col width="10" customWidth="1" style="71" min="5" max="5"/>
    <col width="16" customWidth="1" style="71" min="6" max="6"/>
    <col width="8" customWidth="1" style="71" min="7" max="18"/>
    <col width="18" customWidth="1" style="71" min="19" max="19"/>
    <col width="20" customWidth="1" style="71" min="20" max="20"/>
    <col width="16" customWidth="1" style="71" min="21" max="21"/>
  </cols>
  <sheetData>
    <row r="2" ht="20.25" customHeight="1" s="71">
      <c r="B2" s="1" t="inlineStr">
        <is>
          <t>C13. 다운스트림 임대자산 1안. 에너지 사용량을 알고 있을 때</t>
        </is>
      </c>
    </row>
    <row r="4">
      <c r="B4" s="2" t="inlineStr">
        <is>
          <t>카테고리 정의</t>
        </is>
      </c>
    </row>
    <row r="5">
      <c r="B5" s="11" t="inlineStr">
        <is>
          <t>- 보고년도에 회사가 임대자산으로 사용하는 자산에서 발생하는 온실가스 배출량</t>
        </is>
      </c>
    </row>
    <row r="6">
      <c r="B6" s="11" t="inlineStr">
        <is>
          <t>- 해당 자산의 실제 에너지 사용량을 알고 있을 때 작성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Σ(에너지 사용량 × 에너지원별 배출계수)</t>
        </is>
      </c>
    </row>
    <row r="11">
      <c r="B11" s="22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>
      <c r="B12" s="11" t="inlineStr">
        <is>
          <t>2) 원자료는 반드시 작성하고 데이터는 연간 또는 월별 작성 가능</t>
        </is>
      </c>
    </row>
    <row r="13">
      <c r="B13" s="11" t="inlineStr">
        <is>
          <t>3) 한 자산에서 1개 이상 에너지원을 사용하는 경우 에너지원별로 행을 나누어 작성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4.25" customHeight="1" s="71">
      <c r="B19" s="60" t="inlineStr">
        <is>
          <t>*국가</t>
        </is>
      </c>
      <c r="C19" s="60" t="inlineStr">
        <is>
          <t>*임대자산명</t>
        </is>
      </c>
      <c r="D19" s="60" t="inlineStr">
        <is>
          <t>*에너지종류</t>
        </is>
      </c>
      <c r="E19" s="16" t="n"/>
      <c r="F19" s="62" t="inlineStr">
        <is>
          <t>연간 입력</t>
        </is>
      </c>
      <c r="G19" s="62" t="inlineStr">
        <is>
          <t>월별 사용량</t>
        </is>
      </c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4" t="n"/>
      <c r="S19" s="16" t="n"/>
      <c r="T19" s="60" t="inlineStr">
        <is>
          <t>배출계수(tCO2e/단위)</t>
        </is>
      </c>
      <c r="U19" s="60" t="inlineStr">
        <is>
          <t>배출량(tCO2e)</t>
        </is>
      </c>
    </row>
    <row r="20" ht="15.75" customHeight="1" s="71">
      <c r="B20" s="61" t="n"/>
      <c r="C20" s="61" t="n"/>
      <c r="D20" s="61" t="n"/>
      <c r="E20" s="60" t="inlineStr">
        <is>
          <t>*단위</t>
        </is>
      </c>
      <c r="F20" s="60" t="inlineStr">
        <is>
          <t>연간사용량</t>
        </is>
      </c>
      <c r="G20" s="60" t="inlineStr">
        <is>
          <t>1월</t>
        </is>
      </c>
      <c r="H20" s="60" t="inlineStr">
        <is>
          <t>2월</t>
        </is>
      </c>
      <c r="I20" s="60" t="inlineStr">
        <is>
          <t>3월</t>
        </is>
      </c>
      <c r="J20" s="60" t="inlineStr">
        <is>
          <t>4월</t>
        </is>
      </c>
      <c r="K20" s="60" t="inlineStr">
        <is>
          <t>5월</t>
        </is>
      </c>
      <c r="L20" s="60" t="inlineStr">
        <is>
          <t>6월</t>
        </is>
      </c>
      <c r="M20" s="60" t="inlineStr">
        <is>
          <t>7월</t>
        </is>
      </c>
      <c r="N20" s="60" t="inlineStr">
        <is>
          <t>8월</t>
        </is>
      </c>
      <c r="O20" s="60" t="inlineStr">
        <is>
          <t>9월</t>
        </is>
      </c>
      <c r="P20" s="60" t="inlineStr">
        <is>
          <t>10월</t>
        </is>
      </c>
      <c r="Q20" s="60" t="inlineStr">
        <is>
          <t>11월</t>
        </is>
      </c>
      <c r="R20" s="60" t="inlineStr">
        <is>
          <t>12월</t>
        </is>
      </c>
      <c r="S20" s="60" t="inlineStr">
        <is>
          <t>비고(선택)</t>
        </is>
      </c>
      <c r="T20" s="61" t="n"/>
      <c r="U20" s="61" t="n"/>
    </row>
    <row r="21">
      <c r="B21" s="3" t="inlineStr">
        <is>
          <t>대한민국</t>
        </is>
      </c>
      <c r="C21" s="3" t="inlineStr">
        <is>
          <t>임대자산 A</t>
        </is>
      </c>
      <c r="D21" s="3" t="inlineStr">
        <is>
          <t>전력</t>
        </is>
      </c>
      <c r="E21" s="3" t="inlineStr">
        <is>
          <t>kWh</t>
        </is>
      </c>
      <c r="F21" s="3">
        <f>IF(SUM(G21:R21)=0,"",SUM(G21:R21))</f>
        <v/>
      </c>
      <c r="G21" s="3" t="n">
        <v>10000</v>
      </c>
      <c r="H21" s="3" t="n">
        <v>10000</v>
      </c>
      <c r="I21" s="3" t="n">
        <v>10000</v>
      </c>
      <c r="J21" s="3" t="n">
        <v>10000</v>
      </c>
      <c r="K21" s="3" t="n">
        <v>10000</v>
      </c>
      <c r="L21" s="3" t="n">
        <v>10000</v>
      </c>
      <c r="M21" s="3" t="n">
        <v>10000</v>
      </c>
      <c r="N21" s="3" t="n">
        <v>10000</v>
      </c>
      <c r="O21" s="3" t="n">
        <v>10000</v>
      </c>
      <c r="P21" s="3" t="n">
        <v>10000</v>
      </c>
      <c r="Q21" s="3" t="n">
        <v>10000</v>
      </c>
      <c r="R21" s="3" t="n">
        <v>10000</v>
      </c>
      <c r="S21" s="4" t="inlineStr">
        <is>
          <t>전력 사용량</t>
        </is>
      </c>
      <c r="T21" s="5" t="n"/>
      <c r="U21" s="5" t="n"/>
    </row>
    <row r="22">
      <c r="B22" s="6" t="n"/>
      <c r="C22" s="6" t="n"/>
      <c r="D22" s="6" t="n"/>
      <c r="E22" s="6" t="n"/>
      <c r="F22" s="6">
        <f>IF(SUM(G22:R22)=0,"",SUM(G22:R22))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7" t="n"/>
      <c r="T22" s="8" t="n"/>
      <c r="U22" s="8" t="n"/>
    </row>
    <row r="23">
      <c r="B23" s="6" t="n"/>
      <c r="C23" s="6" t="n"/>
      <c r="D23" s="6" t="n"/>
      <c r="E23" s="6" t="n"/>
      <c r="F23" s="6">
        <f>IF(SUM(G23:R23)=0,"",SUM(G23:R23))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7" t="n"/>
      <c r="T23" s="8" t="n"/>
      <c r="U23" s="8" t="n"/>
    </row>
    <row r="24">
      <c r="B24" s="6" t="n"/>
      <c r="C24" s="6" t="n"/>
      <c r="D24" s="6" t="n"/>
      <c r="E24" s="6" t="n"/>
      <c r="F24" s="6">
        <f>IF(SUM(G24:R24)=0,"",SUM(G24:R24))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7" t="n"/>
      <c r="T24" s="8" t="n"/>
      <c r="U24" s="8" t="n"/>
    </row>
    <row r="25">
      <c r="B25" s="6" t="n"/>
      <c r="C25" s="6" t="n"/>
      <c r="D25" s="6" t="n"/>
      <c r="E25" s="6" t="n"/>
      <c r="F25" s="6">
        <f>IF(SUM(G25:R25)=0,"",SUM(G25:R25))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7" t="n"/>
      <c r="T25" s="8" t="n"/>
      <c r="U25" s="8" t="n"/>
    </row>
    <row r="26">
      <c r="B26" s="6" t="n"/>
      <c r="C26" s="6" t="n"/>
      <c r="D26" s="6" t="n"/>
      <c r="E26" s="6" t="n"/>
      <c r="F26" s="6">
        <f>IF(SUM(G26:R26)=0,"",SUM(G26:R26))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7" t="n"/>
      <c r="T26" s="8" t="n"/>
      <c r="U26" s="8" t="n"/>
    </row>
    <row r="27">
      <c r="B27" s="6" t="n"/>
      <c r="C27" s="6" t="n"/>
      <c r="D27" s="6" t="n"/>
      <c r="E27" s="6" t="n"/>
      <c r="F27" s="6">
        <f>IF(SUM(G27:R27)=0,"",SUM(G27:R27))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7" t="n"/>
      <c r="T27" s="8" t="n"/>
      <c r="U27" s="8" t="n"/>
    </row>
    <row r="28">
      <c r="B28" s="6" t="n"/>
      <c r="C28" s="6" t="n"/>
      <c r="D28" s="6" t="n"/>
      <c r="E28" s="6" t="n"/>
      <c r="F28" s="6">
        <f>IF(SUM(G28:R28)=0,"",SUM(G28:R28))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7" t="n"/>
      <c r="T28" s="8" t="n"/>
      <c r="U28" s="8" t="n"/>
    </row>
    <row r="29">
      <c r="B29" s="6" t="n"/>
      <c r="C29" s="6" t="n"/>
      <c r="D29" s="6" t="n"/>
      <c r="E29" s="6" t="n"/>
      <c r="F29" s="6">
        <f>IF(SUM(G29:R29)=0,"",SUM(G29:R29))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7" t="n"/>
      <c r="T29" s="8" t="n"/>
      <c r="U29" s="8" t="n"/>
    </row>
    <row r="30">
      <c r="B30" s="6" t="n"/>
      <c r="C30" s="6" t="n"/>
      <c r="D30" s="6" t="n"/>
      <c r="E30" s="6" t="n"/>
      <c r="F30" s="6">
        <f>IF(SUM(G30:R30)=0,"",SUM(G30:R30))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7" t="n"/>
      <c r="T30" s="8" t="n"/>
      <c r="U30" s="8" t="n"/>
    </row>
    <row r="31">
      <c r="B31" s="6" t="n"/>
      <c r="C31" s="6" t="n"/>
      <c r="D31" s="6" t="n"/>
      <c r="E31" s="6" t="n"/>
      <c r="F31" s="6">
        <f>IF(SUM(G31:R31)=0,"",SUM(G31:R31))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7" t="n"/>
      <c r="T31" s="8" t="n"/>
      <c r="U31" s="8" t="n"/>
    </row>
    <row r="32">
      <c r="B32" s="6" t="n"/>
      <c r="C32" s="6" t="n"/>
      <c r="D32" s="6" t="n"/>
      <c r="E32" s="6" t="n"/>
      <c r="F32" s="6">
        <f>IF(SUM(G32:R32)=0,"",SUM(G32:R32))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7" t="n"/>
      <c r="T32" s="8" t="n"/>
      <c r="U32" s="8" t="n"/>
    </row>
    <row r="33">
      <c r="B33" s="6" t="n"/>
      <c r="C33" s="6" t="n"/>
      <c r="D33" s="6" t="n"/>
      <c r="E33" s="6" t="n"/>
      <c r="F33" s="6">
        <f>IF(SUM(G33:R33)=0,"",SUM(G33:R33))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7" t="n"/>
      <c r="T33" s="8" t="n"/>
      <c r="U33" s="8" t="n"/>
    </row>
    <row r="34">
      <c r="B34" s="6" t="n"/>
      <c r="C34" s="6" t="n"/>
      <c r="D34" s="6" t="n"/>
      <c r="E34" s="6" t="n"/>
      <c r="F34" s="6">
        <f>IF(SUM(G34:R34)=0,"",SUM(G34:R34))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7" t="n"/>
      <c r="T34" s="8" t="n"/>
      <c r="U34" s="8" t="n"/>
    </row>
    <row r="35">
      <c r="B35" s="6" t="n"/>
      <c r="C35" s="6" t="n"/>
      <c r="D35" s="6" t="n"/>
      <c r="E35" s="6" t="n"/>
      <c r="F35" s="6">
        <f>IF(SUM(G35:R35)=0,"",SUM(G35:R35))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7" t="n"/>
      <c r="T35" s="8" t="n"/>
      <c r="U35" s="8" t="n"/>
    </row>
    <row r="36">
      <c r="B36" s="6" t="n"/>
      <c r="C36" s="6" t="n"/>
      <c r="D36" s="6" t="n"/>
      <c r="E36" s="6" t="n"/>
      <c r="F36" s="6">
        <f>IF(SUM(G36:R36)=0,"",SUM(G36:R36))</f>
        <v/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7" t="n"/>
      <c r="T36" s="8" t="n"/>
      <c r="U36" s="8" t="n"/>
    </row>
    <row r="37">
      <c r="B37" s="6" t="n"/>
      <c r="C37" s="6" t="n"/>
      <c r="D37" s="6" t="n"/>
      <c r="E37" s="6" t="n"/>
      <c r="F37" s="6">
        <f>IF(SUM(G37:R37)=0,"",SUM(G37:R37))</f>
        <v/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7" t="n"/>
      <c r="T37" s="8" t="n"/>
      <c r="U37" s="8" t="n"/>
    </row>
    <row r="38">
      <c r="B38" s="6" t="n"/>
      <c r="C38" s="6" t="n"/>
      <c r="D38" s="6" t="n"/>
      <c r="E38" s="6" t="n"/>
      <c r="F38" s="6">
        <f>IF(SUM(G38:R38)=0,"",SUM(G38:R38))</f>
        <v/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7" t="n"/>
      <c r="T38" s="8" t="n"/>
      <c r="U38" s="8" t="n"/>
    </row>
    <row r="39">
      <c r="B39" s="6" t="n"/>
      <c r="C39" s="6" t="n"/>
      <c r="D39" s="6" t="n"/>
      <c r="E39" s="6" t="n"/>
      <c r="F39" s="6">
        <f>IF(SUM(G39:R39)=0,"",SUM(G39:R39))</f>
        <v/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7" t="n"/>
      <c r="T39" s="8" t="n"/>
      <c r="U39" s="8" t="n"/>
    </row>
    <row r="40">
      <c r="B40" s="6" t="n"/>
      <c r="C40" s="6" t="n"/>
      <c r="D40" s="6" t="n"/>
      <c r="E40" s="6" t="n"/>
      <c r="F40" s="6">
        <f>IF(SUM(G40:R40)=0,"",SUM(G40:R40))</f>
        <v/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7" t="n"/>
      <c r="T40" s="8" t="n"/>
      <c r="U40" s="8" t="n"/>
    </row>
    <row r="41">
      <c r="B41" s="6" t="n"/>
      <c r="C41" s="6" t="n"/>
      <c r="D41" s="6" t="n"/>
      <c r="E41" s="6" t="n"/>
      <c r="F41" s="6">
        <f>IF(SUM(G41:R41)=0,"",SUM(G41:R41))</f>
        <v/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7" t="n"/>
      <c r="T41" s="8" t="n"/>
      <c r="U41" s="8" t="n"/>
    </row>
    <row r="42">
      <c r="B42" s="6" t="n"/>
      <c r="C42" s="6" t="n"/>
      <c r="D42" s="6" t="n"/>
      <c r="E42" s="6" t="n"/>
      <c r="F42" s="6">
        <f>IF(SUM(G42:R42)=0,"",SUM(G42:R42))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7" t="n"/>
      <c r="T42" s="8" t="n"/>
      <c r="U42" s="8" t="n"/>
    </row>
    <row r="43">
      <c r="B43" s="6" t="n"/>
      <c r="C43" s="6" t="n"/>
      <c r="D43" s="6" t="n"/>
      <c r="E43" s="6" t="n"/>
      <c r="F43" s="6">
        <f>IF(SUM(G43:R43)=0,"",SUM(G43:R43))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7" t="n"/>
      <c r="T43" s="8" t="n"/>
      <c r="U43" s="8" t="n"/>
    </row>
    <row r="44">
      <c r="B44" s="6" t="n"/>
      <c r="C44" s="6" t="n"/>
      <c r="D44" s="6" t="n"/>
      <c r="E44" s="6" t="n"/>
      <c r="F44" s="6">
        <f>IF(SUM(G44:R44)=0,"",SUM(G44:R44))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7" t="n"/>
      <c r="T44" s="8" t="n"/>
      <c r="U44" s="8" t="n"/>
    </row>
    <row r="45">
      <c r="B45" s="6" t="n"/>
      <c r="C45" s="6" t="n"/>
      <c r="D45" s="6" t="n"/>
      <c r="E45" s="6" t="n"/>
      <c r="F45" s="6">
        <f>IF(SUM(G45:R45)=0,"",SUM(G45:R45))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7" t="n"/>
      <c r="T45" s="8" t="n"/>
      <c r="U45" s="8" t="n"/>
    </row>
    <row r="46">
      <c r="B46" s="6" t="n"/>
      <c r="C46" s="6" t="n"/>
      <c r="D46" s="6" t="n"/>
      <c r="E46" s="6" t="n"/>
      <c r="F46" s="6">
        <f>IF(SUM(G46:R46)=0,"",SUM(G46:R46))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7" t="n"/>
      <c r="T46" s="8" t="n"/>
      <c r="U46" s="8" t="n"/>
    </row>
    <row r="47">
      <c r="B47" s="6" t="n"/>
      <c r="C47" s="6" t="n"/>
      <c r="D47" s="6" t="n"/>
      <c r="E47" s="6" t="n"/>
      <c r="F47" s="6">
        <f>IF(SUM(G47:R47)=0,"",SUM(G47:R47))</f>
        <v/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7" t="n"/>
      <c r="T47" s="8" t="n"/>
      <c r="U47" s="8" t="n"/>
    </row>
    <row r="48">
      <c r="B48" s="6" t="n"/>
      <c r="C48" s="6" t="n"/>
      <c r="D48" s="6" t="n"/>
      <c r="E48" s="6" t="n"/>
      <c r="F48" s="6">
        <f>IF(SUM(G48:R48)=0,"",SUM(G48:R48))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7" t="n"/>
      <c r="T48" s="8" t="n"/>
      <c r="U48" s="8" t="n"/>
    </row>
    <row r="49">
      <c r="B49" s="6" t="n"/>
      <c r="C49" s="6" t="n"/>
      <c r="D49" s="6" t="n"/>
      <c r="E49" s="6" t="n"/>
      <c r="F49" s="6">
        <f>IF(SUM(G49:R49)=0,"",SUM(G49:R49))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7" t="n"/>
      <c r="T49" s="8" t="n"/>
      <c r="U49" s="8" t="n"/>
    </row>
    <row r="50">
      <c r="B50" s="6" t="n"/>
      <c r="C50" s="6" t="n"/>
      <c r="D50" s="6" t="n"/>
      <c r="E50" s="6" t="n"/>
      <c r="F50" s="6">
        <f>IF(SUM(G50:R50)=0,"",SUM(G50:R50))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7" t="n"/>
      <c r="T50" s="8" t="n"/>
      <c r="U50" s="8" t="n"/>
    </row>
    <row r="51">
      <c r="B51" s="6" t="n"/>
      <c r="C51" s="6" t="n"/>
      <c r="D51" s="6" t="n"/>
      <c r="E51" s="6" t="n"/>
      <c r="F51" s="6">
        <f>IF(SUM(G51:R51)=0,"",SUM(G51:R51))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7" t="n"/>
      <c r="T51" s="8" t="n"/>
      <c r="U51" s="8" t="n"/>
    </row>
    <row r="52">
      <c r="B52" s="6" t="n"/>
      <c r="C52" s="6" t="n"/>
      <c r="D52" s="6" t="n"/>
      <c r="E52" s="6" t="n"/>
      <c r="F52" s="6">
        <f>IF(SUM(G52:R52)=0,"",SUM(G52:R52))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7" t="n"/>
      <c r="T52" s="8" t="n"/>
      <c r="U52" s="8" t="n"/>
    </row>
    <row r="53">
      <c r="B53" s="6" t="n"/>
      <c r="C53" s="6" t="n"/>
      <c r="D53" s="6" t="n"/>
      <c r="E53" s="6" t="n"/>
      <c r="F53" s="6">
        <f>IF(SUM(G53:R53)=0,"",SUM(G53:R53))</f>
        <v/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7" t="n"/>
      <c r="T53" s="8" t="n"/>
      <c r="U53" s="8" t="n"/>
    </row>
    <row r="54">
      <c r="B54" s="6" t="n"/>
      <c r="C54" s="6" t="n"/>
      <c r="D54" s="6" t="n"/>
      <c r="E54" s="6" t="n"/>
      <c r="F54" s="6">
        <f>IF(SUM(G54:R54)=0,"",SUM(G54:R54))</f>
        <v/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7" t="n"/>
      <c r="T54" s="8" t="n"/>
      <c r="U54" s="8" t="n"/>
    </row>
    <row r="55">
      <c r="B55" s="6" t="n"/>
      <c r="C55" s="6" t="n"/>
      <c r="D55" s="6" t="n"/>
      <c r="E55" s="6" t="n"/>
      <c r="F55" s="6">
        <f>IF(SUM(G55:R55)=0,"",SUM(G55:R55))</f>
        <v/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7" t="n"/>
      <c r="T55" s="8" t="n"/>
      <c r="U55" s="8" t="n"/>
    </row>
    <row r="56">
      <c r="B56" s="6" t="n"/>
      <c r="C56" s="6" t="n"/>
      <c r="D56" s="6" t="n"/>
      <c r="E56" s="6" t="n"/>
      <c r="F56" s="6">
        <f>IF(SUM(G56:R56)=0,"",SUM(G56:R56))</f>
        <v/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7" t="n"/>
      <c r="T56" s="8" t="n"/>
      <c r="U56" s="8" t="n"/>
    </row>
  </sheetData>
  <mergeCells count="6">
    <mergeCell ref="U19:U20"/>
    <mergeCell ref="D19:D20"/>
    <mergeCell ref="G19:R19"/>
    <mergeCell ref="T19:T20"/>
    <mergeCell ref="B19:B20"/>
    <mergeCell ref="C19:C20"/>
  </mergeCells>
  <dataValidations count="2">
    <dataValidation sqref="D22:D221" showDropDown="0" showInputMessage="0" showErrorMessage="1" allowBlank="1" errorTitle="드롭다운 값 확인" error="배출계수 DB 기준 드롭다운 목록에서 선택해 주세요." type="list">
      <formula1>DD_ENERGY</formula1>
    </dataValidation>
    <dataValidation sqref="E22:E221" showDropDown="0" showInputMessage="0" showErrorMessage="1" allowBlank="1" errorTitle="드롭다운 값 확인" error="배출계수 DB 기준 드롭다운 목록에서 선택해 주세요." type="list">
      <formula1>DD_ENERGY_UNIT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W56"/>
  <sheetViews>
    <sheetView workbookViewId="0">
      <selection activeCell="B18" sqref="B18"/>
    </sheetView>
  </sheetViews>
  <sheetFormatPr baseColWidth="8" defaultRowHeight="14.25"/>
  <cols>
    <col width="10" customWidth="1" style="71" min="2" max="2"/>
    <col width="18" customWidth="1" style="71" min="3" max="3"/>
    <col width="16" customWidth="1" style="71" min="4" max="4"/>
    <col width="14" customWidth="1" style="71" min="5" max="5"/>
    <col width="16" customWidth="1" style="71" min="6" max="6"/>
    <col width="10" customWidth="1" style="71" min="7" max="7"/>
    <col width="19.875" customWidth="1" style="71" min="8" max="8"/>
    <col width="8" customWidth="1" style="71" min="9" max="20"/>
    <col width="18" customWidth="1" style="71" min="21" max="21"/>
    <col width="20" customWidth="1" style="71" min="22" max="22"/>
    <col width="16" customWidth="1" style="71" min="23" max="23"/>
  </cols>
  <sheetData>
    <row r="2" ht="20.25" customHeight="1" s="71">
      <c r="B2" s="1" t="inlineStr">
        <is>
          <t>C13. 다운스트림 임대자산 2안. 건물전체 에너지사용량만 알고 있을 때</t>
        </is>
      </c>
    </row>
    <row r="4">
      <c r="B4" s="2" t="inlineStr">
        <is>
          <t>카테고리 정의</t>
        </is>
      </c>
    </row>
    <row r="5">
      <c r="B5" s="11" t="inlineStr">
        <is>
          <t>- 회사가 사용하는 임대자산의 에너지 사용량을 직접 알 수 없는 경우 산정</t>
        </is>
      </c>
    </row>
    <row r="6">
      <c r="B6" s="11" t="inlineStr">
        <is>
          <t>- 건물 전체 에너지 사용량은 알고 있으나 면적 기준으로 배분해야 할 때 작성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Σ((사용 면적 / 건물전체 면적) × 건물전체 에너지 사용량 × 에너지원별 배출계수)</t>
        </is>
      </c>
    </row>
    <row r="11">
      <c r="B11" s="22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>
      <c r="B12" s="11" t="inlineStr">
        <is>
          <t>2) 건물전체 면적과 사용 면적은 반드시 작성</t>
        </is>
      </c>
    </row>
    <row r="13">
      <c r="B13" s="11" t="inlineStr">
        <is>
          <t>3) 원자료는 반드시 작성하고 데이터는 연간 또는 월별 작성 가능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5" customHeight="1" s="71">
      <c r="B19" s="60" t="inlineStr">
        <is>
          <t>*국가</t>
        </is>
      </c>
      <c r="C19" s="60" t="inlineStr">
        <is>
          <t>*임대자산명</t>
        </is>
      </c>
      <c r="D19" s="60" t="inlineStr">
        <is>
          <t>*건물전체 면적</t>
        </is>
      </c>
      <c r="E19" s="60" t="inlineStr">
        <is>
          <t>*사용 면적</t>
        </is>
      </c>
      <c r="F19" s="60" t="inlineStr">
        <is>
          <t>*에너지종류</t>
        </is>
      </c>
      <c r="G19" s="60" t="inlineStr">
        <is>
          <t>*단위</t>
        </is>
      </c>
      <c r="H19" s="62" t="inlineStr">
        <is>
          <t>연간 입력</t>
        </is>
      </c>
      <c r="I19" s="62" t="inlineStr">
        <is>
          <t>건물전체 월별사용량</t>
        </is>
      </c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4" t="n"/>
      <c r="U19" s="60" t="inlineStr">
        <is>
          <t>비고(선택)</t>
        </is>
      </c>
      <c r="V19" s="60" t="inlineStr">
        <is>
          <t>배출계수(tCO2e/단위)</t>
        </is>
      </c>
      <c r="W19" s="60" t="inlineStr">
        <is>
          <t>배출량(tCO2e)</t>
        </is>
      </c>
    </row>
    <row r="20" ht="14.25" customHeight="1" s="71">
      <c r="B20" s="61" t="n"/>
      <c r="C20" s="61" t="n"/>
      <c r="D20" s="61" t="n"/>
      <c r="E20" s="61" t="n"/>
      <c r="F20" s="61" t="n"/>
      <c r="G20" s="61" t="n"/>
      <c r="H20" s="68" t="inlineStr">
        <is>
          <t>*건물전체 연간사용량</t>
        </is>
      </c>
      <c r="I20" s="60" t="inlineStr">
        <is>
          <t>1월</t>
        </is>
      </c>
      <c r="J20" s="60" t="inlineStr">
        <is>
          <t>2월</t>
        </is>
      </c>
      <c r="K20" s="60" t="inlineStr">
        <is>
          <t>3월</t>
        </is>
      </c>
      <c r="L20" s="60" t="inlineStr">
        <is>
          <t>4월</t>
        </is>
      </c>
      <c r="M20" s="60" t="inlineStr">
        <is>
          <t>5월</t>
        </is>
      </c>
      <c r="N20" s="60" t="inlineStr">
        <is>
          <t>6월</t>
        </is>
      </c>
      <c r="O20" s="60" t="inlineStr">
        <is>
          <t>7월</t>
        </is>
      </c>
      <c r="P20" s="60" t="inlineStr">
        <is>
          <t>8월</t>
        </is>
      </c>
      <c r="Q20" s="60" t="inlineStr">
        <is>
          <t>9월</t>
        </is>
      </c>
      <c r="R20" s="60" t="inlineStr">
        <is>
          <t>10월</t>
        </is>
      </c>
      <c r="S20" s="60" t="inlineStr">
        <is>
          <t>11월</t>
        </is>
      </c>
      <c r="T20" s="60" t="inlineStr">
        <is>
          <t>12월</t>
        </is>
      </c>
      <c r="U20" s="61" t="n"/>
      <c r="V20" s="61" t="n"/>
      <c r="W20" s="61" t="n"/>
    </row>
    <row r="21">
      <c r="B21" s="3" t="inlineStr">
        <is>
          <t>대한민국</t>
        </is>
      </c>
      <c r="C21" s="3" t="inlineStr">
        <is>
          <t>임대자산 B</t>
        </is>
      </c>
      <c r="D21" s="3" t="n">
        <v>13908</v>
      </c>
      <c r="E21" s="3" t="n">
        <v>133</v>
      </c>
      <c r="F21" s="3" t="inlineStr">
        <is>
          <t>전력</t>
        </is>
      </c>
      <c r="G21" s="3" t="inlineStr">
        <is>
          <t>kWh</t>
        </is>
      </c>
      <c r="H21" s="3">
        <f>IF(SUM(I21:T21)=0,"",SUM(I21:T21))</f>
        <v/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4" t="inlineStr">
        <is>
          <t>면적 배분</t>
        </is>
      </c>
      <c r="V21" s="5" t="n"/>
      <c r="W21" s="5" t="n"/>
    </row>
    <row r="22">
      <c r="B22" s="6" t="n"/>
      <c r="C22" s="6" t="n"/>
      <c r="D22" s="6" t="n"/>
      <c r="E22" s="6" t="n"/>
      <c r="F22" s="6" t="n"/>
      <c r="G22" s="6" t="n"/>
      <c r="H22" s="6">
        <f>IF(SUM(I22:T22)=0,"",SUM(I22:T22))</f>
        <v/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7" t="n"/>
      <c r="V22" s="8" t="n"/>
      <c r="W22" s="8" t="n"/>
    </row>
    <row r="23">
      <c r="B23" s="6" t="n"/>
      <c r="C23" s="6" t="n"/>
      <c r="D23" s="6" t="n"/>
      <c r="E23" s="6" t="n"/>
      <c r="F23" s="6" t="n"/>
      <c r="G23" s="6" t="n"/>
      <c r="H23" s="6">
        <f>IF(SUM(I23:T23)=0,"",SUM(I23:T23))</f>
        <v/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7" t="n"/>
      <c r="V23" s="8" t="n"/>
      <c r="W23" s="8" t="n"/>
    </row>
    <row r="24">
      <c r="B24" s="6" t="n"/>
      <c r="C24" s="6" t="n"/>
      <c r="D24" s="6" t="n"/>
      <c r="E24" s="6" t="n"/>
      <c r="F24" s="6" t="n"/>
      <c r="G24" s="6" t="n"/>
      <c r="H24" s="6">
        <f>IF(SUM(I24:T24)=0,"",SUM(I24:T24))</f>
        <v/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7" t="n"/>
      <c r="V24" s="8" t="n"/>
      <c r="W24" s="8" t="n"/>
    </row>
    <row r="25">
      <c r="B25" s="6" t="n"/>
      <c r="C25" s="6" t="n"/>
      <c r="D25" s="6" t="n"/>
      <c r="E25" s="6" t="n"/>
      <c r="F25" s="6" t="n"/>
      <c r="G25" s="6" t="n"/>
      <c r="H25" s="6">
        <f>IF(SUM(I25:T25)=0,"",SUM(I25:T25))</f>
        <v/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7" t="n"/>
      <c r="V25" s="8" t="n"/>
      <c r="W25" s="8" t="n"/>
    </row>
    <row r="26">
      <c r="B26" s="6" t="n"/>
      <c r="C26" s="6" t="n"/>
      <c r="D26" s="6" t="n"/>
      <c r="E26" s="6" t="n"/>
      <c r="F26" s="6" t="n"/>
      <c r="G26" s="6" t="n"/>
      <c r="H26" s="6">
        <f>IF(SUM(I26:T26)=0,"",SUM(I26:T26))</f>
        <v/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7" t="n"/>
      <c r="V26" s="8" t="n"/>
      <c r="W26" s="8" t="n"/>
    </row>
    <row r="27">
      <c r="B27" s="6" t="n"/>
      <c r="C27" s="6" t="n"/>
      <c r="D27" s="6" t="n"/>
      <c r="E27" s="6" t="n"/>
      <c r="F27" s="6" t="n"/>
      <c r="G27" s="6" t="n"/>
      <c r="H27" s="6">
        <f>IF(SUM(I27:T27)=0,"",SUM(I27:T27))</f>
        <v/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7" t="n"/>
      <c r="V27" s="8" t="n"/>
      <c r="W27" s="8" t="n"/>
    </row>
    <row r="28">
      <c r="B28" s="6" t="n"/>
      <c r="C28" s="6" t="n"/>
      <c r="D28" s="6" t="n"/>
      <c r="E28" s="6" t="n"/>
      <c r="F28" s="6" t="n"/>
      <c r="G28" s="6" t="n"/>
      <c r="H28" s="6">
        <f>IF(SUM(I28:T28)=0,"",SUM(I28:T28))</f>
        <v/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7" t="n"/>
      <c r="V28" s="8" t="n"/>
      <c r="W28" s="8" t="n"/>
    </row>
    <row r="29">
      <c r="B29" s="6" t="n"/>
      <c r="C29" s="6" t="n"/>
      <c r="D29" s="6" t="n"/>
      <c r="E29" s="6" t="n"/>
      <c r="F29" s="6" t="n"/>
      <c r="G29" s="6" t="n"/>
      <c r="H29" s="6">
        <f>IF(SUM(I29:T29)=0,"",SUM(I29:T29))</f>
        <v/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7" t="n"/>
      <c r="V29" s="8" t="n"/>
      <c r="W29" s="8" t="n"/>
    </row>
    <row r="30">
      <c r="B30" s="6" t="n"/>
      <c r="C30" s="6" t="n"/>
      <c r="D30" s="6" t="n"/>
      <c r="E30" s="6" t="n"/>
      <c r="F30" s="6" t="n"/>
      <c r="G30" s="6" t="n"/>
      <c r="H30" s="6">
        <f>IF(SUM(I30:T30)=0,"",SUM(I30:T30))</f>
        <v/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7" t="n"/>
      <c r="V30" s="8" t="n"/>
      <c r="W30" s="8" t="n"/>
    </row>
    <row r="31">
      <c r="B31" s="6" t="n"/>
      <c r="C31" s="6" t="n"/>
      <c r="D31" s="6" t="n"/>
      <c r="E31" s="6" t="n"/>
      <c r="F31" s="6" t="n"/>
      <c r="G31" s="6" t="n"/>
      <c r="H31" s="6">
        <f>IF(SUM(I31:T31)=0,"",SUM(I31:T31))</f>
        <v/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7" t="n"/>
      <c r="V31" s="8" t="n"/>
      <c r="W31" s="8" t="n"/>
    </row>
    <row r="32">
      <c r="B32" s="6" t="n"/>
      <c r="C32" s="6" t="n"/>
      <c r="D32" s="6" t="n"/>
      <c r="E32" s="6" t="n"/>
      <c r="F32" s="6" t="n"/>
      <c r="G32" s="6" t="n"/>
      <c r="H32" s="6">
        <f>IF(SUM(I32:T32)=0,"",SUM(I32:T32))</f>
        <v/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7" t="n"/>
      <c r="V32" s="8" t="n"/>
      <c r="W32" s="8" t="n"/>
    </row>
    <row r="33">
      <c r="B33" s="6" t="n"/>
      <c r="C33" s="6" t="n"/>
      <c r="D33" s="6" t="n"/>
      <c r="E33" s="6" t="n"/>
      <c r="F33" s="6" t="n"/>
      <c r="G33" s="6" t="n"/>
      <c r="H33" s="6">
        <f>IF(SUM(I33:T33)=0,"",SUM(I33:T33))</f>
        <v/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7" t="n"/>
      <c r="V33" s="8" t="n"/>
      <c r="W33" s="8" t="n"/>
    </row>
    <row r="34">
      <c r="B34" s="6" t="n"/>
      <c r="C34" s="6" t="n"/>
      <c r="D34" s="6" t="n"/>
      <c r="E34" s="6" t="n"/>
      <c r="F34" s="6" t="n"/>
      <c r="G34" s="6" t="n"/>
      <c r="H34" s="6">
        <f>IF(SUM(I34:T34)=0,"",SUM(I34:T34))</f>
        <v/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7" t="n"/>
      <c r="V34" s="8" t="n"/>
      <c r="W34" s="8" t="n"/>
    </row>
    <row r="35">
      <c r="B35" s="6" t="n"/>
      <c r="C35" s="6" t="n"/>
      <c r="D35" s="6" t="n"/>
      <c r="E35" s="6" t="n"/>
      <c r="F35" s="6" t="n"/>
      <c r="G35" s="6" t="n"/>
      <c r="H35" s="6">
        <f>IF(SUM(I35:T35)=0,"",SUM(I35:T35))</f>
        <v/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7" t="n"/>
      <c r="V35" s="8" t="n"/>
      <c r="W35" s="8" t="n"/>
    </row>
    <row r="36">
      <c r="B36" s="6" t="n"/>
      <c r="C36" s="6" t="n"/>
      <c r="D36" s="6" t="n"/>
      <c r="E36" s="6" t="n"/>
      <c r="F36" s="6" t="n"/>
      <c r="G36" s="6" t="n"/>
      <c r="H36" s="6">
        <f>IF(SUM(I36:T36)=0,"",SUM(I36:T36))</f>
        <v/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7" t="n"/>
      <c r="V36" s="8" t="n"/>
      <c r="W36" s="8" t="n"/>
    </row>
    <row r="37">
      <c r="B37" s="6" t="n"/>
      <c r="C37" s="6" t="n"/>
      <c r="D37" s="6" t="n"/>
      <c r="E37" s="6" t="n"/>
      <c r="F37" s="6" t="n"/>
      <c r="G37" s="6" t="n"/>
      <c r="H37" s="6">
        <f>IF(SUM(I37:T37)=0,"",SUM(I37:T37))</f>
        <v/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7" t="n"/>
      <c r="V37" s="8" t="n"/>
      <c r="W37" s="8" t="n"/>
    </row>
    <row r="38">
      <c r="B38" s="6" t="n"/>
      <c r="C38" s="6" t="n"/>
      <c r="D38" s="6" t="n"/>
      <c r="E38" s="6" t="n"/>
      <c r="F38" s="6" t="n"/>
      <c r="G38" s="6" t="n"/>
      <c r="H38" s="6">
        <f>IF(SUM(I38:T38)=0,"",SUM(I38:T38))</f>
        <v/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7" t="n"/>
      <c r="V38" s="8" t="n"/>
      <c r="W38" s="8" t="n"/>
    </row>
    <row r="39">
      <c r="B39" s="6" t="n"/>
      <c r="C39" s="6" t="n"/>
      <c r="D39" s="6" t="n"/>
      <c r="E39" s="6" t="n"/>
      <c r="F39" s="6" t="n"/>
      <c r="G39" s="6" t="n"/>
      <c r="H39" s="6">
        <f>IF(SUM(I39:T39)=0,"",SUM(I39:T39))</f>
        <v/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7" t="n"/>
      <c r="V39" s="8" t="n"/>
      <c r="W39" s="8" t="n"/>
    </row>
    <row r="40">
      <c r="B40" s="6" t="n"/>
      <c r="C40" s="6" t="n"/>
      <c r="D40" s="6" t="n"/>
      <c r="E40" s="6" t="n"/>
      <c r="F40" s="6" t="n"/>
      <c r="G40" s="6" t="n"/>
      <c r="H40" s="6">
        <f>IF(SUM(I40:T40)=0,"",SUM(I40:T40))</f>
        <v/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7" t="n"/>
      <c r="V40" s="8" t="n"/>
      <c r="W40" s="8" t="n"/>
    </row>
    <row r="41">
      <c r="B41" s="6" t="n"/>
      <c r="C41" s="6" t="n"/>
      <c r="D41" s="6" t="n"/>
      <c r="E41" s="6" t="n"/>
      <c r="F41" s="6" t="n"/>
      <c r="G41" s="6" t="n"/>
      <c r="H41" s="6">
        <f>IF(SUM(I41:T41)=0,"",SUM(I41:T41))</f>
        <v/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7" t="n"/>
      <c r="V41" s="8" t="n"/>
      <c r="W41" s="8" t="n"/>
    </row>
    <row r="42">
      <c r="B42" s="6" t="n"/>
      <c r="C42" s="6" t="n"/>
      <c r="D42" s="6" t="n"/>
      <c r="E42" s="6" t="n"/>
      <c r="F42" s="6" t="n"/>
      <c r="G42" s="6" t="n"/>
      <c r="H42" s="6">
        <f>IF(SUM(I42:T42)=0,"",SUM(I42:T42))</f>
        <v/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7" t="n"/>
      <c r="V42" s="8" t="n"/>
      <c r="W42" s="8" t="n"/>
    </row>
    <row r="43">
      <c r="B43" s="6" t="n"/>
      <c r="C43" s="6" t="n"/>
      <c r="D43" s="6" t="n"/>
      <c r="E43" s="6" t="n"/>
      <c r="F43" s="6" t="n"/>
      <c r="G43" s="6" t="n"/>
      <c r="H43" s="6">
        <f>IF(SUM(I43:T43)=0,"",SUM(I43:T43))</f>
        <v/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7" t="n"/>
      <c r="V43" s="8" t="n"/>
      <c r="W43" s="8" t="n"/>
    </row>
    <row r="44">
      <c r="B44" s="6" t="n"/>
      <c r="C44" s="6" t="n"/>
      <c r="D44" s="6" t="n"/>
      <c r="E44" s="6" t="n"/>
      <c r="F44" s="6" t="n"/>
      <c r="G44" s="6" t="n"/>
      <c r="H44" s="6">
        <f>IF(SUM(I44:T44)=0,"",SUM(I44:T44))</f>
        <v/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7" t="n"/>
      <c r="V44" s="8" t="n"/>
      <c r="W44" s="8" t="n"/>
    </row>
    <row r="45">
      <c r="B45" s="6" t="n"/>
      <c r="C45" s="6" t="n"/>
      <c r="D45" s="6" t="n"/>
      <c r="E45" s="6" t="n"/>
      <c r="F45" s="6" t="n"/>
      <c r="G45" s="6" t="n"/>
      <c r="H45" s="6">
        <f>IF(SUM(I45:T45)=0,"",SUM(I45:T45))</f>
        <v/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7" t="n"/>
      <c r="V45" s="8" t="n"/>
      <c r="W45" s="8" t="n"/>
    </row>
    <row r="46">
      <c r="B46" s="6" t="n"/>
      <c r="C46" s="6" t="n"/>
      <c r="D46" s="6" t="n"/>
      <c r="E46" s="6" t="n"/>
      <c r="F46" s="6" t="n"/>
      <c r="G46" s="6" t="n"/>
      <c r="H46" s="6">
        <f>IF(SUM(I46:T46)=0,"",SUM(I46:T46))</f>
        <v/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7" t="n"/>
      <c r="V46" s="8" t="n"/>
      <c r="W46" s="8" t="n"/>
    </row>
    <row r="47">
      <c r="B47" s="6" t="n"/>
      <c r="C47" s="6" t="n"/>
      <c r="D47" s="6" t="n"/>
      <c r="E47" s="6" t="n"/>
      <c r="F47" s="6" t="n"/>
      <c r="G47" s="6" t="n"/>
      <c r="H47" s="6">
        <f>IF(SUM(I47:T47)=0,"",SUM(I47:T47))</f>
        <v/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7" t="n"/>
      <c r="V47" s="8" t="n"/>
      <c r="W47" s="8" t="n"/>
    </row>
    <row r="48">
      <c r="B48" s="6" t="n"/>
      <c r="C48" s="6" t="n"/>
      <c r="D48" s="6" t="n"/>
      <c r="E48" s="6" t="n"/>
      <c r="F48" s="6" t="n"/>
      <c r="G48" s="6" t="n"/>
      <c r="H48" s="6">
        <f>IF(SUM(I48:T48)=0,"",SUM(I48:T48))</f>
        <v/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7" t="n"/>
      <c r="V48" s="8" t="n"/>
      <c r="W48" s="8" t="n"/>
    </row>
    <row r="49">
      <c r="B49" s="6" t="n"/>
      <c r="C49" s="6" t="n"/>
      <c r="D49" s="6" t="n"/>
      <c r="E49" s="6" t="n"/>
      <c r="F49" s="6" t="n"/>
      <c r="G49" s="6" t="n"/>
      <c r="H49" s="6">
        <f>IF(SUM(I49:T49)=0,"",SUM(I49:T49))</f>
        <v/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7" t="n"/>
      <c r="V49" s="8" t="n"/>
      <c r="W49" s="8" t="n"/>
    </row>
    <row r="50">
      <c r="B50" s="6" t="n"/>
      <c r="C50" s="6" t="n"/>
      <c r="D50" s="6" t="n"/>
      <c r="E50" s="6" t="n"/>
      <c r="F50" s="6" t="n"/>
      <c r="G50" s="6" t="n"/>
      <c r="H50" s="6">
        <f>IF(SUM(I50:T50)=0,"",SUM(I50:T50))</f>
        <v/>
      </c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7" t="n"/>
      <c r="V50" s="8" t="n"/>
      <c r="W50" s="8" t="n"/>
    </row>
    <row r="51">
      <c r="B51" s="6" t="n"/>
      <c r="C51" s="6" t="n"/>
      <c r="D51" s="6" t="n"/>
      <c r="E51" s="6" t="n"/>
      <c r="F51" s="6" t="n"/>
      <c r="G51" s="6" t="n"/>
      <c r="H51" s="6">
        <f>IF(SUM(I51:T51)=0,"",SUM(I51:T51))</f>
        <v/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7" t="n"/>
      <c r="V51" s="8" t="n"/>
      <c r="W51" s="8" t="n"/>
    </row>
    <row r="52">
      <c r="B52" s="6" t="n"/>
      <c r="C52" s="6" t="n"/>
      <c r="D52" s="6" t="n"/>
      <c r="E52" s="6" t="n"/>
      <c r="F52" s="6" t="n"/>
      <c r="G52" s="6" t="n"/>
      <c r="H52" s="6">
        <f>IF(SUM(I52:T52)=0,"",SUM(I52:T52))</f>
        <v/>
      </c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7" t="n"/>
      <c r="V52" s="8" t="n"/>
      <c r="W52" s="8" t="n"/>
    </row>
    <row r="53">
      <c r="B53" s="6" t="n"/>
      <c r="C53" s="6" t="n"/>
      <c r="D53" s="6" t="n"/>
      <c r="E53" s="6" t="n"/>
      <c r="F53" s="6" t="n"/>
      <c r="G53" s="6" t="n"/>
      <c r="H53" s="6">
        <f>IF(SUM(I53:T53)=0,"",SUM(I53:T53))</f>
        <v/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7" t="n"/>
      <c r="V53" s="8" t="n"/>
      <c r="W53" s="8" t="n"/>
    </row>
    <row r="54">
      <c r="B54" s="6" t="n"/>
      <c r="C54" s="6" t="n"/>
      <c r="D54" s="6" t="n"/>
      <c r="E54" s="6" t="n"/>
      <c r="F54" s="6" t="n"/>
      <c r="G54" s="6" t="n"/>
      <c r="H54" s="6">
        <f>IF(SUM(I54:T54)=0,"",SUM(I54:T54))</f>
        <v/>
      </c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7" t="n"/>
      <c r="V54" s="8" t="n"/>
      <c r="W54" s="8" t="n"/>
    </row>
    <row r="55">
      <c r="B55" s="6" t="n"/>
      <c r="C55" s="6" t="n"/>
      <c r="D55" s="6" t="n"/>
      <c r="E55" s="6" t="n"/>
      <c r="F55" s="6" t="n"/>
      <c r="G55" s="6" t="n"/>
      <c r="H55" s="6">
        <f>IF(SUM(I55:T55)=0,"",SUM(I55:T55))</f>
        <v/>
      </c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7" t="n"/>
      <c r="V55" s="8" t="n"/>
      <c r="W55" s="8" t="n"/>
    </row>
    <row r="56">
      <c r="B56" s="6" t="n"/>
      <c r="C56" s="6" t="n"/>
      <c r="D56" s="6" t="n"/>
      <c r="E56" s="6" t="n"/>
      <c r="F56" s="6" t="n"/>
      <c r="G56" s="6" t="n"/>
      <c r="H56" s="6">
        <f>IF(SUM(I56:T56)=0,"",SUM(I56:T56))</f>
        <v/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7" t="n"/>
      <c r="V56" s="8" t="n"/>
      <c r="W56" s="8" t="n"/>
    </row>
  </sheetData>
  <mergeCells count="10">
    <mergeCell ref="U19:U20"/>
    <mergeCell ref="D19:D20"/>
    <mergeCell ref="W19:W20"/>
    <mergeCell ref="F19:F20"/>
    <mergeCell ref="I19:T19"/>
    <mergeCell ref="V19:V20"/>
    <mergeCell ref="E19:E20"/>
    <mergeCell ref="G19:G20"/>
    <mergeCell ref="B19:B20"/>
    <mergeCell ref="C19:C20"/>
  </mergeCells>
  <dataValidations count="2">
    <dataValidation sqref="F22:F221" showDropDown="0" showInputMessage="0" showErrorMessage="1" allowBlank="1" errorTitle="드롭다운 값 확인" error="배출계수 DB 기준 드롭다운 목록에서 선택해 주세요." type="list">
      <formula1>DD_ENERGY</formula1>
    </dataValidation>
    <dataValidation sqref="G22:G221" showDropDown="0" showInputMessage="0" showErrorMessage="1" allowBlank="1" errorTitle="드롭다운 값 확인" error="배출계수 DB 기준 드롭다운 목록에서 선택해 주세요." type="list">
      <formula1>DD_ENERGY_UNIT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W56"/>
  <sheetViews>
    <sheetView workbookViewId="0">
      <selection activeCell="B18" sqref="B18"/>
    </sheetView>
  </sheetViews>
  <sheetFormatPr baseColWidth="8" defaultRowHeight="14.25"/>
  <cols>
    <col width="10" customWidth="1" style="71" min="2" max="2"/>
    <col width="18" customWidth="1" style="71" min="3" max="4"/>
    <col width="16" customWidth="1" style="71" min="5" max="6"/>
    <col width="10" customWidth="1" style="71" min="7" max="7"/>
    <col width="19.875" bestFit="1" customWidth="1" style="71" min="8" max="8"/>
    <col width="8" customWidth="1" style="71" min="9" max="20"/>
    <col width="18" customWidth="1" style="71" min="21" max="21"/>
    <col width="20" customWidth="1" style="71" min="22" max="22"/>
    <col width="16" customWidth="1" style="71" min="23" max="23"/>
  </cols>
  <sheetData>
    <row r="2" ht="20.25" customHeight="1" s="71">
      <c r="B2" s="1" t="inlineStr">
        <is>
          <t>C13. 다운스트림 임대자산 3안. 인원수로 비율을 계산해야 할 때</t>
        </is>
      </c>
    </row>
    <row r="4">
      <c r="B4" s="2" t="inlineStr">
        <is>
          <t>카테고리 정의</t>
        </is>
      </c>
    </row>
    <row r="5">
      <c r="B5" s="11" t="inlineStr">
        <is>
          <t>- 회사가 사용하는 임대자산의 에너지 사용량과 면적 정보를 직접 알 수 없는 경우 산정</t>
        </is>
      </c>
    </row>
    <row r="6">
      <c r="B6" s="11" t="inlineStr">
        <is>
          <t>- 건물 전체 에너지 사용량은 알고 있으나 인원수 기준으로 배분해야 할 때 작성</t>
        </is>
      </c>
    </row>
    <row r="9">
      <c r="B9" s="2" t="inlineStr">
        <is>
          <t>작성 기준</t>
        </is>
      </c>
    </row>
    <row r="10">
      <c r="B10" s="22" t="inlineStr">
        <is>
          <t>1) 온실가스 산정 식: Σ((자사 인원수 / 건물전체 인원수) × 건물전체 에너지 사용량 × 에너지원별 배출계수)</t>
        </is>
      </c>
    </row>
    <row r="11">
      <c r="B11" s="22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>
      <c r="B12" s="11" t="inlineStr">
        <is>
          <t>2) 건물전체 인원수와 자사 인원수는 반드시 작성</t>
        </is>
      </c>
    </row>
    <row r="13">
      <c r="B13" s="11" t="inlineStr">
        <is>
          <t>3) 면적 기준 자료가 있는 경우에는 인원수 기준보다 면적 기준 산정을 우선 적용</t>
        </is>
      </c>
    </row>
    <row r="16">
      <c r="B16" s="12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20" t="inlineStr">
        <is>
          <t>※ 주황색으로 표시된 필수 입력칸은 반드시 작성해야 합니다.</t>
        </is>
      </c>
    </row>
    <row r="18">
      <c r="B18" s="50" t="inlineStr">
        <is>
          <t>※ 회색으로 표시된 입력란(배출계수, 배출량)은 자동으로 산출되므로 별도로 입력하지 않으셔도 됩니다.</t>
        </is>
      </c>
    </row>
    <row r="19" ht="15" customHeight="1" s="71">
      <c r="B19" s="60" t="inlineStr">
        <is>
          <t>*국가</t>
        </is>
      </c>
      <c r="C19" s="60" t="inlineStr">
        <is>
          <t>*임대자산명</t>
        </is>
      </c>
      <c r="D19" s="60" t="inlineStr">
        <is>
          <t>*건물전체 인원수</t>
        </is>
      </c>
      <c r="E19" s="60" t="inlineStr">
        <is>
          <t>*자사 인원수</t>
        </is>
      </c>
      <c r="F19" s="60" t="inlineStr">
        <is>
          <t>*에너지종류</t>
        </is>
      </c>
      <c r="G19" s="60" t="inlineStr">
        <is>
          <t>*단위</t>
        </is>
      </c>
      <c r="H19" s="62" t="inlineStr">
        <is>
          <t>연간 입력</t>
        </is>
      </c>
      <c r="I19" s="62" t="inlineStr">
        <is>
          <t>건물전체 월별사용량</t>
        </is>
      </c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4" t="n"/>
      <c r="U19" s="60" t="inlineStr">
        <is>
          <t>비고(선택)</t>
        </is>
      </c>
      <c r="V19" s="60" t="inlineStr">
        <is>
          <t>배출계수(tCO2e/단위)</t>
        </is>
      </c>
      <c r="W19" s="60" t="inlineStr">
        <is>
          <t>배출량(tCO2e)</t>
        </is>
      </c>
    </row>
    <row r="20" ht="15.75" customHeight="1" s="71">
      <c r="B20" s="61" t="n"/>
      <c r="C20" s="61" t="n"/>
      <c r="D20" s="61" t="n"/>
      <c r="E20" s="61" t="n"/>
      <c r="F20" s="61" t="n"/>
      <c r="G20" s="61" t="n"/>
      <c r="H20" s="68" t="inlineStr">
        <is>
          <t>*건물전체 연간사용량</t>
        </is>
      </c>
      <c r="I20" s="60" t="inlineStr">
        <is>
          <t>1월</t>
        </is>
      </c>
      <c r="J20" s="60" t="inlineStr">
        <is>
          <t>2월</t>
        </is>
      </c>
      <c r="K20" s="60" t="inlineStr">
        <is>
          <t>3월</t>
        </is>
      </c>
      <c r="L20" s="60" t="inlineStr">
        <is>
          <t>4월</t>
        </is>
      </c>
      <c r="M20" s="60" t="inlineStr">
        <is>
          <t>5월</t>
        </is>
      </c>
      <c r="N20" s="60" t="inlineStr">
        <is>
          <t>6월</t>
        </is>
      </c>
      <c r="O20" s="60" t="inlineStr">
        <is>
          <t>7월</t>
        </is>
      </c>
      <c r="P20" s="60" t="inlineStr">
        <is>
          <t>8월</t>
        </is>
      </c>
      <c r="Q20" s="60" t="inlineStr">
        <is>
          <t>9월</t>
        </is>
      </c>
      <c r="R20" s="60" t="inlineStr">
        <is>
          <t>10월</t>
        </is>
      </c>
      <c r="S20" s="60" t="inlineStr">
        <is>
          <t>11월</t>
        </is>
      </c>
      <c r="T20" s="60" t="inlineStr">
        <is>
          <t>12월</t>
        </is>
      </c>
      <c r="U20" s="61" t="n"/>
      <c r="V20" s="61" t="n"/>
      <c r="W20" s="61" t="n"/>
    </row>
    <row r="21">
      <c r="B21" s="3" t="inlineStr">
        <is>
          <t>대한민국</t>
        </is>
      </c>
      <c r="C21" s="3" t="inlineStr">
        <is>
          <t>임대자산 C</t>
        </is>
      </c>
      <c r="D21" s="3" t="n">
        <v>1432</v>
      </c>
      <c r="E21" s="3" t="n">
        <v>122</v>
      </c>
      <c r="F21" s="3" t="inlineStr">
        <is>
          <t>전력</t>
        </is>
      </c>
      <c r="G21" s="3" t="inlineStr">
        <is>
          <t>kWh</t>
        </is>
      </c>
      <c r="H21" s="3">
        <f>IF(SUM(I21:T21)=0,"",SUM(I21:T21))</f>
        <v/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4" t="inlineStr">
        <is>
          <t>인원수 배분</t>
        </is>
      </c>
      <c r="V21" s="5" t="n"/>
      <c r="W21" s="5" t="n"/>
    </row>
    <row r="22">
      <c r="B22" s="6" t="n"/>
      <c r="C22" s="6" t="n"/>
      <c r="D22" s="6" t="n"/>
      <c r="E22" s="6" t="n"/>
      <c r="F22" s="6" t="n"/>
      <c r="G22" s="6" t="n"/>
      <c r="H22" s="6">
        <f>IF(SUM(I22:T22)=0,"",SUM(I22:T22))</f>
        <v/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7" t="n"/>
      <c r="V22" s="8" t="n"/>
      <c r="W22" s="8" t="n"/>
    </row>
    <row r="23">
      <c r="B23" s="6" t="n"/>
      <c r="C23" s="6" t="n"/>
      <c r="D23" s="6" t="n"/>
      <c r="E23" s="6" t="n"/>
      <c r="F23" s="6" t="n"/>
      <c r="G23" s="6" t="n"/>
      <c r="H23" s="6">
        <f>IF(SUM(I23:T23)=0,"",SUM(I23:T23))</f>
        <v/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7" t="n"/>
      <c r="V23" s="8" t="n"/>
      <c r="W23" s="8" t="n"/>
    </row>
    <row r="24">
      <c r="B24" s="6" t="n"/>
      <c r="C24" s="6" t="n"/>
      <c r="D24" s="6" t="n"/>
      <c r="E24" s="6" t="n"/>
      <c r="F24" s="6" t="n"/>
      <c r="G24" s="6" t="n"/>
      <c r="H24" s="6">
        <f>IF(SUM(I24:T24)=0,"",SUM(I24:T24))</f>
        <v/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7" t="n"/>
      <c r="V24" s="8" t="n"/>
      <c r="W24" s="8" t="n"/>
    </row>
    <row r="25">
      <c r="B25" s="6" t="n"/>
      <c r="C25" s="6" t="n"/>
      <c r="D25" s="6" t="n"/>
      <c r="E25" s="6" t="n"/>
      <c r="F25" s="6" t="n"/>
      <c r="G25" s="6" t="n"/>
      <c r="H25" s="6">
        <f>IF(SUM(I25:T25)=0,"",SUM(I25:T25))</f>
        <v/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7" t="n"/>
      <c r="V25" s="8" t="n"/>
      <c r="W25" s="8" t="n"/>
    </row>
    <row r="26">
      <c r="B26" s="6" t="n"/>
      <c r="C26" s="6" t="n"/>
      <c r="D26" s="6" t="n"/>
      <c r="E26" s="6" t="n"/>
      <c r="F26" s="6" t="n"/>
      <c r="G26" s="6" t="n"/>
      <c r="H26" s="6">
        <f>IF(SUM(I26:T26)=0,"",SUM(I26:T26))</f>
        <v/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7" t="n"/>
      <c r="V26" s="8" t="n"/>
      <c r="W26" s="8" t="n"/>
    </row>
    <row r="27">
      <c r="B27" s="6" t="n"/>
      <c r="C27" s="6" t="n"/>
      <c r="D27" s="6" t="n"/>
      <c r="E27" s="6" t="n"/>
      <c r="F27" s="6" t="n"/>
      <c r="G27" s="6" t="n"/>
      <c r="H27" s="6">
        <f>IF(SUM(I27:T27)=0,"",SUM(I27:T27))</f>
        <v/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7" t="n"/>
      <c r="V27" s="8" t="n"/>
      <c r="W27" s="8" t="n"/>
    </row>
    <row r="28">
      <c r="B28" s="6" t="n"/>
      <c r="C28" s="6" t="n"/>
      <c r="D28" s="6" t="n"/>
      <c r="E28" s="6" t="n"/>
      <c r="F28" s="6" t="n"/>
      <c r="G28" s="6" t="n"/>
      <c r="H28" s="6">
        <f>IF(SUM(I28:T28)=0,"",SUM(I28:T28))</f>
        <v/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7" t="n"/>
      <c r="V28" s="8" t="n"/>
      <c r="W28" s="8" t="n"/>
    </row>
    <row r="29">
      <c r="B29" s="6" t="n"/>
      <c r="C29" s="6" t="n"/>
      <c r="D29" s="6" t="n"/>
      <c r="E29" s="6" t="n"/>
      <c r="F29" s="6" t="n"/>
      <c r="G29" s="6" t="n"/>
      <c r="H29" s="6">
        <f>IF(SUM(I29:T29)=0,"",SUM(I29:T29))</f>
        <v/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7" t="n"/>
      <c r="V29" s="8" t="n"/>
      <c r="W29" s="8" t="n"/>
    </row>
    <row r="30">
      <c r="B30" s="6" t="n"/>
      <c r="C30" s="6" t="n"/>
      <c r="D30" s="6" t="n"/>
      <c r="E30" s="6" t="n"/>
      <c r="F30" s="6" t="n"/>
      <c r="G30" s="6" t="n"/>
      <c r="H30" s="6">
        <f>IF(SUM(I30:T30)=0,"",SUM(I30:T30))</f>
        <v/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7" t="n"/>
      <c r="V30" s="8" t="n"/>
      <c r="W30" s="8" t="n"/>
    </row>
    <row r="31">
      <c r="B31" s="6" t="n"/>
      <c r="C31" s="6" t="n"/>
      <c r="D31" s="6" t="n"/>
      <c r="E31" s="6" t="n"/>
      <c r="F31" s="6" t="n"/>
      <c r="G31" s="6" t="n"/>
      <c r="H31" s="6">
        <f>IF(SUM(I31:T31)=0,"",SUM(I31:T31))</f>
        <v/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7" t="n"/>
      <c r="V31" s="8" t="n"/>
      <c r="W31" s="8" t="n"/>
    </row>
    <row r="32">
      <c r="B32" s="6" t="n"/>
      <c r="C32" s="6" t="n"/>
      <c r="D32" s="6" t="n"/>
      <c r="E32" s="6" t="n"/>
      <c r="F32" s="6" t="n"/>
      <c r="G32" s="6" t="n"/>
      <c r="H32" s="6">
        <f>IF(SUM(I32:T32)=0,"",SUM(I32:T32))</f>
        <v/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7" t="n"/>
      <c r="V32" s="8" t="n"/>
      <c r="W32" s="8" t="n"/>
    </row>
    <row r="33">
      <c r="B33" s="6" t="n"/>
      <c r="C33" s="6" t="n"/>
      <c r="D33" s="6" t="n"/>
      <c r="E33" s="6" t="n"/>
      <c r="F33" s="6" t="n"/>
      <c r="G33" s="6" t="n"/>
      <c r="H33" s="6">
        <f>IF(SUM(I33:T33)=0,"",SUM(I33:T33))</f>
        <v/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7" t="n"/>
      <c r="V33" s="8" t="n"/>
      <c r="W33" s="8" t="n"/>
    </row>
    <row r="34">
      <c r="B34" s="6" t="n"/>
      <c r="C34" s="6" t="n"/>
      <c r="D34" s="6" t="n"/>
      <c r="E34" s="6" t="n"/>
      <c r="F34" s="6" t="n"/>
      <c r="G34" s="6" t="n"/>
      <c r="H34" s="6">
        <f>IF(SUM(I34:T34)=0,"",SUM(I34:T34))</f>
        <v/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7" t="n"/>
      <c r="V34" s="8" t="n"/>
      <c r="W34" s="8" t="n"/>
    </row>
    <row r="35">
      <c r="B35" s="6" t="n"/>
      <c r="C35" s="6" t="n"/>
      <c r="D35" s="6" t="n"/>
      <c r="E35" s="6" t="n"/>
      <c r="F35" s="6" t="n"/>
      <c r="G35" s="6" t="n"/>
      <c r="H35" s="6">
        <f>IF(SUM(I35:T35)=0,"",SUM(I35:T35))</f>
        <v/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7" t="n"/>
      <c r="V35" s="8" t="n"/>
      <c r="W35" s="8" t="n"/>
    </row>
    <row r="36">
      <c r="B36" s="6" t="n"/>
      <c r="C36" s="6" t="n"/>
      <c r="D36" s="6" t="n"/>
      <c r="E36" s="6" t="n"/>
      <c r="F36" s="6" t="n"/>
      <c r="G36" s="6" t="n"/>
      <c r="H36" s="6">
        <f>IF(SUM(I36:T36)=0,"",SUM(I36:T36))</f>
        <v/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7" t="n"/>
      <c r="V36" s="8" t="n"/>
      <c r="W36" s="8" t="n"/>
    </row>
    <row r="37">
      <c r="B37" s="6" t="n"/>
      <c r="C37" s="6" t="n"/>
      <c r="D37" s="6" t="n"/>
      <c r="E37" s="6" t="n"/>
      <c r="F37" s="6" t="n"/>
      <c r="G37" s="6" t="n"/>
      <c r="H37" s="6">
        <f>IF(SUM(I37:T37)=0,"",SUM(I37:T37))</f>
        <v/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7" t="n"/>
      <c r="V37" s="8" t="n"/>
      <c r="W37" s="8" t="n"/>
    </row>
    <row r="38">
      <c r="B38" s="6" t="n"/>
      <c r="C38" s="6" t="n"/>
      <c r="D38" s="6" t="n"/>
      <c r="E38" s="6" t="n"/>
      <c r="F38" s="6" t="n"/>
      <c r="G38" s="6" t="n"/>
      <c r="H38" s="6">
        <f>IF(SUM(I38:T38)=0,"",SUM(I38:T38))</f>
        <v/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7" t="n"/>
      <c r="V38" s="8" t="n"/>
      <c r="W38" s="8" t="n"/>
    </row>
    <row r="39">
      <c r="B39" s="6" t="n"/>
      <c r="C39" s="6" t="n"/>
      <c r="D39" s="6" t="n"/>
      <c r="E39" s="6" t="n"/>
      <c r="F39" s="6" t="n"/>
      <c r="G39" s="6" t="n"/>
      <c r="H39" s="6">
        <f>IF(SUM(I39:T39)=0,"",SUM(I39:T39))</f>
        <v/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7" t="n"/>
      <c r="V39" s="8" t="n"/>
      <c r="W39" s="8" t="n"/>
    </row>
    <row r="40">
      <c r="B40" s="6" t="n"/>
      <c r="C40" s="6" t="n"/>
      <c r="D40" s="6" t="n"/>
      <c r="E40" s="6" t="n"/>
      <c r="F40" s="6" t="n"/>
      <c r="G40" s="6" t="n"/>
      <c r="H40" s="6">
        <f>IF(SUM(I40:T40)=0,"",SUM(I40:T40))</f>
        <v/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7" t="n"/>
      <c r="V40" s="8" t="n"/>
      <c r="W40" s="8" t="n"/>
    </row>
    <row r="41">
      <c r="B41" s="6" t="n"/>
      <c r="C41" s="6" t="n"/>
      <c r="D41" s="6" t="n"/>
      <c r="E41" s="6" t="n"/>
      <c r="F41" s="6" t="n"/>
      <c r="G41" s="6" t="n"/>
      <c r="H41" s="6">
        <f>IF(SUM(I41:T41)=0,"",SUM(I41:T41))</f>
        <v/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7" t="n"/>
      <c r="V41" s="8" t="n"/>
      <c r="W41" s="8" t="n"/>
    </row>
    <row r="42">
      <c r="B42" s="6" t="n"/>
      <c r="C42" s="6" t="n"/>
      <c r="D42" s="6" t="n"/>
      <c r="E42" s="6" t="n"/>
      <c r="F42" s="6" t="n"/>
      <c r="G42" s="6" t="n"/>
      <c r="H42" s="6">
        <f>IF(SUM(I42:T42)=0,"",SUM(I42:T42))</f>
        <v/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7" t="n"/>
      <c r="V42" s="8" t="n"/>
      <c r="W42" s="8" t="n"/>
    </row>
    <row r="43">
      <c r="B43" s="6" t="n"/>
      <c r="C43" s="6" t="n"/>
      <c r="D43" s="6" t="n"/>
      <c r="E43" s="6" t="n"/>
      <c r="F43" s="6" t="n"/>
      <c r="G43" s="6" t="n"/>
      <c r="H43" s="6">
        <f>IF(SUM(I43:T43)=0,"",SUM(I43:T43))</f>
        <v/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7" t="n"/>
      <c r="V43" s="8" t="n"/>
      <c r="W43" s="8" t="n"/>
    </row>
    <row r="44">
      <c r="B44" s="6" t="n"/>
      <c r="C44" s="6" t="n"/>
      <c r="D44" s="6" t="n"/>
      <c r="E44" s="6" t="n"/>
      <c r="F44" s="6" t="n"/>
      <c r="G44" s="6" t="n"/>
      <c r="H44" s="6">
        <f>IF(SUM(I44:T44)=0,"",SUM(I44:T44))</f>
        <v/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7" t="n"/>
      <c r="V44" s="8" t="n"/>
      <c r="W44" s="8" t="n"/>
    </row>
    <row r="45">
      <c r="B45" s="6" t="n"/>
      <c r="C45" s="6" t="n"/>
      <c r="D45" s="6" t="n"/>
      <c r="E45" s="6" t="n"/>
      <c r="F45" s="6" t="n"/>
      <c r="G45" s="6" t="n"/>
      <c r="H45" s="6">
        <f>IF(SUM(I45:T45)=0,"",SUM(I45:T45))</f>
        <v/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7" t="n"/>
      <c r="V45" s="8" t="n"/>
      <c r="W45" s="8" t="n"/>
    </row>
    <row r="46">
      <c r="B46" s="6" t="n"/>
      <c r="C46" s="6" t="n"/>
      <c r="D46" s="6" t="n"/>
      <c r="E46" s="6" t="n"/>
      <c r="F46" s="6" t="n"/>
      <c r="G46" s="6" t="n"/>
      <c r="H46" s="6">
        <f>IF(SUM(I46:T46)=0,"",SUM(I46:T46))</f>
        <v/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7" t="n"/>
      <c r="V46" s="8" t="n"/>
      <c r="W46" s="8" t="n"/>
    </row>
    <row r="47">
      <c r="B47" s="6" t="n"/>
      <c r="C47" s="6" t="n"/>
      <c r="D47" s="6" t="n"/>
      <c r="E47" s="6" t="n"/>
      <c r="F47" s="6" t="n"/>
      <c r="G47" s="6" t="n"/>
      <c r="H47" s="6">
        <f>IF(SUM(I47:T47)=0,"",SUM(I47:T47))</f>
        <v/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7" t="n"/>
      <c r="V47" s="8" t="n"/>
      <c r="W47" s="8" t="n"/>
    </row>
    <row r="48">
      <c r="B48" s="6" t="n"/>
      <c r="C48" s="6" t="n"/>
      <c r="D48" s="6" t="n"/>
      <c r="E48" s="6" t="n"/>
      <c r="F48" s="6" t="n"/>
      <c r="G48" s="6" t="n"/>
      <c r="H48" s="6">
        <f>IF(SUM(I48:T48)=0,"",SUM(I48:T48))</f>
        <v/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7" t="n"/>
      <c r="V48" s="8" t="n"/>
      <c r="W48" s="8" t="n"/>
    </row>
    <row r="49">
      <c r="B49" s="6" t="n"/>
      <c r="C49" s="6" t="n"/>
      <c r="D49" s="6" t="n"/>
      <c r="E49" s="6" t="n"/>
      <c r="F49" s="6" t="n"/>
      <c r="G49" s="6" t="n"/>
      <c r="H49" s="6">
        <f>IF(SUM(I49:T49)=0,"",SUM(I49:T49))</f>
        <v/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7" t="n"/>
      <c r="V49" s="8" t="n"/>
      <c r="W49" s="8" t="n"/>
    </row>
    <row r="50">
      <c r="B50" s="6" t="n"/>
      <c r="C50" s="6" t="n"/>
      <c r="D50" s="6" t="n"/>
      <c r="E50" s="6" t="n"/>
      <c r="F50" s="6" t="n"/>
      <c r="G50" s="6" t="n"/>
      <c r="H50" s="6">
        <f>IF(SUM(I50:T50)=0,"",SUM(I50:T50))</f>
        <v/>
      </c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7" t="n"/>
      <c r="V50" s="8" t="n"/>
      <c r="W50" s="8" t="n"/>
    </row>
    <row r="51">
      <c r="B51" s="6" t="n"/>
      <c r="C51" s="6" t="n"/>
      <c r="D51" s="6" t="n"/>
      <c r="E51" s="6" t="n"/>
      <c r="F51" s="6" t="n"/>
      <c r="G51" s="6" t="n"/>
      <c r="H51" s="6">
        <f>IF(SUM(I51:T51)=0,"",SUM(I51:T51))</f>
        <v/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7" t="n"/>
      <c r="V51" s="8" t="n"/>
      <c r="W51" s="8" t="n"/>
    </row>
    <row r="52">
      <c r="B52" s="6" t="n"/>
      <c r="C52" s="6" t="n"/>
      <c r="D52" s="6" t="n"/>
      <c r="E52" s="6" t="n"/>
      <c r="F52" s="6" t="n"/>
      <c r="G52" s="6" t="n"/>
      <c r="H52" s="6">
        <f>IF(SUM(I52:T52)=0,"",SUM(I52:T52))</f>
        <v/>
      </c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7" t="n"/>
      <c r="V52" s="8" t="n"/>
      <c r="W52" s="8" t="n"/>
    </row>
    <row r="53">
      <c r="B53" s="6" t="n"/>
      <c r="C53" s="6" t="n"/>
      <c r="D53" s="6" t="n"/>
      <c r="E53" s="6" t="n"/>
      <c r="F53" s="6" t="n"/>
      <c r="G53" s="6" t="n"/>
      <c r="H53" s="6">
        <f>IF(SUM(I53:T53)=0,"",SUM(I53:T53))</f>
        <v/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7" t="n"/>
      <c r="V53" s="8" t="n"/>
      <c r="W53" s="8" t="n"/>
    </row>
    <row r="54">
      <c r="B54" s="6" t="n"/>
      <c r="C54" s="6" t="n"/>
      <c r="D54" s="6" t="n"/>
      <c r="E54" s="6" t="n"/>
      <c r="F54" s="6" t="n"/>
      <c r="G54" s="6" t="n"/>
      <c r="H54" s="6">
        <f>IF(SUM(I54:T54)=0,"",SUM(I54:T54))</f>
        <v/>
      </c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7" t="n"/>
      <c r="V54" s="8" t="n"/>
      <c r="W54" s="8" t="n"/>
    </row>
    <row r="55">
      <c r="B55" s="6" t="n"/>
      <c r="C55" s="6" t="n"/>
      <c r="D55" s="6" t="n"/>
      <c r="E55" s="6" t="n"/>
      <c r="F55" s="6" t="n"/>
      <c r="G55" s="6" t="n"/>
      <c r="H55" s="6">
        <f>IF(SUM(I55:T55)=0,"",SUM(I55:T55))</f>
        <v/>
      </c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7" t="n"/>
      <c r="V55" s="8" t="n"/>
      <c r="W55" s="8" t="n"/>
    </row>
    <row r="56">
      <c r="B56" s="6" t="n"/>
      <c r="C56" s="6" t="n"/>
      <c r="D56" s="6" t="n"/>
      <c r="E56" s="6" t="n"/>
      <c r="F56" s="6" t="n"/>
      <c r="G56" s="6" t="n"/>
      <c r="H56" s="6">
        <f>IF(SUM(I56:T56)=0,"",SUM(I56:T56))</f>
        <v/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7" t="n"/>
      <c r="V56" s="8" t="n"/>
      <c r="W56" s="8" t="n"/>
    </row>
  </sheetData>
  <mergeCells count="10">
    <mergeCell ref="U19:U20"/>
    <mergeCell ref="D19:D20"/>
    <mergeCell ref="W19:W20"/>
    <mergeCell ref="F19:F20"/>
    <mergeCell ref="I19:T19"/>
    <mergeCell ref="V19:V20"/>
    <mergeCell ref="E19:E20"/>
    <mergeCell ref="G19:G20"/>
    <mergeCell ref="B19:B20"/>
    <mergeCell ref="C19:C20"/>
  </mergeCells>
  <dataValidations count="2">
    <dataValidation sqref="F22:F221" showDropDown="0" showInputMessage="0" showErrorMessage="1" allowBlank="1" errorTitle="드롭다운 값 확인" error="배출계수 DB 기준 드롭다운 목록에서 선택해 주세요." type="list">
      <formula1>DD_ENERGY</formula1>
    </dataValidation>
    <dataValidation sqref="G22:G221" showDropDown="0" showInputMessage="0" showErrorMessage="1" allowBlank="1" errorTitle="드롭다운 값 확인" error="배출계수 DB 기준 드롭다운 목록에서 선택해 주세요." type="list">
      <formula1>DD_ENERGY_UNIT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I190"/>
  <sheetViews>
    <sheetView topLeftCell="A7" workbookViewId="0">
      <selection activeCell="B18" sqref="B18"/>
    </sheetView>
  </sheetViews>
  <sheetFormatPr baseColWidth="8" defaultRowHeight="14.25"/>
  <cols>
    <col width="13.125" customWidth="1" style="71" min="3" max="3"/>
    <col width="11.375" customWidth="1" style="71" min="4" max="4"/>
    <col width="17.125" customWidth="1" style="71" min="5" max="6"/>
    <col width="14.125" customWidth="1" style="71" min="7" max="7"/>
    <col width="19.375" customWidth="1" style="71" min="8" max="8"/>
    <col width="14.375" customWidth="1" style="71" min="9" max="9"/>
  </cols>
  <sheetData>
    <row r="2" ht="20.25" customHeight="1" s="71">
      <c r="B2" s="31" t="inlineStr">
        <is>
          <t>C14. 프랜차이즈</t>
        </is>
      </c>
    </row>
    <row r="4" ht="15" customHeight="1" s="71">
      <c r="B4" s="70" t="inlineStr">
        <is>
          <t>카테고리 정의</t>
        </is>
      </c>
      <c r="C4" s="27" t="n"/>
      <c r="D4" s="27" t="n"/>
      <c r="E4" s="27" t="n"/>
      <c r="F4" s="27" t="n"/>
      <c r="G4" s="27" t="n"/>
      <c r="H4" s="27" t="n"/>
      <c r="I4" s="27" t="n"/>
    </row>
    <row r="5">
      <c r="B5" s="27" t="inlineStr">
        <is>
          <t>- 보고년도 내 당사의 브랜드 사용권을 부여받아 운영 중인 모든 가맹점(프랜차이즈) 내에서 발생한 온실가스 배출량</t>
        </is>
      </c>
      <c r="C5" s="27" t="n"/>
      <c r="D5" s="27" t="n"/>
      <c r="E5" s="27" t="n"/>
      <c r="F5" s="27" t="n"/>
      <c r="G5" s="27" t="n"/>
      <c r="H5" s="27" t="n"/>
      <c r="I5" s="27" t="n"/>
    </row>
    <row r="6">
      <c r="B6" s="27" t="inlineStr">
        <is>
          <t>- 대상: 가맹점 운영을 위해 소비된 모든 연료 및 전력 사용량</t>
        </is>
      </c>
      <c r="C6" s="27" t="n"/>
      <c r="D6" s="27" t="n"/>
      <c r="E6" s="27" t="n"/>
      <c r="F6" s="27" t="n"/>
      <c r="G6" s="27" t="n"/>
      <c r="H6" s="27" t="n"/>
      <c r="I6" s="27" t="n"/>
    </row>
    <row r="7">
      <c r="B7" s="27" t="n"/>
      <c r="C7" s="27" t="n"/>
      <c r="D7" s="27" t="n"/>
      <c r="E7" s="27" t="n"/>
      <c r="F7" s="27" t="n"/>
      <c r="G7" s="27" t="n"/>
      <c r="H7" s="27" t="n"/>
      <c r="I7" s="27" t="n"/>
    </row>
    <row r="8">
      <c r="B8" s="27" t="n"/>
      <c r="C8" s="27" t="n"/>
      <c r="D8" s="27" t="n"/>
      <c r="E8" s="27" t="n"/>
      <c r="F8" s="27" t="n"/>
      <c r="G8" s="27" t="n"/>
      <c r="H8" s="27" t="n"/>
      <c r="I8" s="27" t="n"/>
    </row>
    <row r="9" ht="15" customHeight="1" s="71">
      <c r="B9" s="70" t="inlineStr">
        <is>
          <t>작성 기준</t>
        </is>
      </c>
      <c r="C9" s="27" t="n"/>
      <c r="D9" s="27" t="n"/>
      <c r="E9" s="27" t="n"/>
      <c r="F9" s="27" t="n"/>
      <c r="G9" s="27" t="n"/>
      <c r="H9" s="27" t="n"/>
      <c r="I9" s="27" t="n"/>
    </row>
    <row r="10">
      <c r="B10" s="27" t="inlineStr">
        <is>
          <t>1) 온실가스 산정 식: Σ(가맹점 활동 유형별 사용량 × 에너지원별 배출계수)</t>
        </is>
      </c>
      <c r="C10" s="27" t="n"/>
      <c r="D10" s="27" t="n"/>
      <c r="E10" s="27" t="n"/>
      <c r="F10" s="27" t="n"/>
      <c r="G10" s="27" t="n"/>
      <c r="H10" s="27" t="n"/>
      <c r="I10" s="27" t="n"/>
    </row>
    <row r="11">
      <c r="B11" s="27" t="inlineStr">
        <is>
          <t>- 온실가스 배출계수는 국내인 경우 승인 국가 온실가스 배출계수, 국외인 경우 IPCC 가이드라인 배출계수를 활용</t>
        </is>
      </c>
      <c r="C11" s="27" t="n"/>
      <c r="D11" s="27" t="n"/>
      <c r="E11" s="27" t="n"/>
      <c r="F11" s="27" t="n"/>
      <c r="G11" s="27" t="n"/>
      <c r="H11" s="27" t="n"/>
      <c r="I11" s="27" t="n"/>
    </row>
    <row r="12">
      <c r="B12" s="27" t="inlineStr">
        <is>
          <t>2) 국가, 가맹점 수, 전력사용량, 전력사용량 단위는 반드시 작성</t>
        </is>
      </c>
      <c r="C12" s="27" t="n"/>
      <c r="D12" s="27" t="n"/>
      <c r="E12" s="27" t="n"/>
      <c r="F12" s="27" t="n"/>
      <c r="G12" s="27" t="n"/>
      <c r="H12" s="27" t="n"/>
      <c r="I12" s="27" t="n"/>
    </row>
    <row r="13" ht="16.5" customHeight="1" s="71">
      <c r="B13" s="27" t="inlineStr">
        <is>
          <t>3) 연료 사용이 있는 경우 연료 종류, 연료 사용량, 연료 단위를 함께 작성</t>
        </is>
      </c>
      <c r="C13" s="27" t="n"/>
      <c r="D13" s="27" t="n"/>
      <c r="E13" s="27" t="n"/>
      <c r="F13" s="27" t="n"/>
      <c r="G13" s="27" t="n"/>
      <c r="H13" s="27" t="n"/>
      <c r="I13" s="27" t="n"/>
    </row>
    <row r="14">
      <c r="B14" s="27" t="inlineStr">
        <is>
          <t>4) 동일 국가·프랜차이즈에서 전력과 복수 연료를 사용하는 경우 에너지원별로 행을 나누어 작성 가능</t>
        </is>
      </c>
      <c r="C14" s="27" t="n"/>
      <c r="D14" s="27" t="n"/>
      <c r="E14" s="27" t="n"/>
      <c r="F14" s="27" t="n"/>
      <c r="G14" s="27" t="n"/>
      <c r="H14" s="27" t="n"/>
      <c r="I14" s="27" t="n"/>
    </row>
    <row r="15">
      <c r="B15" s="27" t="n"/>
      <c r="C15" s="27" t="n"/>
      <c r="D15" s="27" t="n"/>
      <c r="E15" s="27" t="n"/>
      <c r="F15" s="27" t="n"/>
      <c r="G15" s="27" t="n"/>
      <c r="H15" s="27" t="n"/>
      <c r="I15" s="27" t="n"/>
    </row>
    <row r="16">
      <c r="B16" s="75" t="inlineStr">
        <is>
          <t>※ 사용 기준: 브랜드별/국가별 가맹점 운영에 사용된 전력 및 연료 사용량을 기준으로 작성합니다.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>
      <c r="B17" s="20" t="inlineStr">
        <is>
          <t>※ 주황색으로 표시된 필수 입력칸은 반드시 작성해야 합니다.</t>
        </is>
      </c>
      <c r="C17" s="27" t="n"/>
      <c r="D17" s="27" t="n"/>
      <c r="E17" s="27" t="n"/>
      <c r="F17" s="27" t="n"/>
      <c r="G17" s="27" t="n"/>
      <c r="H17" s="27" t="n"/>
      <c r="I17" s="27" t="n"/>
    </row>
    <row r="18">
      <c r="B18" s="50" t="inlineStr">
        <is>
          <t>※ 회색으로 표시된 입력란(배출계수, 배출량)은 자동으로 산출되므로 별도로 입력하지 않으셔도 됩니다.</t>
        </is>
      </c>
      <c r="C18" s="27" t="n"/>
      <c r="D18" s="27" t="n"/>
      <c r="E18" s="27" t="n"/>
      <c r="F18" s="27" t="n"/>
      <c r="G18" s="27" t="n"/>
      <c r="H18" s="27" t="n"/>
      <c r="I18" s="27" t="n"/>
    </row>
    <row r="19" ht="16.5" customHeight="1" s="71">
      <c r="B19" s="32" t="inlineStr">
        <is>
          <t>*국가</t>
        </is>
      </c>
      <c r="C19" s="33" t="inlineStr">
        <is>
          <t>*프랜차이즈명</t>
        </is>
      </c>
      <c r="D19" s="32" t="inlineStr">
        <is>
          <t>*가맹점 수</t>
        </is>
      </c>
      <c r="E19" s="34" t="inlineStr">
        <is>
          <t>*연료 종류</t>
        </is>
      </c>
      <c r="F19" s="34" t="inlineStr">
        <is>
          <t>*연료 사용량</t>
        </is>
      </c>
      <c r="G19" s="34" t="inlineStr">
        <is>
          <t>*연료 단위</t>
        </is>
      </c>
      <c r="H19" s="32" t="inlineStr">
        <is>
          <t>배출계수(tCO2e/단위)</t>
        </is>
      </c>
      <c r="I19" s="32" t="inlineStr">
        <is>
          <t>배출량(tCO2e)</t>
        </is>
      </c>
    </row>
    <row r="20">
      <c r="B20" s="28" t="inlineStr">
        <is>
          <t>대한민국</t>
        </is>
      </c>
      <c r="C20" s="28" t="inlineStr">
        <is>
          <t>뚜레쥬르</t>
        </is>
      </c>
      <c r="D20" s="28" t="n">
        <v>13</v>
      </c>
      <c r="E20" s="28" t="inlineStr">
        <is>
          <t>도시가스(LNG)</t>
        </is>
      </c>
      <c r="F20" s="28" t="n">
        <v>25</v>
      </c>
      <c r="G20" s="28" t="inlineStr">
        <is>
          <t>Nm³</t>
        </is>
      </c>
      <c r="H20" s="29" t="n"/>
      <c r="I20" s="29" t="n"/>
    </row>
    <row r="21">
      <c r="B21" s="28" t="inlineStr">
        <is>
          <t>대한민국</t>
        </is>
      </c>
      <c r="C21" s="28" t="inlineStr">
        <is>
          <t>올리브영</t>
        </is>
      </c>
      <c r="D21" s="28" t="n">
        <v>256</v>
      </c>
      <c r="E21" s="28" t="inlineStr">
        <is>
          <t>천연가스(LNG)</t>
        </is>
      </c>
      <c r="F21" s="28" t="n">
        <v>780</v>
      </c>
      <c r="G21" s="28" t="inlineStr">
        <is>
          <t>kg</t>
        </is>
      </c>
      <c r="H21" s="29" t="n"/>
      <c r="I21" s="29" t="n"/>
    </row>
    <row r="22">
      <c r="B22" s="28" t="n"/>
      <c r="C22" s="28" t="n"/>
      <c r="D22" s="28" t="n"/>
      <c r="E22" s="28" t="n"/>
      <c r="F22" s="28" t="n"/>
      <c r="G22" s="28" t="n"/>
      <c r="H22" s="29" t="n"/>
      <c r="I22" s="29" t="n"/>
    </row>
    <row r="23">
      <c r="B23" s="28" t="n"/>
      <c r="C23" s="28" t="n"/>
      <c r="D23" s="28" t="n"/>
      <c r="E23" s="28" t="n"/>
      <c r="F23" s="28" t="n"/>
      <c r="G23" s="28" t="n"/>
      <c r="H23" s="29" t="n"/>
      <c r="I23" s="29" t="n"/>
    </row>
    <row r="24">
      <c r="B24" s="28" t="n"/>
      <c r="C24" s="28" t="n"/>
      <c r="D24" s="28" t="n"/>
      <c r="E24" s="28" t="n"/>
      <c r="F24" s="28" t="n"/>
      <c r="G24" s="28" t="n"/>
      <c r="H24" s="29" t="n"/>
      <c r="I24" s="29" t="n"/>
    </row>
    <row r="25">
      <c r="B25" s="28" t="n"/>
      <c r="C25" s="28" t="n"/>
      <c r="D25" s="28" t="n"/>
      <c r="E25" s="28" t="n"/>
      <c r="F25" s="28" t="n"/>
      <c r="G25" s="28" t="n"/>
      <c r="H25" s="29" t="n"/>
      <c r="I25" s="29" t="n"/>
    </row>
    <row r="26">
      <c r="B26" s="28" t="n"/>
      <c r="C26" s="28" t="n"/>
      <c r="D26" s="28" t="n"/>
      <c r="E26" s="28" t="n"/>
      <c r="F26" s="28" t="n"/>
      <c r="G26" s="28" t="n"/>
      <c r="H26" s="29" t="n"/>
      <c r="I26" s="29" t="n"/>
    </row>
    <row r="27">
      <c r="B27" s="28" t="n"/>
      <c r="C27" s="28" t="n"/>
      <c r="D27" s="28" t="n"/>
      <c r="E27" s="28" t="n"/>
      <c r="F27" s="28" t="n"/>
      <c r="G27" s="28" t="n"/>
      <c r="H27" s="29" t="n"/>
      <c r="I27" s="29" t="n"/>
    </row>
    <row r="28">
      <c r="B28" s="28" t="n"/>
      <c r="C28" s="28" t="n"/>
      <c r="D28" s="28" t="n"/>
      <c r="E28" s="28" t="n"/>
      <c r="F28" s="28" t="n"/>
      <c r="G28" s="28" t="n"/>
      <c r="H28" s="29" t="n"/>
      <c r="I28" s="29" t="n"/>
    </row>
    <row r="29">
      <c r="B29" s="28" t="n"/>
      <c r="C29" s="28" t="n"/>
      <c r="D29" s="28" t="n"/>
      <c r="E29" s="28" t="n"/>
      <c r="F29" s="28" t="n"/>
      <c r="G29" s="28" t="n"/>
      <c r="H29" s="29" t="n"/>
      <c r="I29" s="29" t="n"/>
    </row>
    <row r="30">
      <c r="B30" s="28" t="n"/>
      <c r="C30" s="28" t="n"/>
      <c r="D30" s="28" t="n"/>
      <c r="E30" s="28" t="n"/>
      <c r="F30" s="28" t="n"/>
      <c r="G30" s="28" t="n"/>
      <c r="H30" s="29" t="n"/>
      <c r="I30" s="29" t="n"/>
    </row>
    <row r="31">
      <c r="B31" s="28" t="n"/>
      <c r="C31" s="28" t="n"/>
      <c r="D31" s="28" t="n"/>
      <c r="E31" s="28" t="n"/>
      <c r="F31" s="28" t="n"/>
      <c r="G31" s="28" t="n"/>
      <c r="H31" s="29" t="n"/>
      <c r="I31" s="29" t="n"/>
    </row>
    <row r="32">
      <c r="B32" s="28" t="n"/>
      <c r="C32" s="28" t="n"/>
      <c r="D32" s="28" t="n"/>
      <c r="E32" s="28" t="n"/>
      <c r="F32" s="28" t="n"/>
      <c r="G32" s="28" t="n"/>
      <c r="H32" s="29" t="n"/>
      <c r="I32" s="29" t="n"/>
    </row>
    <row r="33">
      <c r="B33" s="28" t="n"/>
      <c r="C33" s="28" t="n"/>
      <c r="D33" s="28" t="n"/>
      <c r="E33" s="28" t="n"/>
      <c r="F33" s="28" t="n"/>
      <c r="G33" s="28" t="n"/>
      <c r="H33" s="29" t="n"/>
      <c r="I33" s="29" t="n"/>
    </row>
    <row r="34">
      <c r="B34" s="28" t="n"/>
      <c r="C34" s="28" t="n"/>
      <c r="D34" s="28" t="n"/>
      <c r="E34" s="28" t="n"/>
      <c r="F34" s="28" t="n"/>
      <c r="G34" s="28" t="n"/>
      <c r="H34" s="29" t="n"/>
      <c r="I34" s="29" t="n"/>
    </row>
    <row r="35">
      <c r="B35" s="28" t="n"/>
      <c r="C35" s="28" t="n"/>
      <c r="D35" s="28" t="n"/>
      <c r="E35" s="28" t="n"/>
      <c r="F35" s="28" t="n"/>
      <c r="G35" s="28" t="n"/>
      <c r="H35" s="29" t="n"/>
      <c r="I35" s="29" t="n"/>
    </row>
    <row r="36">
      <c r="B36" s="28" t="n"/>
      <c r="C36" s="28" t="n"/>
      <c r="D36" s="28" t="n"/>
      <c r="E36" s="28" t="n"/>
      <c r="F36" s="28" t="n"/>
      <c r="G36" s="28" t="n"/>
      <c r="H36" s="29" t="n"/>
      <c r="I36" s="29" t="n"/>
    </row>
    <row r="37">
      <c r="B37" s="28" t="n"/>
      <c r="C37" s="28" t="n"/>
      <c r="D37" s="28" t="n"/>
      <c r="E37" s="28" t="n"/>
      <c r="F37" s="28" t="n"/>
      <c r="G37" s="28" t="n"/>
      <c r="H37" s="29" t="n"/>
      <c r="I37" s="29" t="n"/>
    </row>
    <row r="38">
      <c r="B38" s="28" t="n"/>
      <c r="C38" s="28" t="n"/>
      <c r="D38" s="28" t="n"/>
      <c r="E38" s="28" t="n"/>
      <c r="F38" s="28" t="n"/>
      <c r="G38" s="28" t="n"/>
      <c r="H38" s="29" t="n"/>
      <c r="I38" s="29" t="n"/>
    </row>
    <row r="39">
      <c r="B39" s="28" t="n"/>
      <c r="C39" s="28" t="n"/>
      <c r="D39" s="28" t="n"/>
      <c r="E39" s="28" t="n"/>
      <c r="F39" s="28" t="n"/>
      <c r="G39" s="28" t="n"/>
      <c r="H39" s="29" t="n"/>
      <c r="I39" s="29" t="n"/>
    </row>
    <row r="40">
      <c r="B40" s="28" t="n"/>
      <c r="C40" s="28" t="n"/>
      <c r="D40" s="28" t="n"/>
      <c r="E40" s="28" t="n"/>
      <c r="F40" s="28" t="n"/>
      <c r="G40" s="28" t="n"/>
      <c r="H40" s="29" t="n"/>
      <c r="I40" s="29" t="n"/>
    </row>
    <row r="41">
      <c r="B41" s="28" t="n"/>
      <c r="C41" s="28" t="n"/>
      <c r="D41" s="28" t="n"/>
      <c r="E41" s="28" t="n"/>
      <c r="F41" s="28" t="n"/>
      <c r="G41" s="28" t="n"/>
      <c r="H41" s="29" t="n"/>
      <c r="I41" s="29" t="n"/>
    </row>
    <row r="42">
      <c r="B42" s="28" t="n"/>
      <c r="C42" s="28" t="n"/>
      <c r="D42" s="28" t="n"/>
      <c r="E42" s="28" t="n"/>
      <c r="F42" s="28" t="n"/>
      <c r="G42" s="28" t="n"/>
      <c r="H42" s="29" t="n"/>
      <c r="I42" s="29" t="n"/>
    </row>
    <row r="43">
      <c r="B43" s="28" t="n"/>
      <c r="C43" s="28" t="n"/>
      <c r="D43" s="28" t="n"/>
      <c r="E43" s="28" t="n"/>
      <c r="F43" s="28" t="n"/>
      <c r="G43" s="28" t="n"/>
      <c r="H43" s="29" t="n"/>
      <c r="I43" s="29" t="n"/>
    </row>
    <row r="44">
      <c r="B44" s="28" t="n"/>
      <c r="C44" s="28" t="n"/>
      <c r="D44" s="28" t="n"/>
      <c r="E44" s="28" t="n"/>
      <c r="F44" s="28" t="n"/>
      <c r="G44" s="28" t="n"/>
      <c r="H44" s="29" t="n"/>
      <c r="I44" s="29" t="n"/>
    </row>
    <row r="45">
      <c r="B45" s="28" t="n"/>
      <c r="C45" s="28" t="n"/>
      <c r="D45" s="28" t="n"/>
      <c r="E45" s="28" t="n"/>
      <c r="F45" s="28" t="n"/>
      <c r="G45" s="28" t="n"/>
      <c r="H45" s="29" t="n"/>
      <c r="I45" s="29" t="n"/>
    </row>
    <row r="46">
      <c r="B46" s="28" t="n"/>
      <c r="C46" s="28" t="n"/>
      <c r="D46" s="28" t="n"/>
      <c r="E46" s="28" t="n"/>
      <c r="F46" s="28" t="n"/>
      <c r="G46" s="28" t="n"/>
      <c r="H46" s="29" t="n"/>
      <c r="I46" s="29" t="n"/>
    </row>
    <row r="47">
      <c r="B47" s="28" t="n"/>
      <c r="C47" s="28" t="n"/>
      <c r="D47" s="28" t="n"/>
      <c r="E47" s="28" t="n"/>
      <c r="F47" s="28" t="n"/>
      <c r="G47" s="28" t="n"/>
      <c r="H47" s="29" t="n"/>
      <c r="I47" s="29" t="n"/>
    </row>
    <row r="48">
      <c r="B48" s="28" t="n"/>
      <c r="C48" s="28" t="n"/>
      <c r="D48" s="28" t="n"/>
      <c r="E48" s="28" t="n"/>
      <c r="F48" s="28" t="n"/>
      <c r="G48" s="28" t="n"/>
      <c r="H48" s="29" t="n"/>
      <c r="I48" s="29" t="n"/>
    </row>
    <row r="49">
      <c r="B49" s="28" t="n"/>
      <c r="C49" s="28" t="n"/>
      <c r="D49" s="28" t="n"/>
      <c r="E49" s="28" t="n"/>
      <c r="F49" s="28" t="n"/>
      <c r="G49" s="28" t="n"/>
      <c r="H49" s="29" t="n"/>
      <c r="I49" s="29" t="n"/>
    </row>
    <row r="50">
      <c r="B50" s="28" t="n"/>
      <c r="C50" s="28" t="n"/>
      <c r="D50" s="28" t="n"/>
      <c r="E50" s="28" t="n"/>
      <c r="F50" s="28" t="n"/>
      <c r="G50" s="28" t="n"/>
      <c r="H50" s="29" t="n"/>
      <c r="I50" s="29" t="n"/>
    </row>
    <row r="51">
      <c r="B51" s="28" t="n"/>
      <c r="C51" s="28" t="n"/>
      <c r="D51" s="28" t="n"/>
      <c r="E51" s="28" t="n"/>
      <c r="F51" s="28" t="n"/>
      <c r="G51" s="28" t="n"/>
      <c r="H51" s="29" t="n"/>
      <c r="I51" s="29" t="n"/>
    </row>
    <row r="52">
      <c r="B52" s="28" t="n"/>
      <c r="C52" s="28" t="n"/>
      <c r="D52" s="28" t="n"/>
      <c r="E52" s="28" t="n"/>
      <c r="F52" s="28" t="n"/>
      <c r="G52" s="28" t="n"/>
      <c r="H52" s="29" t="n"/>
      <c r="I52" s="29" t="n"/>
    </row>
    <row r="53">
      <c r="B53" s="28" t="n"/>
      <c r="C53" s="28" t="n"/>
      <c r="D53" s="28" t="n"/>
      <c r="E53" s="28" t="n"/>
      <c r="F53" s="28" t="n"/>
      <c r="G53" s="28" t="n"/>
      <c r="H53" s="29" t="n"/>
      <c r="I53" s="29" t="n"/>
    </row>
    <row r="54">
      <c r="B54" s="28" t="n"/>
      <c r="C54" s="28" t="n"/>
      <c r="D54" s="28" t="n"/>
      <c r="E54" s="28" t="n"/>
      <c r="F54" s="28" t="n"/>
      <c r="G54" s="28" t="n"/>
      <c r="H54" s="29" t="n"/>
      <c r="I54" s="29" t="n"/>
    </row>
    <row r="55">
      <c r="B55" s="28" t="n"/>
      <c r="C55" s="28" t="n"/>
      <c r="D55" s="28" t="n"/>
      <c r="E55" s="28" t="n"/>
      <c r="F55" s="28" t="n"/>
      <c r="G55" s="28" t="n"/>
      <c r="H55" s="29" t="n"/>
      <c r="I55" s="29" t="n"/>
    </row>
    <row r="56">
      <c r="B56" s="28" t="n"/>
      <c r="C56" s="28" t="n"/>
      <c r="D56" s="28" t="n"/>
      <c r="E56" s="28" t="n"/>
      <c r="F56" s="28" t="n"/>
      <c r="G56" s="28" t="n"/>
      <c r="H56" s="29" t="n"/>
      <c r="I56" s="29" t="n"/>
    </row>
    <row r="57">
      <c r="B57" s="28" t="n"/>
      <c r="C57" s="28" t="n"/>
      <c r="D57" s="28" t="n"/>
      <c r="E57" s="28" t="n"/>
      <c r="F57" s="28" t="n"/>
      <c r="G57" s="28" t="n"/>
      <c r="H57" s="29" t="n"/>
      <c r="I57" s="29" t="n"/>
    </row>
    <row r="58">
      <c r="B58" s="28" t="n"/>
      <c r="C58" s="28" t="n"/>
      <c r="D58" s="28" t="n"/>
      <c r="E58" s="28" t="n"/>
      <c r="F58" s="28" t="n"/>
      <c r="G58" s="28" t="n"/>
      <c r="H58" s="29" t="n"/>
      <c r="I58" s="29" t="n"/>
    </row>
    <row r="59">
      <c r="B59" s="28" t="n"/>
      <c r="C59" s="28" t="n"/>
      <c r="D59" s="28" t="n"/>
      <c r="E59" s="28" t="n"/>
      <c r="F59" s="28" t="n"/>
      <c r="G59" s="28" t="n"/>
      <c r="H59" s="29" t="n"/>
      <c r="I59" s="29" t="n"/>
    </row>
    <row r="60">
      <c r="B60" s="28" t="n"/>
      <c r="C60" s="28" t="n"/>
      <c r="D60" s="28" t="n"/>
      <c r="E60" s="28" t="n"/>
      <c r="F60" s="28" t="n"/>
      <c r="G60" s="28" t="n"/>
      <c r="H60" s="29" t="n"/>
      <c r="I60" s="29" t="n"/>
    </row>
    <row r="61">
      <c r="B61" s="28" t="n"/>
      <c r="C61" s="28" t="n"/>
      <c r="D61" s="28" t="n"/>
      <c r="E61" s="28" t="n"/>
      <c r="F61" s="28" t="n"/>
      <c r="G61" s="28" t="n"/>
      <c r="H61" s="29" t="n"/>
      <c r="I61" s="29" t="n"/>
    </row>
    <row r="62">
      <c r="B62" s="28" t="n"/>
      <c r="C62" s="28" t="n"/>
      <c r="D62" s="28" t="n"/>
      <c r="E62" s="28" t="n"/>
      <c r="F62" s="28" t="n"/>
      <c r="G62" s="28" t="n"/>
      <c r="H62" s="29" t="n"/>
      <c r="I62" s="29" t="n"/>
    </row>
    <row r="63">
      <c r="B63" s="28" t="n"/>
      <c r="C63" s="28" t="n"/>
      <c r="D63" s="28" t="n"/>
      <c r="E63" s="28" t="n"/>
      <c r="F63" s="28" t="n"/>
      <c r="G63" s="28" t="n"/>
      <c r="H63" s="29" t="n"/>
      <c r="I63" s="29" t="n"/>
    </row>
    <row r="64">
      <c r="B64" s="28" t="n"/>
      <c r="C64" s="28" t="n"/>
      <c r="D64" s="28" t="n"/>
      <c r="E64" s="28" t="n"/>
      <c r="F64" s="28" t="n"/>
      <c r="G64" s="28" t="n"/>
      <c r="H64" s="29" t="n"/>
      <c r="I64" s="29" t="n"/>
    </row>
    <row r="65">
      <c r="B65" s="28" t="n"/>
      <c r="C65" s="28" t="n"/>
      <c r="D65" s="28" t="n"/>
      <c r="E65" s="28" t="n"/>
      <c r="F65" s="28" t="n"/>
      <c r="G65" s="28" t="n"/>
      <c r="H65" s="29" t="n"/>
      <c r="I65" s="29" t="n"/>
    </row>
    <row r="66">
      <c r="B66" s="28" t="n"/>
      <c r="C66" s="28" t="n"/>
      <c r="D66" s="28" t="n"/>
      <c r="E66" s="28" t="n"/>
      <c r="F66" s="28" t="n"/>
      <c r="G66" s="28" t="n"/>
      <c r="H66" s="29" t="n"/>
      <c r="I66" s="29" t="n"/>
    </row>
    <row r="67">
      <c r="B67" s="28" t="n"/>
      <c r="C67" s="28" t="n"/>
      <c r="D67" s="28" t="n"/>
      <c r="E67" s="28" t="n"/>
      <c r="F67" s="28" t="n"/>
      <c r="G67" s="28" t="n"/>
      <c r="H67" s="29" t="n"/>
      <c r="I67" s="29" t="n"/>
    </row>
    <row r="68">
      <c r="B68" s="28" t="n"/>
      <c r="C68" s="28" t="n"/>
      <c r="D68" s="28" t="n"/>
      <c r="E68" s="28" t="n"/>
      <c r="F68" s="28" t="n"/>
      <c r="G68" s="28" t="n"/>
      <c r="H68" s="29" t="n"/>
      <c r="I68" s="29" t="n"/>
    </row>
    <row r="69">
      <c r="B69" s="28" t="n"/>
      <c r="C69" s="28" t="n"/>
      <c r="D69" s="28" t="n"/>
      <c r="E69" s="28" t="n"/>
      <c r="F69" s="28" t="n"/>
      <c r="G69" s="28" t="n"/>
      <c r="H69" s="29" t="n"/>
      <c r="I69" s="29" t="n"/>
    </row>
    <row r="70">
      <c r="B70" s="28" t="n"/>
      <c r="C70" s="28" t="n"/>
      <c r="D70" s="28" t="n"/>
      <c r="E70" s="28" t="n"/>
      <c r="F70" s="28" t="n"/>
      <c r="G70" s="28" t="n"/>
      <c r="H70" s="29" t="n"/>
      <c r="I70" s="29" t="n"/>
    </row>
    <row r="71">
      <c r="B71" s="28" t="n"/>
      <c r="C71" s="28" t="n"/>
      <c r="D71" s="28" t="n"/>
      <c r="E71" s="28" t="n"/>
      <c r="F71" s="28" t="n"/>
      <c r="G71" s="28" t="n"/>
      <c r="H71" s="29" t="n"/>
      <c r="I71" s="29" t="n"/>
    </row>
    <row r="72">
      <c r="B72" s="28" t="n"/>
      <c r="C72" s="28" t="n"/>
      <c r="D72" s="28" t="n"/>
      <c r="E72" s="28" t="n"/>
      <c r="F72" s="28" t="n"/>
      <c r="G72" s="28" t="n"/>
      <c r="H72" s="29" t="n"/>
      <c r="I72" s="29" t="n"/>
    </row>
    <row r="73">
      <c r="B73" s="28" t="n"/>
      <c r="C73" s="28" t="n"/>
      <c r="D73" s="28" t="n"/>
      <c r="E73" s="28" t="n"/>
      <c r="F73" s="28" t="n"/>
      <c r="G73" s="28" t="n"/>
      <c r="H73" s="29" t="n"/>
      <c r="I73" s="29" t="n"/>
    </row>
    <row r="74">
      <c r="B74" s="28" t="n"/>
      <c r="C74" s="28" t="n"/>
      <c r="D74" s="28" t="n"/>
      <c r="E74" s="28" t="n"/>
      <c r="F74" s="28" t="n"/>
      <c r="G74" s="28" t="n"/>
      <c r="H74" s="29" t="n"/>
      <c r="I74" s="29" t="n"/>
    </row>
    <row r="75">
      <c r="B75" s="28" t="n"/>
      <c r="C75" s="28" t="n"/>
      <c r="D75" s="28" t="n"/>
      <c r="E75" s="28" t="n"/>
      <c r="F75" s="28" t="n"/>
      <c r="G75" s="28" t="n"/>
      <c r="H75" s="29" t="n"/>
      <c r="I75" s="29" t="n"/>
    </row>
    <row r="76">
      <c r="B76" s="28" t="n"/>
      <c r="C76" s="28" t="n"/>
      <c r="D76" s="28" t="n"/>
      <c r="E76" s="28" t="n"/>
      <c r="F76" s="28" t="n"/>
      <c r="G76" s="28" t="n"/>
      <c r="H76" s="29" t="n"/>
      <c r="I76" s="29" t="n"/>
    </row>
    <row r="77">
      <c r="B77" s="28" t="n"/>
      <c r="C77" s="28" t="n"/>
      <c r="D77" s="28" t="n"/>
      <c r="E77" s="28" t="n"/>
      <c r="F77" s="28" t="n"/>
      <c r="G77" s="28" t="n"/>
      <c r="H77" s="29" t="n"/>
      <c r="I77" s="29" t="n"/>
    </row>
    <row r="78">
      <c r="B78" s="28" t="n"/>
      <c r="C78" s="28" t="n"/>
      <c r="D78" s="28" t="n"/>
      <c r="E78" s="28" t="n"/>
      <c r="F78" s="28" t="n"/>
      <c r="G78" s="28" t="n"/>
      <c r="H78" s="29" t="n"/>
      <c r="I78" s="29" t="n"/>
    </row>
    <row r="79">
      <c r="B79" s="28" t="n"/>
      <c r="C79" s="28" t="n"/>
      <c r="D79" s="28" t="n"/>
      <c r="E79" s="28" t="n"/>
      <c r="F79" s="28" t="n"/>
      <c r="G79" s="28" t="n"/>
      <c r="H79" s="29" t="n"/>
      <c r="I79" s="29" t="n"/>
    </row>
    <row r="80">
      <c r="B80" s="28" t="n"/>
      <c r="C80" s="28" t="n"/>
      <c r="D80" s="28" t="n"/>
      <c r="E80" s="28" t="n"/>
      <c r="F80" s="28" t="n"/>
      <c r="G80" s="28" t="n"/>
      <c r="H80" s="29" t="n"/>
      <c r="I80" s="29" t="n"/>
    </row>
    <row r="81">
      <c r="B81" s="28" t="n"/>
      <c r="C81" s="28" t="n"/>
      <c r="D81" s="28" t="n"/>
      <c r="E81" s="28" t="n"/>
      <c r="F81" s="28" t="n"/>
      <c r="G81" s="28" t="n"/>
      <c r="H81" s="29" t="n"/>
      <c r="I81" s="29" t="n"/>
    </row>
    <row r="82">
      <c r="B82" s="28" t="n"/>
      <c r="C82" s="28" t="n"/>
      <c r="D82" s="28" t="n"/>
      <c r="E82" s="28" t="n"/>
      <c r="F82" s="28" t="n"/>
      <c r="G82" s="28" t="n"/>
      <c r="H82" s="29" t="n"/>
      <c r="I82" s="29" t="n"/>
    </row>
    <row r="83">
      <c r="B83" s="28" t="n"/>
      <c r="C83" s="28" t="n"/>
      <c r="D83" s="28" t="n"/>
      <c r="E83" s="28" t="n"/>
      <c r="F83" s="28" t="n"/>
      <c r="G83" s="28" t="n"/>
      <c r="H83" s="29" t="n"/>
      <c r="I83" s="29" t="n"/>
    </row>
    <row r="84">
      <c r="B84" s="28" t="n"/>
      <c r="C84" s="28" t="n"/>
      <c r="D84" s="28" t="n"/>
      <c r="E84" s="28" t="n"/>
      <c r="F84" s="28" t="n"/>
      <c r="G84" s="28" t="n"/>
      <c r="H84" s="29" t="n"/>
      <c r="I84" s="29" t="n"/>
    </row>
    <row r="85">
      <c r="B85" s="28" t="n"/>
      <c r="C85" s="28" t="n"/>
      <c r="D85" s="28" t="n"/>
      <c r="E85" s="28" t="n"/>
      <c r="F85" s="28" t="n"/>
      <c r="G85" s="28" t="n"/>
      <c r="H85" s="29" t="n"/>
      <c r="I85" s="29" t="n"/>
    </row>
    <row r="86">
      <c r="B86" s="28" t="n"/>
      <c r="C86" s="28" t="n"/>
      <c r="D86" s="28" t="n"/>
      <c r="E86" s="28" t="n"/>
      <c r="F86" s="28" t="n"/>
      <c r="G86" s="28" t="n"/>
      <c r="H86" s="29" t="n"/>
      <c r="I86" s="29" t="n"/>
    </row>
    <row r="87">
      <c r="B87" s="28" t="n"/>
      <c r="C87" s="28" t="n"/>
      <c r="D87" s="28" t="n"/>
      <c r="E87" s="28" t="n"/>
      <c r="F87" s="28" t="n"/>
      <c r="G87" s="28" t="n"/>
      <c r="H87" s="29" t="n"/>
      <c r="I87" s="29" t="n"/>
    </row>
    <row r="88">
      <c r="B88" s="28" t="n"/>
      <c r="C88" s="28" t="n"/>
      <c r="D88" s="28" t="n"/>
      <c r="E88" s="28" t="n"/>
      <c r="F88" s="28" t="n"/>
      <c r="G88" s="28" t="n"/>
      <c r="H88" s="29" t="n"/>
      <c r="I88" s="29" t="n"/>
    </row>
    <row r="89">
      <c r="B89" s="28" t="n"/>
      <c r="C89" s="28" t="n"/>
      <c r="D89" s="28" t="n"/>
      <c r="E89" s="28" t="n"/>
      <c r="F89" s="28" t="n"/>
      <c r="G89" s="28" t="n"/>
      <c r="H89" s="29" t="n"/>
      <c r="I89" s="29" t="n"/>
    </row>
    <row r="90">
      <c r="B90" s="28" t="n"/>
      <c r="C90" s="28" t="n"/>
      <c r="D90" s="28" t="n"/>
      <c r="E90" s="28" t="n"/>
      <c r="F90" s="28" t="n"/>
      <c r="G90" s="28" t="n"/>
      <c r="H90" s="29" t="n"/>
      <c r="I90" s="29" t="n"/>
    </row>
    <row r="91">
      <c r="B91" s="28" t="n"/>
      <c r="C91" s="28" t="n"/>
      <c r="D91" s="28" t="n"/>
      <c r="E91" s="28" t="n"/>
      <c r="F91" s="28" t="n"/>
      <c r="G91" s="28" t="n"/>
      <c r="H91" s="29" t="n"/>
      <c r="I91" s="29" t="n"/>
    </row>
    <row r="92">
      <c r="B92" s="28" t="n"/>
      <c r="C92" s="28" t="n"/>
      <c r="D92" s="28" t="n"/>
      <c r="E92" s="28" t="n"/>
      <c r="F92" s="28" t="n"/>
      <c r="G92" s="28" t="n"/>
      <c r="H92" s="29" t="n"/>
      <c r="I92" s="29" t="n"/>
    </row>
    <row r="93">
      <c r="B93" s="28" t="n"/>
      <c r="C93" s="28" t="n"/>
      <c r="D93" s="28" t="n"/>
      <c r="E93" s="28" t="n"/>
      <c r="F93" s="28" t="n"/>
      <c r="G93" s="28" t="n"/>
      <c r="H93" s="29" t="n"/>
      <c r="I93" s="29" t="n"/>
    </row>
    <row r="94">
      <c r="B94" s="28" t="n"/>
      <c r="C94" s="28" t="n"/>
      <c r="D94" s="28" t="n"/>
      <c r="E94" s="28" t="n"/>
      <c r="F94" s="28" t="n"/>
      <c r="G94" s="28" t="n"/>
      <c r="H94" s="29" t="n"/>
      <c r="I94" s="29" t="n"/>
    </row>
    <row r="95">
      <c r="B95" s="28" t="n"/>
      <c r="C95" s="28" t="n"/>
      <c r="D95" s="28" t="n"/>
      <c r="E95" s="28" t="n"/>
      <c r="F95" s="28" t="n"/>
      <c r="G95" s="28" t="n"/>
      <c r="H95" s="29" t="n"/>
      <c r="I95" s="29" t="n"/>
    </row>
    <row r="96">
      <c r="B96" s="28" t="n"/>
      <c r="C96" s="28" t="n"/>
      <c r="D96" s="28" t="n"/>
      <c r="E96" s="28" t="n"/>
      <c r="F96" s="28" t="n"/>
      <c r="G96" s="28" t="n"/>
      <c r="H96" s="29" t="n"/>
      <c r="I96" s="29" t="n"/>
    </row>
    <row r="97">
      <c r="B97" s="28" t="n"/>
      <c r="C97" s="28" t="n"/>
      <c r="D97" s="28" t="n"/>
      <c r="E97" s="28" t="n"/>
      <c r="F97" s="28" t="n"/>
      <c r="G97" s="28" t="n"/>
      <c r="H97" s="29" t="n"/>
      <c r="I97" s="29" t="n"/>
    </row>
    <row r="98">
      <c r="B98" s="28" t="n"/>
      <c r="C98" s="28" t="n"/>
      <c r="D98" s="28" t="n"/>
      <c r="E98" s="28" t="n"/>
      <c r="F98" s="28" t="n"/>
      <c r="G98" s="28" t="n"/>
      <c r="H98" s="29" t="n"/>
      <c r="I98" s="29" t="n"/>
    </row>
    <row r="99">
      <c r="B99" s="28" t="n"/>
      <c r="C99" s="28" t="n"/>
      <c r="D99" s="28" t="n"/>
      <c r="E99" s="28" t="n"/>
      <c r="F99" s="28" t="n"/>
      <c r="G99" s="28" t="n"/>
      <c r="H99" s="29" t="n"/>
      <c r="I99" s="29" t="n"/>
    </row>
    <row r="100">
      <c r="B100" s="28" t="n"/>
      <c r="C100" s="28" t="n"/>
      <c r="D100" s="28" t="n"/>
      <c r="E100" s="28" t="n"/>
      <c r="F100" s="28" t="n"/>
      <c r="G100" s="28" t="n"/>
      <c r="H100" s="29" t="n"/>
      <c r="I100" s="29" t="n"/>
    </row>
    <row r="101">
      <c r="B101" s="28" t="n"/>
      <c r="C101" s="28" t="n"/>
      <c r="D101" s="28" t="n"/>
      <c r="E101" s="28" t="n"/>
      <c r="F101" s="28" t="n"/>
      <c r="G101" s="28" t="n"/>
      <c r="H101" s="29" t="n"/>
      <c r="I101" s="29" t="n"/>
    </row>
    <row r="102">
      <c r="B102" s="28" t="n"/>
      <c r="C102" s="28" t="n"/>
      <c r="D102" s="28" t="n"/>
      <c r="E102" s="28" t="n"/>
      <c r="F102" s="28" t="n"/>
      <c r="G102" s="28" t="n"/>
      <c r="H102" s="29" t="n"/>
      <c r="I102" s="29" t="n"/>
    </row>
    <row r="103">
      <c r="B103" s="28" t="n"/>
      <c r="C103" s="28" t="n"/>
      <c r="D103" s="28" t="n"/>
      <c r="E103" s="28" t="n"/>
      <c r="F103" s="28" t="n"/>
      <c r="G103" s="28" t="n"/>
      <c r="H103" s="29" t="n"/>
      <c r="I103" s="29" t="n"/>
    </row>
    <row r="104">
      <c r="B104" s="28" t="n"/>
      <c r="C104" s="28" t="n"/>
      <c r="D104" s="28" t="n"/>
      <c r="E104" s="28" t="n"/>
      <c r="F104" s="28" t="n"/>
      <c r="G104" s="28" t="n"/>
      <c r="H104" s="29" t="n"/>
      <c r="I104" s="29" t="n"/>
    </row>
    <row r="105">
      <c r="B105" s="28" t="n"/>
      <c r="C105" s="28" t="n"/>
      <c r="D105" s="28" t="n"/>
      <c r="E105" s="28" t="n"/>
      <c r="F105" s="28" t="n"/>
      <c r="G105" s="28" t="n"/>
      <c r="H105" s="29" t="n"/>
      <c r="I105" s="29" t="n"/>
    </row>
    <row r="106">
      <c r="B106" s="28" t="n"/>
      <c r="C106" s="28" t="n"/>
      <c r="D106" s="28" t="n"/>
      <c r="E106" s="28" t="n"/>
      <c r="F106" s="28" t="n"/>
      <c r="G106" s="28" t="n"/>
      <c r="H106" s="29" t="n"/>
      <c r="I106" s="29" t="n"/>
    </row>
    <row r="107">
      <c r="B107" s="28" t="n"/>
      <c r="C107" s="28" t="n"/>
      <c r="D107" s="28" t="n"/>
      <c r="E107" s="28" t="n"/>
      <c r="F107" s="28" t="n"/>
      <c r="G107" s="28" t="n"/>
      <c r="H107" s="29" t="n"/>
      <c r="I107" s="29" t="n"/>
    </row>
    <row r="108">
      <c r="B108" s="28" t="n"/>
      <c r="C108" s="28" t="n"/>
      <c r="D108" s="28" t="n"/>
      <c r="E108" s="28" t="n"/>
      <c r="F108" s="28" t="n"/>
      <c r="G108" s="28" t="n"/>
      <c r="H108" s="29" t="n"/>
      <c r="I108" s="29" t="n"/>
    </row>
    <row r="109">
      <c r="B109" s="28" t="n"/>
      <c r="C109" s="28" t="n"/>
      <c r="D109" s="28" t="n"/>
      <c r="E109" s="28" t="n"/>
      <c r="F109" s="28" t="n"/>
      <c r="G109" s="28" t="n"/>
      <c r="H109" s="29" t="n"/>
      <c r="I109" s="29" t="n"/>
    </row>
    <row r="110">
      <c r="B110" s="28" t="n"/>
      <c r="C110" s="28" t="n"/>
      <c r="D110" s="28" t="n"/>
      <c r="E110" s="28" t="n"/>
      <c r="F110" s="28" t="n"/>
      <c r="G110" s="28" t="n"/>
      <c r="H110" s="29" t="n"/>
      <c r="I110" s="29" t="n"/>
    </row>
    <row r="111">
      <c r="B111" s="28" t="n"/>
      <c r="C111" s="28" t="n"/>
      <c r="D111" s="28" t="n"/>
      <c r="E111" s="28" t="n"/>
      <c r="F111" s="28" t="n"/>
      <c r="G111" s="28" t="n"/>
      <c r="H111" s="29" t="n"/>
      <c r="I111" s="29" t="n"/>
    </row>
    <row r="112">
      <c r="B112" s="28" t="n"/>
      <c r="C112" s="28" t="n"/>
      <c r="D112" s="28" t="n"/>
      <c r="E112" s="28" t="n"/>
      <c r="F112" s="28" t="n"/>
      <c r="G112" s="28" t="n"/>
      <c r="H112" s="29" t="n"/>
      <c r="I112" s="29" t="n"/>
    </row>
    <row r="113">
      <c r="B113" s="28" t="n"/>
      <c r="C113" s="28" t="n"/>
      <c r="D113" s="28" t="n"/>
      <c r="E113" s="28" t="n"/>
      <c r="F113" s="28" t="n"/>
      <c r="G113" s="28" t="n"/>
      <c r="H113" s="29" t="n"/>
      <c r="I113" s="29" t="n"/>
    </row>
    <row r="114">
      <c r="B114" s="28" t="n"/>
      <c r="C114" s="28" t="n"/>
      <c r="D114" s="28" t="n"/>
      <c r="E114" s="28" t="n"/>
      <c r="F114" s="28" t="n"/>
      <c r="G114" s="28" t="n"/>
      <c r="H114" s="29" t="n"/>
      <c r="I114" s="29" t="n"/>
    </row>
    <row r="115">
      <c r="B115" s="28" t="n"/>
      <c r="C115" s="28" t="n"/>
      <c r="D115" s="28" t="n"/>
      <c r="E115" s="28" t="n"/>
      <c r="F115" s="28" t="n"/>
      <c r="G115" s="28" t="n"/>
      <c r="H115" s="29" t="n"/>
      <c r="I115" s="29" t="n"/>
    </row>
    <row r="116">
      <c r="B116" s="28" t="n"/>
      <c r="C116" s="28" t="n"/>
      <c r="D116" s="28" t="n"/>
      <c r="E116" s="28" t="n"/>
      <c r="F116" s="28" t="n"/>
      <c r="G116" s="28" t="n"/>
      <c r="H116" s="29" t="n"/>
      <c r="I116" s="29" t="n"/>
    </row>
    <row r="117">
      <c r="B117" s="28" t="n"/>
      <c r="C117" s="28" t="n"/>
      <c r="D117" s="28" t="n"/>
      <c r="E117" s="28" t="n"/>
      <c r="F117" s="28" t="n"/>
      <c r="G117" s="28" t="n"/>
      <c r="H117" s="29" t="n"/>
      <c r="I117" s="29" t="n"/>
    </row>
    <row r="118">
      <c r="B118" s="28" t="n"/>
      <c r="C118" s="28" t="n"/>
      <c r="D118" s="28" t="n"/>
      <c r="E118" s="28" t="n"/>
      <c r="F118" s="28" t="n"/>
      <c r="G118" s="28" t="n"/>
      <c r="H118" s="29" t="n"/>
      <c r="I118" s="29" t="n"/>
    </row>
    <row r="119">
      <c r="B119" s="28" t="n"/>
      <c r="C119" s="28" t="n"/>
      <c r="D119" s="28" t="n"/>
      <c r="E119" s="28" t="n"/>
      <c r="F119" s="28" t="n"/>
      <c r="G119" s="28" t="n"/>
      <c r="H119" s="29" t="n"/>
      <c r="I119" s="29" t="n"/>
    </row>
    <row r="120">
      <c r="B120" s="28" t="n"/>
      <c r="C120" s="28" t="n"/>
      <c r="D120" s="28" t="n"/>
      <c r="E120" s="28" t="n"/>
      <c r="F120" s="28" t="n"/>
      <c r="G120" s="28" t="n"/>
      <c r="H120" s="29" t="n"/>
      <c r="I120" s="29" t="n"/>
    </row>
    <row r="121">
      <c r="B121" s="28" t="n"/>
      <c r="C121" s="28" t="n"/>
      <c r="D121" s="28" t="n"/>
      <c r="E121" s="28" t="n"/>
      <c r="F121" s="28" t="n"/>
      <c r="G121" s="28" t="n"/>
      <c r="H121" s="29" t="n"/>
      <c r="I121" s="29" t="n"/>
    </row>
    <row r="122">
      <c r="B122" s="28" t="n"/>
      <c r="C122" s="28" t="n"/>
      <c r="D122" s="28" t="n"/>
      <c r="E122" s="28" t="n"/>
      <c r="F122" s="28" t="n"/>
      <c r="G122" s="28" t="n"/>
      <c r="H122" s="29" t="n"/>
      <c r="I122" s="29" t="n"/>
    </row>
    <row r="123">
      <c r="B123" s="28" t="n"/>
      <c r="C123" s="28" t="n"/>
      <c r="D123" s="28" t="n"/>
      <c r="E123" s="28" t="n"/>
      <c r="F123" s="28" t="n"/>
      <c r="G123" s="28" t="n"/>
      <c r="H123" s="29" t="n"/>
      <c r="I123" s="29" t="n"/>
    </row>
    <row r="124">
      <c r="B124" s="28" t="n"/>
      <c r="C124" s="28" t="n"/>
      <c r="D124" s="28" t="n"/>
      <c r="E124" s="28" t="n"/>
      <c r="F124" s="28" t="n"/>
      <c r="G124" s="28" t="n"/>
      <c r="H124" s="29" t="n"/>
      <c r="I124" s="29" t="n"/>
    </row>
    <row r="125">
      <c r="B125" s="28" t="n"/>
      <c r="C125" s="28" t="n"/>
      <c r="D125" s="28" t="n"/>
      <c r="E125" s="28" t="n"/>
      <c r="F125" s="28" t="n"/>
      <c r="G125" s="28" t="n"/>
      <c r="H125" s="29" t="n"/>
      <c r="I125" s="29" t="n"/>
    </row>
    <row r="126">
      <c r="B126" s="28" t="n"/>
      <c r="C126" s="28" t="n"/>
      <c r="D126" s="28" t="n"/>
      <c r="E126" s="28" t="n"/>
      <c r="F126" s="28" t="n"/>
      <c r="G126" s="28" t="n"/>
      <c r="H126" s="29" t="n"/>
      <c r="I126" s="29" t="n"/>
    </row>
    <row r="127">
      <c r="B127" s="28" t="n"/>
      <c r="C127" s="28" t="n"/>
      <c r="D127" s="28" t="n"/>
      <c r="E127" s="28" t="n"/>
      <c r="F127" s="28" t="n"/>
      <c r="G127" s="28" t="n"/>
      <c r="H127" s="29" t="n"/>
      <c r="I127" s="29" t="n"/>
    </row>
    <row r="128">
      <c r="B128" s="28" t="n"/>
      <c r="C128" s="28" t="n"/>
      <c r="D128" s="28" t="n"/>
      <c r="E128" s="28" t="n"/>
      <c r="F128" s="28" t="n"/>
      <c r="G128" s="28" t="n"/>
      <c r="H128" s="29" t="n"/>
      <c r="I128" s="29" t="n"/>
    </row>
    <row r="129">
      <c r="B129" s="28" t="n"/>
      <c r="C129" s="28" t="n"/>
      <c r="D129" s="28" t="n"/>
      <c r="E129" s="28" t="n"/>
      <c r="F129" s="28" t="n"/>
      <c r="G129" s="28" t="n"/>
      <c r="H129" s="29" t="n"/>
      <c r="I129" s="29" t="n"/>
    </row>
    <row r="130">
      <c r="B130" s="28" t="n"/>
      <c r="C130" s="28" t="n"/>
      <c r="D130" s="28" t="n"/>
      <c r="E130" s="28" t="n"/>
      <c r="F130" s="28" t="n"/>
      <c r="G130" s="28" t="n"/>
      <c r="H130" s="29" t="n"/>
      <c r="I130" s="29" t="n"/>
    </row>
    <row r="131">
      <c r="B131" s="28" t="n"/>
      <c r="C131" s="28" t="n"/>
      <c r="D131" s="28" t="n"/>
      <c r="E131" s="28" t="n"/>
      <c r="F131" s="28" t="n"/>
      <c r="G131" s="28" t="n"/>
      <c r="H131" s="29" t="n"/>
      <c r="I131" s="29" t="n"/>
    </row>
    <row r="132">
      <c r="B132" s="28" t="n"/>
      <c r="C132" s="28" t="n"/>
      <c r="D132" s="28" t="n"/>
      <c r="E132" s="28" t="n"/>
      <c r="F132" s="28" t="n"/>
      <c r="G132" s="28" t="n"/>
      <c r="H132" s="29" t="n"/>
      <c r="I132" s="29" t="n"/>
    </row>
    <row r="133">
      <c r="B133" s="28" t="n"/>
      <c r="C133" s="28" t="n"/>
      <c r="D133" s="28" t="n"/>
      <c r="E133" s="28" t="n"/>
      <c r="F133" s="28" t="n"/>
      <c r="G133" s="28" t="n"/>
      <c r="H133" s="29" t="n"/>
      <c r="I133" s="29" t="n"/>
    </row>
    <row r="134">
      <c r="B134" s="28" t="n"/>
      <c r="C134" s="28" t="n"/>
      <c r="D134" s="28" t="n"/>
      <c r="E134" s="28" t="n"/>
      <c r="F134" s="28" t="n"/>
      <c r="G134" s="28" t="n"/>
      <c r="H134" s="29" t="n"/>
      <c r="I134" s="29" t="n"/>
    </row>
    <row r="135">
      <c r="B135" s="28" t="n"/>
      <c r="C135" s="28" t="n"/>
      <c r="D135" s="28" t="n"/>
      <c r="E135" s="28" t="n"/>
      <c r="F135" s="28" t="n"/>
      <c r="G135" s="28" t="n"/>
      <c r="H135" s="29" t="n"/>
      <c r="I135" s="29" t="n"/>
    </row>
    <row r="136">
      <c r="B136" s="28" t="n"/>
      <c r="C136" s="28" t="n"/>
      <c r="D136" s="28" t="n"/>
      <c r="E136" s="28" t="n"/>
      <c r="F136" s="28" t="n"/>
      <c r="G136" s="28" t="n"/>
      <c r="H136" s="29" t="n"/>
      <c r="I136" s="29" t="n"/>
    </row>
    <row r="137">
      <c r="B137" s="28" t="n"/>
      <c r="C137" s="28" t="n"/>
      <c r="D137" s="28" t="n"/>
      <c r="E137" s="28" t="n"/>
      <c r="F137" s="28" t="n"/>
      <c r="G137" s="28" t="n"/>
      <c r="H137" s="29" t="n"/>
      <c r="I137" s="29" t="n"/>
    </row>
    <row r="138">
      <c r="B138" s="28" t="n"/>
      <c r="C138" s="28" t="n"/>
      <c r="D138" s="28" t="n"/>
      <c r="E138" s="28" t="n"/>
      <c r="F138" s="28" t="n"/>
      <c r="G138" s="28" t="n"/>
      <c r="H138" s="29" t="n"/>
      <c r="I138" s="29" t="n"/>
    </row>
    <row r="139">
      <c r="B139" s="28" t="n"/>
      <c r="C139" s="28" t="n"/>
      <c r="D139" s="28" t="n"/>
      <c r="E139" s="28" t="n"/>
      <c r="F139" s="28" t="n"/>
      <c r="G139" s="28" t="n"/>
      <c r="H139" s="29" t="n"/>
      <c r="I139" s="29" t="n"/>
    </row>
    <row r="140">
      <c r="B140" s="28" t="n"/>
      <c r="C140" s="28" t="n"/>
      <c r="D140" s="28" t="n"/>
      <c r="E140" s="28" t="n"/>
      <c r="F140" s="28" t="n"/>
      <c r="G140" s="28" t="n"/>
      <c r="H140" s="29" t="n"/>
      <c r="I140" s="29" t="n"/>
    </row>
    <row r="141">
      <c r="B141" s="28" t="n"/>
      <c r="C141" s="28" t="n"/>
      <c r="D141" s="28" t="n"/>
      <c r="E141" s="28" t="n"/>
      <c r="F141" s="28" t="n"/>
      <c r="G141" s="28" t="n"/>
      <c r="H141" s="29" t="n"/>
      <c r="I141" s="29" t="n"/>
    </row>
    <row r="142">
      <c r="B142" s="28" t="n"/>
      <c r="C142" s="28" t="n"/>
      <c r="D142" s="28" t="n"/>
      <c r="E142" s="28" t="n"/>
      <c r="F142" s="28" t="n"/>
      <c r="G142" s="28" t="n"/>
      <c r="H142" s="29" t="n"/>
      <c r="I142" s="29" t="n"/>
    </row>
    <row r="143">
      <c r="B143" s="28" t="n"/>
      <c r="C143" s="28" t="n"/>
      <c r="D143" s="28" t="n"/>
      <c r="E143" s="28" t="n"/>
      <c r="F143" s="28" t="n"/>
      <c r="G143" s="28" t="n"/>
      <c r="H143" s="29" t="n"/>
      <c r="I143" s="29" t="n"/>
    </row>
    <row r="144">
      <c r="B144" s="28" t="n"/>
      <c r="C144" s="28" t="n"/>
      <c r="D144" s="28" t="n"/>
      <c r="E144" s="28" t="n"/>
      <c r="F144" s="28" t="n"/>
      <c r="G144" s="28" t="n"/>
      <c r="H144" s="29" t="n"/>
      <c r="I144" s="29" t="n"/>
    </row>
    <row r="145">
      <c r="B145" s="28" t="n"/>
      <c r="C145" s="28" t="n"/>
      <c r="D145" s="28" t="n"/>
      <c r="E145" s="28" t="n"/>
      <c r="F145" s="28" t="n"/>
      <c r="G145" s="28" t="n"/>
      <c r="H145" s="29" t="n"/>
      <c r="I145" s="29" t="n"/>
    </row>
    <row r="146">
      <c r="B146" s="28" t="n"/>
      <c r="C146" s="28" t="n"/>
      <c r="D146" s="28" t="n"/>
      <c r="E146" s="28" t="n"/>
      <c r="F146" s="28" t="n"/>
      <c r="G146" s="28" t="n"/>
      <c r="H146" s="29" t="n"/>
      <c r="I146" s="29" t="n"/>
    </row>
    <row r="147">
      <c r="B147" s="28" t="n"/>
      <c r="C147" s="28" t="n"/>
      <c r="D147" s="28" t="n"/>
      <c r="E147" s="28" t="n"/>
      <c r="F147" s="28" t="n"/>
      <c r="G147" s="28" t="n"/>
      <c r="H147" s="29" t="n"/>
      <c r="I147" s="29" t="n"/>
    </row>
    <row r="148">
      <c r="B148" s="28" t="n"/>
      <c r="C148" s="28" t="n"/>
      <c r="D148" s="28" t="n"/>
      <c r="E148" s="28" t="n"/>
      <c r="F148" s="28" t="n"/>
      <c r="G148" s="28" t="n"/>
      <c r="H148" s="29" t="n"/>
      <c r="I148" s="29" t="n"/>
    </row>
    <row r="149">
      <c r="B149" s="28" t="n"/>
      <c r="C149" s="28" t="n"/>
      <c r="D149" s="28" t="n"/>
      <c r="E149" s="28" t="n"/>
      <c r="F149" s="28" t="n"/>
      <c r="G149" s="28" t="n"/>
      <c r="H149" s="29" t="n"/>
      <c r="I149" s="29" t="n"/>
    </row>
    <row r="150">
      <c r="B150" s="28" t="n"/>
      <c r="C150" s="28" t="n"/>
      <c r="D150" s="28" t="n"/>
      <c r="E150" s="28" t="n"/>
      <c r="F150" s="28" t="n"/>
      <c r="G150" s="28" t="n"/>
      <c r="H150" s="29" t="n"/>
      <c r="I150" s="29" t="n"/>
    </row>
    <row r="151">
      <c r="B151" s="28" t="n"/>
      <c r="C151" s="28" t="n"/>
      <c r="D151" s="28" t="n"/>
      <c r="E151" s="28" t="n"/>
      <c r="F151" s="28" t="n"/>
      <c r="G151" s="28" t="n"/>
      <c r="H151" s="29" t="n"/>
      <c r="I151" s="29" t="n"/>
    </row>
    <row r="152">
      <c r="B152" s="28" t="n"/>
      <c r="C152" s="28" t="n"/>
      <c r="D152" s="28" t="n"/>
      <c r="E152" s="28" t="n"/>
      <c r="F152" s="28" t="n"/>
      <c r="G152" s="28" t="n"/>
      <c r="H152" s="29" t="n"/>
      <c r="I152" s="29" t="n"/>
    </row>
    <row r="153">
      <c r="B153" s="28" t="n"/>
      <c r="C153" s="28" t="n"/>
      <c r="D153" s="28" t="n"/>
      <c r="E153" s="28" t="n"/>
      <c r="F153" s="28" t="n"/>
      <c r="G153" s="28" t="n"/>
      <c r="H153" s="29" t="n"/>
      <c r="I153" s="29" t="n"/>
    </row>
    <row r="154">
      <c r="B154" s="28" t="n"/>
      <c r="C154" s="28" t="n"/>
      <c r="D154" s="28" t="n"/>
      <c r="E154" s="28" t="n"/>
      <c r="F154" s="28" t="n"/>
      <c r="G154" s="28" t="n"/>
      <c r="H154" s="29" t="n"/>
      <c r="I154" s="29" t="n"/>
    </row>
    <row r="155">
      <c r="B155" s="28" t="n"/>
      <c r="C155" s="28" t="n"/>
      <c r="D155" s="28" t="n"/>
      <c r="E155" s="28" t="n"/>
      <c r="F155" s="28" t="n"/>
      <c r="G155" s="28" t="n"/>
      <c r="H155" s="29" t="n"/>
      <c r="I155" s="29" t="n"/>
    </row>
    <row r="156">
      <c r="B156" s="28" t="n"/>
      <c r="C156" s="28" t="n"/>
      <c r="D156" s="28" t="n"/>
      <c r="E156" s="28" t="n"/>
      <c r="F156" s="28" t="n"/>
      <c r="G156" s="28" t="n"/>
      <c r="H156" s="29" t="n"/>
      <c r="I156" s="29" t="n"/>
    </row>
    <row r="157">
      <c r="B157" s="28" t="n"/>
      <c r="C157" s="28" t="n"/>
      <c r="D157" s="28" t="n"/>
      <c r="E157" s="28" t="n"/>
      <c r="F157" s="28" t="n"/>
      <c r="G157" s="28" t="n"/>
      <c r="H157" s="29" t="n"/>
      <c r="I157" s="29" t="n"/>
    </row>
    <row r="158">
      <c r="B158" s="28" t="n"/>
      <c r="C158" s="28" t="n"/>
      <c r="D158" s="28" t="n"/>
      <c r="E158" s="28" t="n"/>
      <c r="F158" s="28" t="n"/>
      <c r="G158" s="28" t="n"/>
      <c r="H158" s="29" t="n"/>
      <c r="I158" s="29" t="n"/>
    </row>
    <row r="159">
      <c r="B159" s="28" t="n"/>
      <c r="C159" s="28" t="n"/>
      <c r="D159" s="28" t="n"/>
      <c r="E159" s="28" t="n"/>
      <c r="F159" s="28" t="n"/>
      <c r="G159" s="28" t="n"/>
      <c r="H159" s="29" t="n"/>
      <c r="I159" s="29" t="n"/>
    </row>
    <row r="160">
      <c r="B160" s="28" t="n"/>
      <c r="C160" s="28" t="n"/>
      <c r="D160" s="28" t="n"/>
      <c r="E160" s="28" t="n"/>
      <c r="F160" s="28" t="n"/>
      <c r="G160" s="28" t="n"/>
      <c r="H160" s="29" t="n"/>
      <c r="I160" s="29" t="n"/>
    </row>
    <row r="161">
      <c r="B161" s="28" t="n"/>
      <c r="C161" s="28" t="n"/>
      <c r="D161" s="28" t="n"/>
      <c r="E161" s="28" t="n"/>
      <c r="F161" s="28" t="n"/>
      <c r="G161" s="28" t="n"/>
      <c r="H161" s="29" t="n"/>
      <c r="I161" s="29" t="n"/>
    </row>
    <row r="162">
      <c r="B162" s="28" t="n"/>
      <c r="C162" s="28" t="n"/>
      <c r="D162" s="28" t="n"/>
      <c r="E162" s="28" t="n"/>
      <c r="F162" s="28" t="n"/>
      <c r="G162" s="28" t="n"/>
      <c r="H162" s="29" t="n"/>
      <c r="I162" s="29" t="n"/>
    </row>
    <row r="163">
      <c r="B163" s="28" t="n"/>
      <c r="C163" s="28" t="n"/>
      <c r="D163" s="28" t="n"/>
      <c r="E163" s="28" t="n"/>
      <c r="F163" s="28" t="n"/>
      <c r="G163" s="28" t="n"/>
      <c r="H163" s="29" t="n"/>
      <c r="I163" s="29" t="n"/>
    </row>
    <row r="164">
      <c r="B164" s="28" t="n"/>
      <c r="C164" s="28" t="n"/>
      <c r="D164" s="28" t="n"/>
      <c r="E164" s="28" t="n"/>
      <c r="F164" s="28" t="n"/>
      <c r="G164" s="28" t="n"/>
      <c r="H164" s="29" t="n"/>
      <c r="I164" s="29" t="n"/>
    </row>
    <row r="165">
      <c r="B165" s="28" t="n"/>
      <c r="C165" s="28" t="n"/>
      <c r="D165" s="28" t="n"/>
      <c r="E165" s="28" t="n"/>
      <c r="F165" s="28" t="n"/>
      <c r="G165" s="28" t="n"/>
      <c r="H165" s="29" t="n"/>
      <c r="I165" s="29" t="n"/>
    </row>
    <row r="166">
      <c r="B166" s="28" t="n"/>
      <c r="C166" s="28" t="n"/>
      <c r="D166" s="28" t="n"/>
      <c r="E166" s="28" t="n"/>
      <c r="F166" s="28" t="n"/>
      <c r="G166" s="28" t="n"/>
      <c r="H166" s="29" t="n"/>
      <c r="I166" s="29" t="n"/>
    </row>
    <row r="167">
      <c r="B167" s="28" t="n"/>
      <c r="C167" s="28" t="n"/>
      <c r="D167" s="28" t="n"/>
      <c r="E167" s="28" t="n"/>
      <c r="F167" s="28" t="n"/>
      <c r="G167" s="28" t="n"/>
      <c r="H167" s="29" t="n"/>
      <c r="I167" s="29" t="n"/>
    </row>
    <row r="168">
      <c r="B168" s="28" t="n"/>
      <c r="C168" s="28" t="n"/>
      <c r="D168" s="28" t="n"/>
      <c r="E168" s="28" t="n"/>
      <c r="F168" s="28" t="n"/>
      <c r="G168" s="28" t="n"/>
      <c r="H168" s="29" t="n"/>
      <c r="I168" s="29" t="n"/>
    </row>
    <row r="169">
      <c r="B169" s="28" t="n"/>
      <c r="C169" s="28" t="n"/>
      <c r="D169" s="28" t="n"/>
      <c r="E169" s="28" t="n"/>
      <c r="F169" s="28" t="n"/>
      <c r="G169" s="28" t="n"/>
      <c r="H169" s="29" t="n"/>
      <c r="I169" s="29" t="n"/>
    </row>
    <row r="170">
      <c r="B170" s="28" t="n"/>
      <c r="C170" s="28" t="n"/>
      <c r="D170" s="28" t="n"/>
      <c r="E170" s="28" t="n"/>
      <c r="F170" s="28" t="n"/>
      <c r="G170" s="28" t="n"/>
      <c r="H170" s="29" t="n"/>
      <c r="I170" s="29" t="n"/>
    </row>
    <row r="171">
      <c r="B171" s="28" t="n"/>
      <c r="C171" s="28" t="n"/>
      <c r="D171" s="28" t="n"/>
      <c r="E171" s="28" t="n"/>
      <c r="F171" s="28" t="n"/>
      <c r="G171" s="28" t="n"/>
      <c r="H171" s="29" t="n"/>
      <c r="I171" s="29" t="n"/>
    </row>
    <row r="172">
      <c r="B172" s="28" t="n"/>
      <c r="C172" s="28" t="n"/>
      <c r="D172" s="28" t="n"/>
      <c r="E172" s="28" t="n"/>
      <c r="F172" s="28" t="n"/>
      <c r="G172" s="28" t="n"/>
      <c r="H172" s="29" t="n"/>
      <c r="I172" s="29" t="n"/>
    </row>
    <row r="173">
      <c r="B173" s="28" t="n"/>
      <c r="C173" s="28" t="n"/>
      <c r="D173" s="28" t="n"/>
      <c r="E173" s="28" t="n"/>
      <c r="F173" s="28" t="n"/>
      <c r="G173" s="28" t="n"/>
      <c r="H173" s="29" t="n"/>
      <c r="I173" s="29" t="n"/>
    </row>
    <row r="174">
      <c r="B174" s="28" t="n"/>
      <c r="C174" s="28" t="n"/>
      <c r="D174" s="28" t="n"/>
      <c r="E174" s="28" t="n"/>
      <c r="F174" s="28" t="n"/>
      <c r="G174" s="28" t="n"/>
      <c r="H174" s="29" t="n"/>
      <c r="I174" s="29" t="n"/>
    </row>
    <row r="175">
      <c r="B175" s="28" t="n"/>
      <c r="C175" s="28" t="n"/>
      <c r="D175" s="28" t="n"/>
      <c r="E175" s="28" t="n"/>
      <c r="F175" s="28" t="n"/>
      <c r="G175" s="28" t="n"/>
      <c r="H175" s="29" t="n"/>
      <c r="I175" s="29" t="n"/>
    </row>
    <row r="176">
      <c r="B176" s="28" t="n"/>
      <c r="C176" s="28" t="n"/>
      <c r="D176" s="28" t="n"/>
      <c r="E176" s="28" t="n"/>
      <c r="F176" s="28" t="n"/>
      <c r="G176" s="28" t="n"/>
      <c r="H176" s="29" t="n"/>
      <c r="I176" s="29" t="n"/>
    </row>
    <row r="177">
      <c r="B177" s="28" t="n"/>
      <c r="C177" s="28" t="n"/>
      <c r="D177" s="28" t="n"/>
      <c r="E177" s="28" t="n"/>
      <c r="F177" s="28" t="n"/>
      <c r="G177" s="28" t="n"/>
      <c r="H177" s="29" t="n"/>
      <c r="I177" s="29" t="n"/>
    </row>
    <row r="178">
      <c r="B178" s="28" t="n"/>
      <c r="C178" s="28" t="n"/>
      <c r="D178" s="28" t="n"/>
      <c r="E178" s="28" t="n"/>
      <c r="F178" s="28" t="n"/>
      <c r="G178" s="28" t="n"/>
      <c r="H178" s="29" t="n"/>
      <c r="I178" s="29" t="n"/>
    </row>
    <row r="179">
      <c r="B179" s="28" t="n"/>
      <c r="C179" s="28" t="n"/>
      <c r="D179" s="28" t="n"/>
      <c r="E179" s="28" t="n"/>
      <c r="F179" s="28" t="n"/>
      <c r="G179" s="28" t="n"/>
      <c r="H179" s="29" t="n"/>
      <c r="I179" s="29" t="n"/>
    </row>
    <row r="180">
      <c r="B180" s="28" t="n"/>
      <c r="C180" s="28" t="n"/>
      <c r="D180" s="28" t="n"/>
      <c r="E180" s="28" t="n"/>
      <c r="F180" s="28" t="n"/>
      <c r="G180" s="28" t="n"/>
      <c r="H180" s="29" t="n"/>
      <c r="I180" s="29" t="n"/>
    </row>
    <row r="181">
      <c r="B181" s="28" t="n"/>
      <c r="C181" s="28" t="n"/>
      <c r="D181" s="28" t="n"/>
      <c r="E181" s="28" t="n"/>
      <c r="F181" s="28" t="n"/>
      <c r="G181" s="28" t="n"/>
      <c r="H181" s="29" t="n"/>
      <c r="I181" s="29" t="n"/>
    </row>
    <row r="182">
      <c r="B182" s="28" t="n"/>
      <c r="C182" s="28" t="n"/>
      <c r="D182" s="28" t="n"/>
      <c r="E182" s="28" t="n"/>
      <c r="F182" s="28" t="n"/>
      <c r="G182" s="28" t="n"/>
      <c r="H182" s="29" t="n"/>
      <c r="I182" s="29" t="n"/>
    </row>
    <row r="183">
      <c r="B183" s="28" t="n"/>
      <c r="C183" s="28" t="n"/>
      <c r="D183" s="28" t="n"/>
      <c r="E183" s="28" t="n"/>
      <c r="F183" s="28" t="n"/>
      <c r="G183" s="28" t="n"/>
      <c r="H183" s="29" t="n"/>
      <c r="I183" s="29" t="n"/>
    </row>
    <row r="184">
      <c r="B184" s="28" t="n"/>
      <c r="C184" s="28" t="n"/>
      <c r="D184" s="28" t="n"/>
      <c r="E184" s="28" t="n"/>
      <c r="F184" s="28" t="n"/>
      <c r="G184" s="28" t="n"/>
      <c r="H184" s="29" t="n"/>
      <c r="I184" s="29" t="n"/>
    </row>
    <row r="185">
      <c r="B185" s="28" t="n"/>
      <c r="C185" s="28" t="n"/>
      <c r="D185" s="28" t="n"/>
      <c r="E185" s="28" t="n"/>
      <c r="F185" s="28" t="n"/>
      <c r="G185" s="28" t="n"/>
      <c r="H185" s="29" t="n"/>
      <c r="I185" s="29" t="n"/>
    </row>
    <row r="186">
      <c r="B186" s="28" t="n"/>
      <c r="C186" s="28" t="n"/>
      <c r="D186" s="28" t="n"/>
      <c r="E186" s="28" t="n"/>
      <c r="F186" s="28" t="n"/>
      <c r="G186" s="28" t="n"/>
      <c r="H186" s="29" t="n"/>
      <c r="I186" s="29" t="n"/>
    </row>
    <row r="187">
      <c r="B187" s="28" t="n"/>
      <c r="C187" s="28" t="n"/>
      <c r="D187" s="28" t="n"/>
      <c r="E187" s="28" t="n"/>
      <c r="F187" s="28" t="n"/>
      <c r="G187" s="28" t="n"/>
      <c r="H187" s="29" t="n"/>
      <c r="I187" s="29" t="n"/>
    </row>
    <row r="188">
      <c r="B188" s="28" t="n"/>
      <c r="C188" s="28" t="n"/>
      <c r="D188" s="28" t="n"/>
      <c r="E188" s="28" t="n"/>
      <c r="F188" s="28" t="n"/>
      <c r="G188" s="28" t="n"/>
      <c r="H188" s="29" t="n"/>
      <c r="I188" s="29" t="n"/>
    </row>
    <row r="189">
      <c r="B189" s="28" t="n"/>
      <c r="C189" s="28" t="n"/>
      <c r="D189" s="28" t="n"/>
      <c r="E189" s="28" t="n"/>
      <c r="F189" s="28" t="n"/>
      <c r="G189" s="28" t="n"/>
      <c r="H189" s="29" t="n"/>
      <c r="I189" s="29" t="n"/>
    </row>
    <row r="190">
      <c r="B190" s="28" t="n"/>
      <c r="C190" s="28" t="n"/>
      <c r="D190" s="28" t="n"/>
      <c r="E190" s="28" t="n"/>
      <c r="F190" s="28" t="n"/>
      <c r="G190" s="28" t="n"/>
      <c r="H190" s="29" t="n"/>
      <c r="I190" s="29" t="n"/>
    </row>
  </sheetData>
  <dataValidations count="2">
    <dataValidation sqref="E20:E190" showDropDown="0" showInputMessage="0" showErrorMessage="1" allowBlank="1" errorTitle="드롭다운 값 확인" error="배출계수 DB 기준 드롭다운 목록에서 선택해 주세요." type="list">
      <formula1>DD_ENERGY</formula1>
    </dataValidation>
    <dataValidation sqref="G20:G190" showDropDown="0" showInputMessage="0" showErrorMessage="1" allowBlank="1" errorTitle="드롭다운 값 확인" error="배출계수 DB 기준 드롭다운 목록에서 선택해 주세요." type="list">
      <formula1>DD_ENERGY_UNIT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B13" sqref="B13"/>
    </sheetView>
  </sheetViews>
  <sheetFormatPr baseColWidth="8" defaultRowHeight="14.25"/>
  <cols>
    <col width="19.125" bestFit="1" customWidth="1" style="71" min="2" max="2"/>
    <col width="16.125" bestFit="1" customWidth="1" style="71" min="3" max="3"/>
    <col width="31.25" bestFit="1" customWidth="1" style="71" min="4" max="5"/>
    <col width="19.125" bestFit="1" customWidth="1" style="71" min="6" max="6"/>
  </cols>
  <sheetData>
    <row r="2" ht="20.25" customHeight="1" s="71">
      <c r="B2" s="74" t="inlineStr">
        <is>
          <t>C15. 투자</t>
        </is>
      </c>
    </row>
    <row r="4" ht="15" customHeight="1" s="71">
      <c r="B4" s="70" t="inlineStr">
        <is>
          <t>작성 기준</t>
        </is>
      </c>
    </row>
    <row r="5">
      <c r="B5" s="73" t="inlineStr">
        <is>
          <t>1. 본 템플릿은 보고년도에 당사가 수행한 투자활동(지분 투자 등)으로 인해 발생한 온실가스를 산정하기 위한 항목입니다.</t>
        </is>
      </c>
    </row>
    <row r="6">
      <c r="B6" s="73" t="inlineStr">
        <is>
          <t>- 대상: 당사가 투자를 진행한 피투자기업, 프로젝트, 또는 금융 자산 운영 과정에서 발생하는 배출량</t>
        </is>
      </c>
    </row>
    <row r="7">
      <c r="B7" s="73" t="inlineStr">
        <is>
          <t>2. 온실가스 산정식은 아래와 같습니다.</t>
        </is>
      </c>
    </row>
    <row r="8">
      <c r="B8" s="73" t="inlineStr">
        <is>
          <t>&lt;참고&gt; Σ (투자 대상의 Scope 1&amp;2 배출량 × 당사의 지분 비율)</t>
        </is>
      </c>
    </row>
    <row r="9">
      <c r="B9" s="73" t="n"/>
      <c r="C9" s="73" t="n"/>
      <c r="D9" s="73" t="n"/>
      <c r="E9" s="73" t="n"/>
      <c r="F9" s="73" t="n"/>
    </row>
    <row r="10">
      <c r="B10" s="75" t="inlineStr">
        <is>
          <t>※ 지분 비율은 보고년도 말 기준 당사가 보유한 의결권 또는 자산 가치 비율을 의미합니다.</t>
        </is>
      </c>
    </row>
    <row r="11">
      <c r="B11" s="72" t="inlineStr">
        <is>
          <t>※ Scope 1&amp;2 배출량은 tCO2e 기준으로 입력합니다.</t>
        </is>
      </c>
    </row>
    <row r="12" ht="15" customHeight="1" s="71">
      <c r="B12" s="72" t="inlineStr">
        <is>
          <t>※ 주황색으로 표시된 필수 입력칸은 반드시 작성해야 합니다.</t>
        </is>
      </c>
    </row>
    <row r="13" ht="15" customHeight="1" s="71">
      <c r="B13" s="50" t="inlineStr">
        <is>
          <t>※ 회색으로 표시된 입력란(배출계수, 배출량)은 자동으로 산출되므로 별도로 입력하지 않으셔도 됩니다.</t>
        </is>
      </c>
    </row>
    <row r="14" ht="16.5" customHeight="1" s="71">
      <c r="B14" s="38" t="inlineStr">
        <is>
          <t>피투자기업명 (필수)</t>
        </is>
      </c>
      <c r="C14" s="38" t="inlineStr">
        <is>
          <t>지분율(%) (선택)</t>
        </is>
      </c>
      <c r="D14" s="40" t="inlineStr">
        <is>
          <t>*피투자기업 Scope1배출량</t>
        </is>
      </c>
      <c r="E14" s="40" t="inlineStr">
        <is>
          <t>*피투자기업 Scope2배출량</t>
        </is>
      </c>
      <c r="F14" s="38" t="inlineStr">
        <is>
          <t>산정 배출량(tCO2e)</t>
        </is>
      </c>
    </row>
    <row r="15">
      <c r="B15" s="36" t="n"/>
      <c r="C15" s="39" t="n"/>
      <c r="D15" s="78" t="n"/>
      <c r="E15" s="78" t="n"/>
      <c r="F15" s="79">
        <f>IF(OR(B15="",C15="",D15="",E15=""),"",(D15+E15)*C15/100)</f>
        <v/>
      </c>
    </row>
    <row r="16">
      <c r="B16" s="36" t="n"/>
      <c r="C16" s="39" t="n"/>
      <c r="D16" s="78" t="n"/>
      <c r="E16" s="78" t="n"/>
      <c r="F16" s="79">
        <f>IF(OR(B16="",C16="",D16="",E16=""),"",(D16+E16)*C16/100)</f>
        <v/>
      </c>
    </row>
    <row r="17">
      <c r="B17" s="36" t="n"/>
      <c r="C17" s="39" t="n"/>
      <c r="D17" s="78" t="n"/>
      <c r="E17" s="78" t="n"/>
      <c r="F17" s="79">
        <f>IF(OR(B17="",C17="",D17="",E17=""),"",(D17+E17)*C17/100)</f>
        <v/>
      </c>
    </row>
    <row r="18">
      <c r="B18" s="36" t="n"/>
      <c r="C18" s="39" t="n"/>
      <c r="D18" s="78" t="n"/>
      <c r="E18" s="78" t="n"/>
      <c r="F18" s="79">
        <f>IF(OR(B18="",C18="",D18="",E18=""),"",(D18+E18)*C18/100)</f>
        <v/>
      </c>
    </row>
    <row r="19">
      <c r="B19" s="36" t="n"/>
      <c r="C19" s="39" t="n"/>
      <c r="D19" s="78" t="n"/>
      <c r="E19" s="78" t="n"/>
      <c r="F19" s="79">
        <f>IF(OR(B19="",C19="",D19="",E19=""),"",(D19+E19)*C19/100)</f>
        <v/>
      </c>
    </row>
    <row r="20">
      <c r="B20" s="36" t="n"/>
      <c r="C20" s="39" t="n"/>
      <c r="D20" s="78" t="n"/>
      <c r="E20" s="78" t="n"/>
      <c r="F20" s="79">
        <f>IF(OR(B20="",C20="",D20="",E20=""),"",(D20+E20)*C20/100)</f>
        <v/>
      </c>
    </row>
    <row r="21">
      <c r="B21" s="36" t="n"/>
      <c r="C21" s="39" t="n"/>
      <c r="D21" s="78" t="n"/>
      <c r="E21" s="78" t="n"/>
      <c r="F21" s="79">
        <f>IF(OR(B21="",C21="",D21="",E21=""),"",(D21+E21)*C21/100)</f>
        <v/>
      </c>
    </row>
    <row r="22">
      <c r="B22" s="36" t="n"/>
      <c r="C22" s="39" t="n"/>
      <c r="D22" s="78" t="n"/>
      <c r="E22" s="78" t="n"/>
      <c r="F22" s="79">
        <f>IF(OR(B22="",C22="",D22="",E22=""),"",(D22+E22)*C22/100)</f>
        <v/>
      </c>
    </row>
    <row r="23">
      <c r="B23" s="36" t="n"/>
      <c r="C23" s="39" t="n"/>
      <c r="D23" s="78" t="n"/>
      <c r="E23" s="78" t="n"/>
      <c r="F23" s="79">
        <f>IF(OR(B23="",C23="",D23="",E23=""),"",(D23+E23)*C23/100)</f>
        <v/>
      </c>
    </row>
    <row r="24">
      <c r="B24" s="36" t="n"/>
      <c r="C24" s="39" t="n"/>
      <c r="D24" s="78" t="n"/>
      <c r="E24" s="78" t="n"/>
      <c r="F24" s="79">
        <f>IF(OR(B24="",C24="",D24="",E24=""),"",(D24+E24)*C24/100)</f>
        <v/>
      </c>
    </row>
    <row r="25">
      <c r="B25" s="36" t="n"/>
      <c r="C25" s="39" t="n"/>
      <c r="D25" s="78" t="n"/>
      <c r="E25" s="78" t="n"/>
      <c r="F25" s="79">
        <f>IF(OR(B25="",C25="",D25="",E25=""),"",(D25+E25)*C25/100)</f>
        <v/>
      </c>
    </row>
  </sheetData>
  <mergeCells count="9">
    <mergeCell ref="B4:F4"/>
    <mergeCell ref="B12:F12"/>
    <mergeCell ref="B7:F7"/>
    <mergeCell ref="B6:F6"/>
    <mergeCell ref="B2:F2"/>
    <mergeCell ref="B10:F10"/>
    <mergeCell ref="B11:F11"/>
    <mergeCell ref="B5:F5"/>
    <mergeCell ref="B8:F8"/>
  </mergeCells>
  <dataValidations count="2">
    <dataValidation sqref="D15:E25" showDropDown="0" showInputMessage="1" showErrorMessage="0" allowBlank="0" promptTitle="배출량 입력" prompt="tCO2e 기준 숫자만 입력하세요." type="decimal" operator="greaterThanOrEqual">
      <formula1>0</formula1>
    </dataValidation>
    <dataValidation sqref="C15:C25" showDropDown="0" showInputMessage="1" showErrorMessage="0" allowBlank="0" promptTitle="지분율 입력" prompt="0~100 사이의 값을 입력하세요. 예: 25.5" type="decimal">
      <formula1>0</formula1>
      <formula2>100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2" topLeftCell="A3" activePane="bottomLeft" state="frozen"/>
      <selection pane="bottomLeft" activeCell="B17" sqref="B17"/>
    </sheetView>
  </sheetViews>
  <sheetFormatPr baseColWidth="8" defaultRowHeight="14.25"/>
  <cols>
    <col width="24" customWidth="1" style="71" min="1" max="11"/>
    <col width="28" customWidth="1" style="71" min="13" max="15"/>
    <col width="52" customWidth="1" style="71" min="16" max="16"/>
  </cols>
  <sheetData>
    <row r="1" ht="30" customHeight="1" s="71">
      <c r="A1" s="43" t="inlineStr">
        <is>
          <t>DD_PURCHASE_GROUP</t>
        </is>
      </c>
      <c r="B1" s="43" t="inlineStr">
        <is>
          <t>DD_ENERGY</t>
        </is>
      </c>
      <c r="C1" s="43" t="inlineStr">
        <is>
          <t>DD_ENERGY_UNIT</t>
        </is>
      </c>
      <c r="D1" s="43" t="inlineStr">
        <is>
          <t>DD_TRANSPORT_DISTANCE</t>
        </is>
      </c>
      <c r="E1" s="43" t="inlineStr">
        <is>
          <t>DD_TRANSPORT_SPEND</t>
        </is>
      </c>
      <c r="F1" s="43" t="inlineStr">
        <is>
          <t>DD_TRAVEL_DISTANCE</t>
        </is>
      </c>
      <c r="G1" s="43" t="inlineStr">
        <is>
          <t>DD_TRAVEL_SPEND</t>
        </is>
      </c>
      <c r="H1" s="43" t="inlineStr">
        <is>
          <t>DD_WASTE_C5_TYPE</t>
        </is>
      </c>
      <c r="I1" s="43" t="inlineStr">
        <is>
          <t>DD_WASTE_METHOD</t>
        </is>
      </c>
      <c r="J1" s="43" t="inlineStr">
        <is>
          <t>DD_WASTE_UNIT</t>
        </is>
      </c>
      <c r="K1" s="43" t="inlineStr">
        <is>
          <t>DD_TRANSPORT_WEIGHT_UNIT</t>
        </is>
      </c>
      <c r="M1" s="76" t="inlineStr">
        <is>
          <t>C6/C7 거리기반 상세 매핑</t>
        </is>
      </c>
    </row>
    <row r="2" ht="30" customHeight="1" s="71">
      <c r="A2" s="45" t="inlineStr">
        <is>
          <t>C1/C2 구매·자본재 품목군</t>
        </is>
      </c>
      <c r="B2" s="45" t="inlineStr">
        <is>
          <t>C3/C8/C11/C13/C14 에너지명</t>
        </is>
      </c>
      <c r="C2" s="45" t="inlineStr">
        <is>
          <t>에너지 기준단위</t>
        </is>
      </c>
      <c r="D2" s="45" t="inlineStr">
        <is>
          <t>C4/C9 거리기반 운송수단</t>
        </is>
      </c>
      <c r="E2" s="45" t="inlineStr">
        <is>
          <t>C4/C9 금액기반 운송항목</t>
        </is>
      </c>
      <c r="F2" s="45" t="inlineStr">
        <is>
          <t>C6/C7 거리기반 교통수단</t>
        </is>
      </c>
      <c r="G2" s="45" t="inlineStr">
        <is>
          <t>C6 금액기반 출장항목</t>
        </is>
      </c>
      <c r="H2" s="45" t="inlineStr">
        <is>
          <t>C5 폐기물 종류</t>
        </is>
      </c>
      <c r="I2" s="45" t="inlineStr">
        <is>
          <t>폐기물 처리방법</t>
        </is>
      </c>
      <c r="J2" s="45" t="inlineStr">
        <is>
          <t>폐기물 중량단위</t>
        </is>
      </c>
      <c r="K2" s="45" t="inlineStr">
        <is>
          <t>운송 중량단위</t>
        </is>
      </c>
      <c r="M2" s="76" t="inlineStr">
        <is>
          <t>표시값(드롭다운)</t>
        </is>
      </c>
      <c r="N2" s="76" t="inlineStr">
        <is>
          <t>표준코드</t>
        </is>
      </c>
      <c r="O2" s="76" t="inlineStr">
        <is>
          <t>DEFRA Type</t>
        </is>
      </c>
      <c r="P2" s="76" t="inlineStr">
        <is>
          <t>매핑 키워드</t>
        </is>
      </c>
    </row>
    <row r="3" ht="28.5" customHeight="1" s="71">
      <c r="A3" s="46" t="inlineStr">
        <is>
          <t>원재료/부자재</t>
        </is>
      </c>
      <c r="B3" s="46" t="inlineStr">
        <is>
          <t>도시가스(LNG)</t>
        </is>
      </c>
      <c r="C3" s="46" t="inlineStr">
        <is>
          <t>kWh</t>
        </is>
      </c>
      <c r="D3" s="46" t="inlineStr">
        <is>
          <t>도로 운송 (일반화물트럭)</t>
        </is>
      </c>
      <c r="E3" s="46" t="inlineStr">
        <is>
          <t>항공 운송(여객·화물·전세)</t>
        </is>
      </c>
      <c r="F3" s="46" t="inlineStr">
        <is>
          <t>항공(국제선 평균)</t>
        </is>
      </c>
      <c r="G3" s="46" t="inlineStr">
        <is>
          <t>항공권(여객·전세)</t>
        </is>
      </c>
      <c r="H3" s="46" t="inlineStr">
        <is>
          <t>음식물류 폐기물</t>
        </is>
      </c>
      <c r="I3" s="46" t="inlineStr">
        <is>
          <t>매립</t>
        </is>
      </c>
      <c r="J3" s="46" t="inlineStr">
        <is>
          <t>kg</t>
        </is>
      </c>
      <c r="K3" s="46" t="inlineStr">
        <is>
          <t>kg</t>
        </is>
      </c>
      <c r="M3" s="46" t="inlineStr">
        <is>
          <t>항공(국제선 평균)</t>
        </is>
      </c>
      <c r="N3" s="46" t="inlineStr">
        <is>
          <t>flight</t>
        </is>
      </c>
      <c r="O3" s="46" t="inlineStr">
        <is>
          <t>International, non-UK - Average passenger</t>
        </is>
      </c>
      <c r="P3" s="46" t="inlineStr">
        <is>
          <t>항공,비행기,비행,airplane,flight,국제선,해외출장</t>
        </is>
      </c>
    </row>
    <row r="4">
      <c r="A4" s="46" t="inlineStr">
        <is>
          <t>포장재</t>
        </is>
      </c>
      <c r="B4" s="46" t="inlineStr">
        <is>
          <t>천연가스(LNG)</t>
        </is>
      </c>
      <c r="C4" s="46" t="inlineStr">
        <is>
          <t>GJ</t>
        </is>
      </c>
      <c r="D4" s="46" t="inlineStr">
        <is>
          <t>도로 운송 (택배·소화물)</t>
        </is>
      </c>
      <c r="E4" s="46" t="inlineStr">
        <is>
          <t>철도 운송</t>
        </is>
      </c>
      <c r="F4" s="46" t="inlineStr">
        <is>
          <t>국내선 항공</t>
        </is>
      </c>
      <c r="G4" s="46" t="inlineStr">
        <is>
          <t>택시·리무진 비용</t>
        </is>
      </c>
      <c r="H4" s="46" t="inlineStr">
        <is>
          <t>폐지류</t>
        </is>
      </c>
      <c r="I4" s="46" t="inlineStr">
        <is>
          <t>소각</t>
        </is>
      </c>
      <c r="J4" s="46" t="inlineStr">
        <is>
          <t>ton</t>
        </is>
      </c>
      <c r="K4" s="46" t="inlineStr">
        <is>
          <t>ton</t>
        </is>
      </c>
      <c r="M4" s="46" t="inlineStr">
        <is>
          <t>국내선 항공</t>
        </is>
      </c>
      <c r="N4" s="46" t="inlineStr">
        <is>
          <t>flight_dom</t>
        </is>
      </c>
      <c r="O4" s="46" t="inlineStr">
        <is>
          <t>Domestic, to/from UK - Average</t>
        </is>
      </c>
      <c r="P4" s="46" t="inlineStr">
        <is>
          <t>국내선,국내항공,국내비행,domestic</t>
        </is>
      </c>
    </row>
    <row r="5">
      <c r="A5" s="46" t="inlineStr">
        <is>
          <t>사무용품</t>
        </is>
      </c>
      <c r="B5" s="46" t="inlineStr">
        <is>
          <t>CNG(차량)</t>
        </is>
      </c>
      <c r="C5" s="46" t="inlineStr">
        <is>
          <t>L</t>
        </is>
      </c>
      <c r="D5" s="46" t="inlineStr">
        <is>
          <t>철도 운송</t>
        </is>
      </c>
      <c r="E5" s="46" t="inlineStr">
        <is>
          <t>해상 운송(원양)</t>
        </is>
      </c>
      <c r="F5" s="46" t="inlineStr">
        <is>
          <t>페리</t>
        </is>
      </c>
      <c r="G5" s="46" t="inlineStr">
        <is>
          <t>시외버스·고속버스 요금</t>
        </is>
      </c>
      <c r="H5" s="46" t="inlineStr">
        <is>
          <t>폐플라스틱류</t>
        </is>
      </c>
      <c r="I5" s="46" t="inlineStr">
        <is>
          <t>재활용</t>
        </is>
      </c>
      <c r="M5" s="46" t="inlineStr">
        <is>
          <t>페리</t>
        </is>
      </c>
      <c r="N5" s="46" t="inlineStr">
        <is>
          <t>ferry</t>
        </is>
      </c>
      <c r="O5" s="46" t="inlineStr">
        <is>
          <t>Average (all passenger)</t>
        </is>
      </c>
      <c r="P5" s="46" t="inlineStr">
        <is>
          <t>페리,ferry,선박,배</t>
        </is>
      </c>
    </row>
    <row r="6" ht="28.5" customHeight="1" s="71">
      <c r="A6" s="46" t="inlineStr">
        <is>
          <t>탕비·식음료</t>
        </is>
      </c>
      <c r="B6" s="46" t="inlineStr">
        <is>
          <t>LNG(차량)</t>
        </is>
      </c>
      <c r="C6" s="46" t="inlineStr">
        <is>
          <t>kg</t>
        </is>
      </c>
      <c r="D6" s="46" t="inlineStr">
        <is>
          <t>해상 운송 (컨테이너선)</t>
        </is>
      </c>
      <c r="E6" s="46" t="inlineStr">
        <is>
          <t>내륙 수로 화물</t>
        </is>
      </c>
      <c r="F6" s="46" t="inlineStr">
        <is>
          <t>버스</t>
        </is>
      </c>
      <c r="G6" s="46" t="inlineStr">
        <is>
          <t>기차·KTX 요금</t>
        </is>
      </c>
      <c r="H6" s="46" t="inlineStr">
        <is>
          <t>폐목재류</t>
        </is>
      </c>
      <c r="I6" s="46" t="inlineStr">
        <is>
          <t>기타</t>
        </is>
      </c>
      <c r="M6" s="46" t="inlineStr">
        <is>
          <t>버스</t>
        </is>
      </c>
      <c r="N6" s="46" t="inlineStr">
        <is>
          <t>bus</t>
        </is>
      </c>
      <c r="O6" s="46" t="inlineStr">
        <is>
          <t>Average local bus</t>
        </is>
      </c>
      <c r="P6" s="46" t="inlineStr">
        <is>
          <t>버스,bus,고속버스,시외버스,시내버스,광역버스,전세버스,셔틀</t>
        </is>
      </c>
    </row>
    <row r="7">
      <c r="A7" s="46" t="inlineStr">
        <is>
          <t>IT장비</t>
        </is>
      </c>
      <c r="B7" s="46" t="inlineStr">
        <is>
          <t>LPG(차량)</t>
        </is>
      </c>
      <c r="C7" s="46" t="inlineStr">
        <is>
          <t>Nm³</t>
        </is>
      </c>
      <c r="D7" s="46" t="inlineStr">
        <is>
          <t>해상 운송 (벌크선)</t>
        </is>
      </c>
      <c r="E7" s="46" t="inlineStr">
        <is>
          <t>화물 트럭(지역·이사)</t>
        </is>
      </c>
      <c r="F7" s="46" t="inlineStr">
        <is>
          <t>장거리버스/코치</t>
        </is>
      </c>
      <c r="G7" s="46" t="inlineStr">
        <is>
          <t>렌터카·렌트 트럭</t>
        </is>
      </c>
      <c r="H7" s="46" t="inlineStr">
        <is>
          <t>폐섬유류</t>
        </is>
      </c>
      <c r="M7" s="46" t="inlineStr">
        <is>
          <t>장거리버스/코치</t>
        </is>
      </c>
      <c r="N7" s="46" t="inlineStr">
        <is>
          <t>coach</t>
        </is>
      </c>
      <c r="O7" s="46" t="inlineStr">
        <is>
          <t>Coach</t>
        </is>
      </c>
      <c r="P7" s="46" t="inlineStr">
        <is>
          <t>코치,장거리버스,express bus</t>
        </is>
      </c>
    </row>
    <row r="8" ht="28.5" customHeight="1" s="71">
      <c r="A8" s="46" t="inlineStr">
        <is>
          <t>사무가구·비품</t>
        </is>
      </c>
      <c r="B8" s="46" t="inlineStr">
        <is>
          <t>도시가스(LPG)</t>
        </is>
      </c>
      <c r="D8" s="46" t="inlineStr">
        <is>
          <t>항공 운송</t>
        </is>
      </c>
      <c r="E8" s="46" t="inlineStr">
        <is>
          <t>장거리 화물 트럭 (차량단위)</t>
        </is>
      </c>
      <c r="F8" s="46" t="inlineStr">
        <is>
          <t>철도/KTX/SRT</t>
        </is>
      </c>
      <c r="G8" s="46" t="inlineStr">
        <is>
          <t>숙박비(호텔·게스트하우스 등)</t>
        </is>
      </c>
      <c r="H8" s="46" t="inlineStr">
        <is>
          <t>폐유리류</t>
        </is>
      </c>
      <c r="M8" s="46" t="inlineStr">
        <is>
          <t>철도/KTX/SRT</t>
        </is>
      </c>
      <c r="N8" s="46" t="inlineStr">
        <is>
          <t>train</t>
        </is>
      </c>
      <c r="O8" s="46" t="inlineStr">
        <is>
          <t>National rail</t>
        </is>
      </c>
      <c r="P8" s="46" t="inlineStr">
        <is>
          <t>기차,KTX,SRT,ITX,새마을,무궁화,열차,철도</t>
        </is>
      </c>
    </row>
    <row r="9">
      <c r="A9" s="46" t="inlineStr">
        <is>
          <t>시설·유지보수</t>
        </is>
      </c>
      <c r="B9" s="46" t="inlineStr">
        <is>
          <t>액화석유가스(LPG)</t>
        </is>
      </c>
      <c r="D9" s="46" t="inlineStr">
        <is>
          <t>내륙수로 운송</t>
        </is>
      </c>
      <c r="E9" s="46" t="inlineStr">
        <is>
          <t>장거리 화물 트럭 (혼재)</t>
        </is>
      </c>
      <c r="F9" s="46" t="inlineStr">
        <is>
          <t>지하철/도시철도</t>
        </is>
      </c>
      <c r="G9" s="46" t="n"/>
      <c r="H9" s="46" t="inlineStr">
        <is>
          <t>폐금속류</t>
        </is>
      </c>
      <c r="M9" s="46" t="inlineStr">
        <is>
          <t>지하철/도시철도</t>
        </is>
      </c>
      <c r="N9" s="46" t="inlineStr">
        <is>
          <t>subway</t>
        </is>
      </c>
      <c r="O9" s="46" t="inlineStr">
        <is>
          <t>London Underground / Metro</t>
        </is>
      </c>
      <c r="P9" s="46" t="inlineStr">
        <is>
          <t>지하철,subway,metro,전철,도시철도</t>
        </is>
      </c>
    </row>
    <row r="10" ht="28.5" customHeight="1" s="71">
      <c r="A10" s="46" t="inlineStr">
        <is>
          <t>외주·서비스</t>
        </is>
      </c>
      <c r="B10" s="46" t="inlineStr">
        <is>
          <t>경유</t>
        </is>
      </c>
      <c r="E10" s="46" t="inlineStr">
        <is>
          <t>특수화물 트럭 (장거리)</t>
        </is>
      </c>
      <c r="F10" s="46" t="inlineStr">
        <is>
          <t>택시</t>
        </is>
      </c>
      <c r="G10" s="46" t="n"/>
      <c r="H10" s="46" t="inlineStr">
        <is>
          <t>오니류</t>
        </is>
      </c>
      <c r="M10" s="46" t="inlineStr">
        <is>
          <t>택시</t>
        </is>
      </c>
      <c r="N10" s="46" t="inlineStr">
        <is>
          <t>taxi</t>
        </is>
      </c>
      <c r="O10" s="46" t="inlineStr">
        <is>
          <t>Regular taxi</t>
        </is>
      </c>
      <c r="P10" s="46" t="inlineStr">
        <is>
          <t>택시,taxi,cab,카카오t,카카오택시,우버,uber</t>
        </is>
      </c>
    </row>
    <row r="11">
      <c r="A11" s="46" t="inlineStr">
        <is>
          <t>에너지·유틸리티</t>
        </is>
      </c>
      <c r="B11" s="46" t="inlineStr">
        <is>
          <t>실내 등유</t>
        </is>
      </c>
      <c r="E11" s="46" t="inlineStr">
        <is>
          <t>복합 대중교통</t>
        </is>
      </c>
      <c r="F11" s="46" t="inlineStr">
        <is>
          <t>승용차(평균)</t>
        </is>
      </c>
      <c r="G11" s="46" t="n"/>
      <c r="H11" s="46" t="inlineStr">
        <is>
          <t>폐전기전자제품</t>
        </is>
      </c>
      <c r="M11" s="46" t="inlineStr">
        <is>
          <t>승용차(평균)</t>
        </is>
      </c>
      <c r="N11" s="46" t="inlineStr">
        <is>
          <t>car</t>
        </is>
      </c>
      <c r="O11" s="46" t="inlineStr">
        <is>
          <t>Average car</t>
        </is>
      </c>
      <c r="P11" s="46" t="inlineStr">
        <is>
          <t>승용차,자가용,car,차량,렌터카,자동차</t>
        </is>
      </c>
    </row>
    <row r="12">
      <c r="A12" s="46" t="inlineStr">
        <is>
          <t>차량·운송장비</t>
        </is>
      </c>
      <c r="B12" s="46" t="inlineStr">
        <is>
          <t>항공유</t>
        </is>
      </c>
      <c r="E12" s="46" t="inlineStr">
        <is>
          <t>버스(대중교통·통근·전세)</t>
        </is>
      </c>
      <c r="F12" s="46" t="inlineStr">
        <is>
          <t>하이브리드차</t>
        </is>
      </c>
      <c r="G12" s="46" t="n"/>
      <c r="H12" s="46" t="inlineStr">
        <is>
          <t>폐배터리</t>
        </is>
      </c>
      <c r="M12" s="46" t="inlineStr">
        <is>
          <t>하이브리드차</t>
        </is>
      </c>
      <c r="N12" s="46" t="inlineStr">
        <is>
          <t>car_hybrid</t>
        </is>
      </c>
      <c r="O12" s="46" t="inlineStr">
        <is>
          <t>PHEV - Method 2</t>
        </is>
      </c>
      <c r="P12" s="46" t="inlineStr">
        <is>
          <t>하이브리드,hybrid,HEV,PHEV,플러그인하이브리드</t>
        </is>
      </c>
    </row>
    <row r="13">
      <c r="A13" s="46" t="inlineStr">
        <is>
          <t>생산설비</t>
        </is>
      </c>
      <c r="B13" s="46" t="inlineStr">
        <is>
          <t>휘발유</t>
        </is>
      </c>
      <c r="E13" s="46" t="inlineStr">
        <is>
          <t>기타 도시교통</t>
        </is>
      </c>
      <c r="F13" s="46" t="inlineStr">
        <is>
          <t>전기차</t>
        </is>
      </c>
      <c r="G13" s="46" t="n"/>
      <c r="H13" s="46" t="inlineStr">
        <is>
          <t>폐유류</t>
        </is>
      </c>
      <c r="M13" s="46" t="inlineStr">
        <is>
          <t>전기차</t>
        </is>
      </c>
      <c r="N13" s="46" t="inlineStr">
        <is>
          <t>car_ev</t>
        </is>
      </c>
      <c r="O13" s="46" t="inlineStr">
        <is>
          <t>BEV</t>
        </is>
      </c>
      <c r="P13" s="46" t="inlineStr">
        <is>
          <t>전기차,전기자동차,EV,BEV,테슬라,아이오닉,EV6</t>
        </is>
      </c>
    </row>
    <row r="14">
      <c r="A14" s="46" t="inlineStr">
        <is>
          <t>안전·위생</t>
        </is>
      </c>
      <c r="B14" s="46" t="inlineStr">
        <is>
          <t>전력</t>
        </is>
      </c>
      <c r="E14" s="46" t="inlineStr">
        <is>
          <t>도시간·농촌 버스</t>
        </is>
      </c>
      <c r="F14" s="46" t="inlineStr">
        <is>
          <t>오토바이</t>
        </is>
      </c>
      <c r="G14" s="46" t="n"/>
      <c r="H14" s="46" t="inlineStr">
        <is>
          <t>폐콘크리트류</t>
        </is>
      </c>
      <c r="M14" s="46" t="inlineStr">
        <is>
          <t>오토바이</t>
        </is>
      </c>
      <c r="N14" s="46" t="inlineStr">
        <is>
          <t>motorcycle</t>
        </is>
      </c>
      <c r="O14" s="46" t="inlineStr">
        <is>
          <t>Average</t>
        </is>
      </c>
      <c r="P14" s="46" t="inlineStr">
        <is>
          <t>오토바이,motorcycle,바이크</t>
        </is>
      </c>
    </row>
    <row r="15">
      <c r="A15" s="46" t="inlineStr">
        <is>
          <t>건설자재</t>
        </is>
      </c>
      <c r="B15" s="46" t="inlineStr">
        <is>
          <t>열(스팀)</t>
        </is>
      </c>
      <c r="E15" s="46" t="inlineStr">
        <is>
          <t>택시·리무진</t>
        </is>
      </c>
      <c r="F15" s="46" t="inlineStr">
        <is>
          <t>도보/자전거</t>
        </is>
      </c>
      <c r="G15" s="46" t="n"/>
      <c r="H15" s="46" t="inlineStr">
        <is>
          <t>폐고무/피혁류</t>
        </is>
      </c>
      <c r="M15" s="46" t="inlineStr">
        <is>
          <t>도보/자전거</t>
        </is>
      </c>
      <c r="N15" s="46" t="inlineStr">
        <is>
          <t>walk</t>
        </is>
      </c>
      <c r="O15" s="46" t="inlineStr">
        <is>
          <t>도보·자전거</t>
        </is>
      </c>
      <c r="P15" s="46" t="inlineStr">
        <is>
          <t>도보,자전거,walk,bicycle,bike</t>
        </is>
      </c>
    </row>
    <row r="16">
      <c r="A16" s="46" t="inlineStr">
        <is>
          <t>통신·미디어</t>
        </is>
      </c>
      <c r="B16" s="46" t="inlineStr">
        <is>
          <t>선택안함</t>
        </is>
      </c>
      <c r="E16" s="46" t="inlineStr">
        <is>
          <t>원유 파이프라인</t>
        </is>
      </c>
      <c r="F16" s="46" t="n"/>
      <c r="G16" s="46" t="n"/>
      <c r="H16" s="46" t="inlineStr">
        <is>
          <t>지정폐기물</t>
        </is>
      </c>
      <c r="M16" s="46" t="n"/>
      <c r="N16" s="46" t="n"/>
      <c r="O16" s="46" t="n"/>
      <c r="P16" s="46" t="n"/>
    </row>
    <row r="17">
      <c r="A17" s="46" t="inlineStr">
        <is>
          <t>여행·숙박</t>
        </is>
      </c>
      <c r="B17" s="46" t="n"/>
      <c r="E17" s="46" t="inlineStr">
        <is>
          <t>화물운송 주선 (포워딩)</t>
        </is>
      </c>
      <c r="F17" s="46" t="n"/>
      <c r="H17" s="46" t="inlineStr">
        <is>
          <t>기타</t>
        </is>
      </c>
      <c r="M17" s="46" t="n"/>
      <c r="N17" s="46" t="n"/>
      <c r="O17" s="46" t="n"/>
      <c r="P17" s="46" t="n"/>
    </row>
    <row r="18">
      <c r="A18" s="46" t="inlineStr">
        <is>
          <t>기타</t>
        </is>
      </c>
      <c r="E18" s="46" t="inlineStr">
        <is>
          <t>택배·퀵배송</t>
        </is>
      </c>
      <c r="F18" s="46" t="n"/>
      <c r="H18" s="46" t="inlineStr">
        <is>
          <t>[전체 평균]</t>
        </is>
      </c>
      <c r="M18" s="46" t="n"/>
      <c r="N18" s="46" t="n"/>
      <c r="O18" s="46" t="n"/>
      <c r="P18" s="46" t="n"/>
    </row>
    <row r="19" ht="28.5" customHeight="1" s="71">
      <c r="A19" s="46" t="inlineStr">
        <is>
          <t>선택안함</t>
        </is>
      </c>
      <c r="E19" s="46" t="inlineStr">
        <is>
          <t>지역 배달</t>
        </is>
      </c>
      <c r="F19" s="46" t="n"/>
      <c r="M19" s="46" t="n"/>
      <c r="N19" s="46" t="n"/>
      <c r="O19" s="46" t="n"/>
      <c r="P19" s="46" t="n"/>
    </row>
    <row r="20">
      <c r="E20" s="46" t="n"/>
      <c r="F20" s="46" t="n"/>
      <c r="M20" s="46" t="n"/>
      <c r="N20" s="46" t="n"/>
      <c r="O20" s="46" t="n"/>
      <c r="P20" s="46" t="n"/>
    </row>
    <row r="21">
      <c r="E21" s="46" t="n"/>
      <c r="F21" s="46" t="n"/>
      <c r="M21" s="46" t="n"/>
      <c r="N21" s="46" t="n"/>
      <c r="O21" s="46" t="n"/>
      <c r="P21" s="46" t="n"/>
    </row>
    <row r="22">
      <c r="E22" s="46" t="n"/>
      <c r="F22" s="46" t="n"/>
      <c r="M22" s="46" t="n"/>
      <c r="N22" s="46" t="n"/>
      <c r="O22" s="46" t="n"/>
      <c r="P22" s="46" t="n"/>
    </row>
    <row r="23">
      <c r="E23" s="46" t="n"/>
      <c r="F23" s="46" t="n"/>
      <c r="M23" s="46" t="n"/>
      <c r="N23" s="46" t="n"/>
      <c r="O23" s="46" t="n"/>
      <c r="P23" s="46" t="n"/>
    </row>
    <row r="24">
      <c r="E24" s="46" t="n"/>
      <c r="F24" s="46" t="n"/>
      <c r="M24" s="46" t="n"/>
      <c r="N24" s="46" t="n"/>
      <c r="O24" s="46" t="n"/>
      <c r="P24" s="46" t="n"/>
    </row>
    <row r="25">
      <c r="E25" s="46" t="n"/>
      <c r="F25" s="46" t="n"/>
      <c r="M25" s="46" t="n"/>
      <c r="N25" s="46" t="n"/>
      <c r="O25" s="46" t="n"/>
      <c r="P25" s="46" t="n"/>
    </row>
    <row r="26">
      <c r="E26" s="46" t="n"/>
      <c r="F26" s="46" t="n"/>
      <c r="M26" s="46" t="n"/>
      <c r="N26" s="46" t="n"/>
      <c r="O26" s="46" t="n"/>
      <c r="P26" s="46" t="n"/>
    </row>
    <row r="27">
      <c r="E27" s="46" t="n"/>
      <c r="F27" s="46" t="n"/>
      <c r="M27" s="46" t="n"/>
      <c r="N27" s="46" t="n"/>
      <c r="O27" s="46" t="n"/>
      <c r="P27" s="46" t="n"/>
    </row>
    <row r="28">
      <c r="E28" s="46" t="n"/>
      <c r="F28" s="46" t="n"/>
      <c r="M28" s="46" t="n"/>
      <c r="N28" s="46" t="n"/>
      <c r="O28" s="46" t="n"/>
      <c r="P28" s="46" t="n"/>
    </row>
    <row r="29">
      <c r="E29" s="46" t="n"/>
      <c r="F29" s="46" t="n"/>
      <c r="M29" s="46" t="n"/>
      <c r="N29" s="46" t="n"/>
      <c r="O29" s="46" t="n"/>
      <c r="P29" s="46" t="n"/>
    </row>
    <row r="30">
      <c r="F30" s="46" t="n"/>
      <c r="M30" s="46" t="n"/>
      <c r="N30" s="46" t="n"/>
      <c r="O30" s="46" t="n"/>
      <c r="P30" s="46" t="n"/>
    </row>
    <row r="31">
      <c r="F31" s="46" t="n"/>
      <c r="M31" s="46" t="n"/>
      <c r="N31" s="46" t="n"/>
      <c r="O31" s="46" t="n"/>
      <c r="P31" s="46" t="n"/>
    </row>
    <row r="32">
      <c r="F32" s="46" t="n"/>
      <c r="M32" s="46" t="n"/>
      <c r="N32" s="46" t="n"/>
      <c r="O32" s="46" t="n"/>
      <c r="P32" s="46" t="n"/>
    </row>
    <row r="33">
      <c r="F33" s="46" t="n"/>
      <c r="M33" s="46" t="n"/>
      <c r="N33" s="46" t="n"/>
      <c r="O33" s="46" t="n"/>
      <c r="P33" s="46" t="n"/>
    </row>
    <row r="34">
      <c r="F34" s="46" t="n"/>
      <c r="M34" s="46" t="n"/>
      <c r="N34" s="46" t="n"/>
      <c r="O34" s="46" t="n"/>
      <c r="P34" s="46" t="n"/>
    </row>
    <row r="35">
      <c r="F35" s="46" t="n"/>
      <c r="M35" s="46" t="n"/>
      <c r="N35" s="46" t="n"/>
      <c r="O35" s="46" t="n"/>
      <c r="P35" s="46" t="n"/>
    </row>
    <row r="38">
      <c r="A38" s="77" t="inlineStr">
        <is>
          <t>※ 본 시트의 드롭다운 목록은 업로드된 「배출계수_통합_DB」의 각 시트 값을 기준으로 생성했습니다. 템플릿의 입력값과 DB 기준명이 다른 경우에는 「드롭다운_매핑검토」의 매핑표를 참고하세요.</t>
        </is>
      </c>
    </row>
  </sheetData>
  <mergeCells count="2">
    <mergeCell ref="M1:P1"/>
    <mergeCell ref="A38:E3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8" customWidth="1" style="71" min="1" max="1"/>
    <col width="28" customWidth="1" style="71" min="2" max="2"/>
    <col width="32" customWidth="1" style="71" min="3" max="4"/>
    <col width="52" customWidth="1" style="71" min="5" max="5"/>
  </cols>
  <sheetData>
    <row r="1" ht="15" customHeight="1" s="71">
      <c r="A1" s="47" t="inlineStr">
        <is>
          <t>구분</t>
        </is>
      </c>
      <c r="B1" s="47" t="inlineStr">
        <is>
          <t>템플릿 시트/범위</t>
        </is>
      </c>
      <c r="C1" s="47" t="inlineStr">
        <is>
          <t>기존 드롭다운/예시값</t>
        </is>
      </c>
      <c r="D1" s="47" t="inlineStr">
        <is>
          <t>DB 기준 변경값</t>
        </is>
      </c>
      <c r="E1" s="47" t="inlineStr">
        <is>
          <t>조치</t>
        </is>
      </c>
    </row>
    <row r="2">
      <c r="A2" s="46" t="inlineStr">
        <is>
          <t>구매/자본재</t>
        </is>
      </c>
      <c r="B2" s="46" t="inlineStr">
        <is>
          <t>C1 D20:D219, C2 D20:D219</t>
        </is>
      </c>
      <c r="C2" s="46" t="inlineStr">
        <is>
          <t>기존 품목군/자산분류 일부</t>
        </is>
      </c>
      <c r="D2" s="46" t="inlineStr">
        <is>
          <t>구매_USEPA!품목군 기준</t>
        </is>
      </c>
      <c r="E2" s="46" t="inlineStr">
        <is>
          <t>DB 품목군으로 통일</t>
        </is>
      </c>
    </row>
    <row r="3" ht="28.5" customHeight="1" s="71">
      <c r="A3" s="46" t="inlineStr">
        <is>
          <t>에너지</t>
        </is>
      </c>
      <c r="B3" s="46" t="inlineStr">
        <is>
          <t>C3/C8/C11/C13/C14 에너지명</t>
        </is>
      </c>
      <c r="C3" s="46" t="inlineStr">
        <is>
          <t>전기, 스팀, LPG 등</t>
        </is>
      </c>
      <c r="D3" s="46" t="inlineStr">
        <is>
          <t>에너지!활동유형(에너지원) 기준</t>
        </is>
      </c>
      <c r="E3" s="46" t="inlineStr">
        <is>
          <t>전기→전력, 스팀→열(스팀), LPG→액화석유가스(LPG) 등 매핑</t>
        </is>
      </c>
    </row>
    <row r="4">
      <c r="A4" s="46" t="inlineStr">
        <is>
          <t>에너지 단위</t>
        </is>
      </c>
      <c r="B4" s="46" t="inlineStr">
        <is>
          <t>에너지 단위 컬럼</t>
        </is>
      </c>
      <c r="C4" s="46" t="inlineStr">
        <is>
          <t>m3, Nm3 등</t>
        </is>
      </c>
      <c r="D4" s="46" t="inlineStr">
        <is>
          <t>에너지!투입량 기준단위 기준</t>
        </is>
      </c>
      <c r="E4" s="46" t="inlineStr">
        <is>
          <t>Nm³ 등 DB 표기 통일</t>
        </is>
      </c>
    </row>
    <row r="5">
      <c r="A5" s="46" t="inlineStr">
        <is>
          <t>운송 거리기반</t>
        </is>
      </c>
      <c r="B5" s="46" t="inlineStr">
        <is>
          <t>C4-1/C9-1 운송수단</t>
        </is>
      </c>
      <c r="C5" s="46" t="inlineStr">
        <is>
          <t>도로/해상/항공/철도</t>
        </is>
      </c>
      <c r="D5" s="46" t="inlineStr">
        <is>
          <t>운송!운송수단(EPD 원본명) 기준</t>
        </is>
      </c>
      <c r="E5" s="46" t="inlineStr">
        <is>
          <t>세부 EF 단위로 상세화 및 내륙수로 추가</t>
        </is>
      </c>
    </row>
    <row r="6">
      <c r="A6" s="46" t="inlineStr">
        <is>
          <t>운송 금액기반</t>
        </is>
      </c>
      <c r="B6" s="46" t="inlineStr">
        <is>
          <t>C4-2/C9-2 운송수단</t>
        </is>
      </c>
      <c r="C6" s="46" t="inlineStr">
        <is>
          <t>도로/해상/항공/철도</t>
        </is>
      </c>
      <c r="D6" s="46" t="inlineStr">
        <is>
          <t>운송_Spend!한국어 품목명 기준</t>
        </is>
      </c>
      <c r="E6" s="46" t="inlineStr">
        <is>
          <t>화물트럭 운송, 정기 항공화물 등으로 상세화 → 이후 배출계수(EF)가 완전히 동일한 항목끼리 재통합 (27→17개, 배출계수_통합_DB.xlsx의 운송_Spend 시트도 동일 기준으로 병합)</t>
        </is>
      </c>
    </row>
    <row r="7">
      <c r="A7" s="46" t="inlineStr">
        <is>
          <t>출장/통근 거리기반</t>
        </is>
      </c>
      <c r="B7" s="46" t="inlineStr">
        <is>
          <t>C6-1/C7 교통수단</t>
        </is>
      </c>
      <c r="C7" s="46" t="inlineStr">
        <is>
          <t>자동차, 철도(KTX/SRT) 등</t>
        </is>
      </c>
      <c r="D7" s="46" t="inlineStr">
        <is>
          <t>출장_통근!표준코드/키워드 기준</t>
        </is>
      </c>
      <c r="E7" s="46" t="inlineStr">
        <is>
          <t>DB 표준코드와 연결되는 한국어 표시값으로 정리 → 실사용 데이터(공연공 실적 1,200여 행) 기준 33개 중 실제로 쓰인 건 9개뿐이라, 좌석등급·차량크기 등 세부 구분(비즈니스/이코노미, 소형/중형/대형 등)을 13개로 축소(파이프라인 TRAVEL_EF_MAP의 세부 EF 코드 자체는 그대로 보존, 드롭다운만 정리)</t>
        </is>
      </c>
    </row>
    <row r="8">
      <c r="A8" s="46" t="inlineStr">
        <is>
          <t>출장비</t>
        </is>
      </c>
      <c r="B8" s="46" t="inlineStr">
        <is>
          <t>C6-2 출장항목</t>
        </is>
      </c>
      <c r="C8" s="46" t="inlineStr">
        <is>
          <t>항공/철도/택시/렌터카/숙박/기타</t>
        </is>
      </c>
      <c r="D8" s="46" t="inlineStr">
        <is>
          <t>출장_Spend!한국어 품목명 기준</t>
        </is>
      </c>
      <c r="E8" s="46" t="inlineStr">
        <is>
          <t>여객 항공권, 기차·KTX 요금 등으로 상세화 → EF가 동일한 항목 병합 + 식비/통신비(DB에 배출계수 없음) 제거로 14→6개 축소, 배출계수_통합_DB.xlsx의 출장_Spend 시트도 동일 기준으로 병합</t>
        </is>
      </c>
    </row>
    <row r="9">
      <c r="A9" s="46" t="inlineStr">
        <is>
          <t>사업장폐기물</t>
        </is>
      </c>
      <c r="B9" s="46" t="inlineStr">
        <is>
          <t>C5 폐기물종류/처리방법</t>
        </is>
      </c>
      <c r="C9" s="46" t="inlineStr">
        <is>
          <t>템플릿 임의목록</t>
        </is>
      </c>
      <c r="D9" s="46" t="inlineStr">
        <is>
          <t>폐기물_C5 기준</t>
        </is>
      </c>
      <c r="E9" s="46" t="inlineStr">
        <is>
          <t>DB에 없는 항목은 지정폐기물/기타 등으로 매핑</t>
        </is>
      </c>
    </row>
    <row r="10">
      <c r="A10" s="46" t="inlineStr">
        <is>
          <t>판매제품폐기</t>
        </is>
      </c>
      <c r="B10" s="46" t="inlineStr">
        <is>
          <t>C12 대/중/소분류</t>
        </is>
      </c>
      <c r="C10" s="46" t="inlineStr">
        <is>
          <t>기존 전체 법정 분류 목록</t>
        </is>
      </c>
      <c r="D10" s="46" t="inlineStr">
        <is>
          <t>폐기물_C12에 계수 있는 항목만</t>
        </is>
      </c>
      <c r="E10" s="46" t="inlineStr">
        <is>
          <t>소분류까지 DB 보유 항목 중심으로 축소·재구성</t>
        </is>
      </c>
    </row>
    <row r="11">
      <c r="A11" s="80" t="inlineStr">
        <is>
          <t>회사별 자동매칭</t>
        </is>
      </c>
      <c r="B11" s="80" t="inlineStr">
        <is>
          <t>C5 폐기물종류 / C6-1·C7 교통수단</t>
        </is>
      </c>
      <c r="C11" s="80" t="inlineStr">
        <is>
          <t>(신규 기능)</t>
        </is>
      </c>
      <c r="D11" s="80" t="inlineStr">
        <is>
          <t>'회사별_폐기물매핑'/'회사별_교통수단매핑' 시트</t>
        </is>
      </c>
      <c r="E11" s="80" t="inlineStr">
        <is>
          <t>표지(기업정보)에서 회사 선택 → 상세명(E열/Y열) 입력 시 표준값이 자동 매칭되는 수식 추가. 회사 목록은 '기업정보' 시트 E열에서 관리하고, 두 매핑 시트는 그 값을 그대로 참조</t>
        </is>
      </c>
    </row>
    <row r="12">
      <c r="A12" s="80" t="inlineStr">
        <is>
          <t>항공 거리계산(C6-1/C7)</t>
        </is>
      </c>
      <c r="B12" s="80" t="inlineStr">
        <is>
          <t>get_distance_km(mode="air")</t>
        </is>
      </c>
      <c r="C12" s="80" t="inlineStr">
        <is>
          <t>주소 기준 직선거리 × 1.05</t>
        </is>
      </c>
      <c r="D12" s="80" t="inlineStr">
        <is>
          <t>Climatiq/ICAO/DEFRA 벤치마킹 결과</t>
        </is>
      </c>
      <c r="E12" s="80" t="inlineStr">
        <is>
          <t>출도착지가 공항이 아니라 주소·지명이면 AI가 그 지역의 가까운 주요 공항으로 치환한 뒤 공항-공항 간 거리로 계산하도록 수정, 우회보정 계수도 1.05 → 1.09로 상향</t>
        </is>
      </c>
    </row>
    <row r="13" ht="16.5" customHeight="1" s="71">
      <c r="A13" s="48" t="inlineStr">
        <is>
          <t>주요 기존값 → DB 기준값 매핑</t>
        </is>
      </c>
    </row>
    <row r="14" ht="15" customHeight="1" s="71">
      <c r="A14" s="49" t="inlineStr">
        <is>
          <t>매핑그룹</t>
        </is>
      </c>
      <c r="B14" s="49" t="inlineStr">
        <is>
          <t>기존값</t>
        </is>
      </c>
      <c r="C14" s="49" t="inlineStr">
        <is>
          <t>DB 기준값</t>
        </is>
      </c>
      <c r="D14" s="49" t="n"/>
      <c r="E14" s="49" t="n"/>
    </row>
    <row r="15">
      <c r="A15" s="46" t="inlineStr">
        <is>
          <t>purchase_group</t>
        </is>
      </c>
      <c r="B15" s="46" t="inlineStr">
        <is>
          <t>원재료</t>
        </is>
      </c>
      <c r="C15" s="46" t="inlineStr">
        <is>
          <t>원재료/부자재</t>
        </is>
      </c>
    </row>
    <row r="16">
      <c r="A16" s="46" t="inlineStr">
        <is>
          <t>purchase_group</t>
        </is>
      </c>
      <c r="B16" s="46" t="inlineStr">
        <is>
          <t>부자재</t>
        </is>
      </c>
      <c r="C16" s="46" t="inlineStr">
        <is>
          <t>원재료/부자재</t>
        </is>
      </c>
    </row>
    <row r="17">
      <c r="A17" s="46" t="inlineStr">
        <is>
          <t>purchase_group</t>
        </is>
      </c>
      <c r="B17" s="46" t="inlineStr">
        <is>
          <t>종이/인쇄물</t>
        </is>
      </c>
      <c r="C17" s="46" t="inlineStr">
        <is>
          <t>사무용품</t>
        </is>
      </c>
    </row>
    <row r="18">
      <c r="A18" s="46" t="inlineStr">
        <is>
          <t>purchase_group</t>
        </is>
      </c>
      <c r="B18" s="46" t="inlineStr">
        <is>
          <t>IT/전자장비</t>
        </is>
      </c>
      <c r="C18" s="46" t="inlineStr">
        <is>
          <t>IT장비</t>
        </is>
      </c>
    </row>
    <row r="19">
      <c r="A19" s="46" t="inlineStr">
        <is>
          <t>purchase_group</t>
        </is>
      </c>
      <c r="B19" s="46" t="inlineStr">
        <is>
          <t>소모품</t>
        </is>
      </c>
      <c r="C19" s="46" t="inlineStr">
        <is>
          <t>사무용품</t>
        </is>
      </c>
    </row>
    <row r="20">
      <c r="A20" s="46" t="inlineStr">
        <is>
          <t>purchase_group</t>
        </is>
      </c>
      <c r="B20" s="46" t="inlineStr">
        <is>
          <t>화학물질</t>
        </is>
      </c>
      <c r="C20" s="46" t="inlineStr">
        <is>
          <t>원재료/부자재</t>
        </is>
      </c>
    </row>
    <row r="21">
      <c r="A21" s="46" t="inlineStr">
        <is>
          <t>purchase_group</t>
        </is>
      </c>
      <c r="B21" s="46" t="inlineStr">
        <is>
          <t>금속/철강</t>
        </is>
      </c>
      <c r="C21" s="46" t="inlineStr">
        <is>
          <t>원재료/부자재</t>
        </is>
      </c>
    </row>
    <row r="22">
      <c r="A22" s="46" t="inlineStr">
        <is>
          <t>purchase_group</t>
        </is>
      </c>
      <c r="B22" s="46" t="inlineStr">
        <is>
          <t>플라스틱/고무</t>
        </is>
      </c>
      <c r="C22" s="46" t="inlineStr">
        <is>
          <t>원재료/부자재</t>
        </is>
      </c>
    </row>
    <row r="23">
      <c r="A23" s="46" t="inlineStr">
        <is>
          <t>purchase_group</t>
        </is>
      </c>
      <c r="B23" s="46" t="inlineStr">
        <is>
          <t>섬유/의류</t>
        </is>
      </c>
      <c r="C23" s="46" t="inlineStr">
        <is>
          <t>원재료/부자재</t>
        </is>
      </c>
    </row>
    <row r="24">
      <c r="A24" s="46" t="inlineStr">
        <is>
          <t>purchase_group</t>
        </is>
      </c>
      <c r="B24" s="46" t="inlineStr">
        <is>
          <t>식음료</t>
        </is>
      </c>
      <c r="C24" s="46" t="inlineStr">
        <is>
          <t>탕비·식음료</t>
        </is>
      </c>
    </row>
    <row r="25">
      <c r="A25" s="46" t="inlineStr">
        <is>
          <t>purchase_group</t>
        </is>
      </c>
      <c r="B25" s="46" t="inlineStr">
        <is>
          <t>운송/물류서비스</t>
        </is>
      </c>
      <c r="C25" s="46" t="inlineStr">
        <is>
          <t>외주·서비스</t>
        </is>
      </c>
    </row>
    <row r="26">
      <c r="A26" s="46" t="inlineStr">
        <is>
          <t>purchase_group</t>
        </is>
      </c>
      <c r="B26" s="46" t="inlineStr">
        <is>
          <t>전문서비스</t>
        </is>
      </c>
      <c r="C26" s="46" t="inlineStr">
        <is>
          <t>외주·서비스</t>
        </is>
      </c>
    </row>
    <row r="27">
      <c r="A27" s="46" t="inlineStr">
        <is>
          <t>purchase_group</t>
        </is>
      </c>
      <c r="B27" s="46" t="inlineStr">
        <is>
          <t>유지보수/수리서비스</t>
        </is>
      </c>
      <c r="C27" s="46" t="inlineStr">
        <is>
          <t>시설·유지보수</t>
        </is>
      </c>
    </row>
    <row r="28">
      <c r="A28" s="46" t="inlineStr">
        <is>
          <t>purchase_group</t>
        </is>
      </c>
      <c r="B28" s="46" t="inlineStr">
        <is>
          <t>외주가공</t>
        </is>
      </c>
      <c r="C28" s="46" t="inlineStr">
        <is>
          <t>외주·서비스</t>
        </is>
      </c>
    </row>
    <row r="29">
      <c r="A29" s="46" t="inlineStr">
        <is>
          <t>purchase_group</t>
        </is>
      </c>
      <c r="B29" s="46" t="inlineStr">
        <is>
          <t>포장재</t>
        </is>
      </c>
      <c r="C29" s="46" t="inlineStr">
        <is>
          <t>포장재</t>
        </is>
      </c>
    </row>
    <row r="30">
      <c r="A30" s="46" t="inlineStr">
        <is>
          <t>purchase_group</t>
        </is>
      </c>
      <c r="B30" s="46" t="inlineStr">
        <is>
          <t>사무용품</t>
        </is>
      </c>
      <c r="C30" s="46" t="inlineStr">
        <is>
          <t>사무용품</t>
        </is>
      </c>
    </row>
    <row r="31">
      <c r="A31" s="46" t="inlineStr">
        <is>
          <t>purchase_group</t>
        </is>
      </c>
      <c r="B31" s="46" t="inlineStr">
        <is>
          <t>선택안함</t>
        </is>
      </c>
      <c r="C31" s="46" t="inlineStr">
        <is>
          <t>선택안함</t>
        </is>
      </c>
    </row>
    <row r="32">
      <c r="A32" s="46" t="inlineStr">
        <is>
          <t>capital_group</t>
        </is>
      </c>
      <c r="B32" s="46" t="inlineStr">
        <is>
          <t>건물/구축물</t>
        </is>
      </c>
      <c r="C32" s="46" t="inlineStr">
        <is>
          <t>건설자재</t>
        </is>
      </c>
    </row>
    <row r="33">
      <c r="A33" s="46" t="inlineStr">
        <is>
          <t>capital_group</t>
        </is>
      </c>
      <c r="B33" s="46" t="inlineStr">
        <is>
          <t>기계장치</t>
        </is>
      </c>
      <c r="C33" s="46" t="inlineStr">
        <is>
          <t>생산설비</t>
        </is>
      </c>
    </row>
    <row r="34">
      <c r="A34" s="46" t="inlineStr">
        <is>
          <t>capital_group</t>
        </is>
      </c>
      <c r="B34" s="46" t="inlineStr">
        <is>
          <t>생산설비</t>
        </is>
      </c>
      <c r="C34" s="46" t="inlineStr">
        <is>
          <t>생산설비</t>
        </is>
      </c>
    </row>
    <row r="35">
      <c r="A35" s="46" t="inlineStr">
        <is>
          <t>capital_group</t>
        </is>
      </c>
      <c r="B35" s="46" t="inlineStr">
        <is>
          <t>전기설비</t>
        </is>
      </c>
      <c r="C35" s="46" t="inlineStr">
        <is>
          <t>시설·유지보수</t>
        </is>
      </c>
    </row>
    <row r="36">
      <c r="A36" s="46" t="inlineStr">
        <is>
          <t>capital_group</t>
        </is>
      </c>
      <c r="B36" s="46" t="inlineStr">
        <is>
          <t>공조/냉난방설비</t>
        </is>
      </c>
      <c r="C36" s="46" t="inlineStr">
        <is>
          <t>시설·유지보수</t>
        </is>
      </c>
    </row>
    <row r="37">
      <c r="A37" s="46" t="inlineStr">
        <is>
          <t>capital_group</t>
        </is>
      </c>
      <c r="B37" s="46" t="inlineStr">
        <is>
          <t>차량운반구</t>
        </is>
      </c>
      <c r="C37" s="46" t="inlineStr">
        <is>
          <t>차량·운송장비</t>
        </is>
      </c>
    </row>
    <row r="38">
      <c r="A38" s="46" t="inlineStr">
        <is>
          <t>capital_group</t>
        </is>
      </c>
      <c r="B38" s="46" t="inlineStr">
        <is>
          <t>공구와기구</t>
        </is>
      </c>
      <c r="C38" s="46" t="inlineStr">
        <is>
          <t>생산설비</t>
        </is>
      </c>
    </row>
    <row r="39">
      <c r="A39" s="46" t="inlineStr">
        <is>
          <t>capital_group</t>
        </is>
      </c>
      <c r="B39" s="46" t="inlineStr">
        <is>
          <t>금형/치공구</t>
        </is>
      </c>
      <c r="C39" s="46" t="inlineStr">
        <is>
          <t>생산설비</t>
        </is>
      </c>
    </row>
    <row r="40">
      <c r="A40" s="46" t="inlineStr">
        <is>
          <t>capital_group</t>
        </is>
      </c>
      <c r="B40" s="46" t="inlineStr">
        <is>
          <t>비품</t>
        </is>
      </c>
      <c r="C40" s="46" t="inlineStr">
        <is>
          <t>사무가구·비품</t>
        </is>
      </c>
    </row>
    <row r="41">
      <c r="A41" s="46" t="inlineStr">
        <is>
          <t>capital_group</t>
        </is>
      </c>
      <c r="B41" s="46" t="inlineStr">
        <is>
          <t>IT장비</t>
        </is>
      </c>
      <c r="C41" s="46" t="inlineStr">
        <is>
          <t>IT장비</t>
        </is>
      </c>
    </row>
    <row r="42">
      <c r="A42" s="46" t="inlineStr">
        <is>
          <t>capital_group</t>
        </is>
      </c>
      <c r="B42" s="46" t="inlineStr">
        <is>
          <t>전기전자장비</t>
        </is>
      </c>
      <c r="C42" s="46" t="inlineStr">
        <is>
          <t>IT장비</t>
        </is>
      </c>
    </row>
    <row r="43">
      <c r="A43" s="46" t="inlineStr">
        <is>
          <t>capital_group</t>
        </is>
      </c>
      <c r="B43" s="46" t="inlineStr">
        <is>
          <t>연구/시험장비</t>
        </is>
      </c>
      <c r="C43" s="46" t="inlineStr">
        <is>
          <t>생산설비</t>
        </is>
      </c>
    </row>
    <row r="44">
      <c r="A44" s="46" t="inlineStr">
        <is>
          <t>capital_group</t>
        </is>
      </c>
      <c r="B44" s="46" t="inlineStr">
        <is>
          <t>물류/운반장비</t>
        </is>
      </c>
      <c r="C44" s="46" t="inlineStr">
        <is>
          <t>차량·운송장비</t>
        </is>
      </c>
    </row>
    <row r="45">
      <c r="A45" s="46" t="inlineStr">
        <is>
          <t>capital_group</t>
        </is>
      </c>
      <c r="B45" s="46" t="inlineStr">
        <is>
          <t>소프트웨어/시스템</t>
        </is>
      </c>
      <c r="C45" s="46" t="inlineStr">
        <is>
          <t>IT장비</t>
        </is>
      </c>
    </row>
    <row r="46">
      <c r="A46" s="46" t="inlineStr">
        <is>
          <t>capital_group</t>
        </is>
      </c>
      <c r="B46" s="46" t="inlineStr">
        <is>
          <t>선택안함</t>
        </is>
      </c>
      <c r="C46" s="46" t="inlineStr">
        <is>
          <t>선택안함</t>
        </is>
      </c>
    </row>
    <row r="47">
      <c r="A47" s="46" t="inlineStr">
        <is>
          <t>energy</t>
        </is>
      </c>
      <c r="B47" s="46" t="inlineStr">
        <is>
          <t>전기</t>
        </is>
      </c>
      <c r="C47" s="46" t="inlineStr">
        <is>
          <t>전력</t>
        </is>
      </c>
    </row>
    <row r="48">
      <c r="A48" s="46" t="inlineStr">
        <is>
          <t>energy</t>
        </is>
      </c>
      <c r="B48" s="46" t="inlineStr">
        <is>
          <t>전력</t>
        </is>
      </c>
      <c r="C48" s="46" t="inlineStr">
        <is>
          <t>전력</t>
        </is>
      </c>
    </row>
    <row r="49">
      <c r="A49" s="46" t="inlineStr">
        <is>
          <t>energy</t>
        </is>
      </c>
      <c r="B49" s="46" t="inlineStr">
        <is>
          <t>스팀</t>
        </is>
      </c>
      <c r="C49" s="46" t="inlineStr">
        <is>
          <t>열(스팀)</t>
        </is>
      </c>
    </row>
    <row r="50">
      <c r="A50" s="46" t="inlineStr">
        <is>
          <t>energy</t>
        </is>
      </c>
      <c r="B50" s="46" t="inlineStr">
        <is>
          <t>스팀(열병합발전)</t>
        </is>
      </c>
      <c r="C50" s="46" t="inlineStr">
        <is>
          <t>열(스팀)</t>
        </is>
      </c>
    </row>
    <row r="51">
      <c r="A51" s="46" t="inlineStr">
        <is>
          <t>energy</t>
        </is>
      </c>
      <c r="B51" s="46" t="inlineStr">
        <is>
          <t>열(스팀)</t>
        </is>
      </c>
      <c r="C51" s="46" t="inlineStr">
        <is>
          <t>열(스팀)</t>
        </is>
      </c>
    </row>
    <row r="52">
      <c r="A52" s="46" t="inlineStr">
        <is>
          <t>energy</t>
        </is>
      </c>
      <c r="B52" s="46" t="inlineStr">
        <is>
          <t>도시가스</t>
        </is>
      </c>
      <c r="C52" s="46" t="inlineStr">
        <is>
          <t>도시가스(LNG)</t>
        </is>
      </c>
    </row>
    <row r="53">
      <c r="A53" s="46" t="inlineStr">
        <is>
          <t>energy</t>
        </is>
      </c>
      <c r="B53" s="46" t="inlineStr">
        <is>
          <t>도시가스(LNG)</t>
        </is>
      </c>
      <c r="C53" s="46" t="inlineStr">
        <is>
          <t>도시가스(LNG)</t>
        </is>
      </c>
    </row>
    <row r="54">
      <c r="A54" s="46" t="inlineStr">
        <is>
          <t>energy</t>
        </is>
      </c>
      <c r="B54" s="46" t="inlineStr">
        <is>
          <t>천연가스</t>
        </is>
      </c>
      <c r="C54" s="46" t="inlineStr">
        <is>
          <t>천연가스(LNG)</t>
        </is>
      </c>
    </row>
    <row r="55">
      <c r="A55" s="46" t="inlineStr">
        <is>
          <t>energy</t>
        </is>
      </c>
      <c r="B55" s="46" t="inlineStr">
        <is>
          <t>천연가스(LNG)</t>
        </is>
      </c>
      <c r="C55" s="46" t="inlineStr">
        <is>
          <t>천연가스(LNG)</t>
        </is>
      </c>
    </row>
    <row r="56">
      <c r="A56" s="46" t="inlineStr">
        <is>
          <t>energy</t>
        </is>
      </c>
      <c r="B56" s="46" t="inlineStr">
        <is>
          <t>LNG</t>
        </is>
      </c>
      <c r="C56" s="46" t="inlineStr">
        <is>
          <t>천연가스(LNG)</t>
        </is>
      </c>
    </row>
    <row r="57">
      <c r="A57" s="46" t="inlineStr">
        <is>
          <t>energy</t>
        </is>
      </c>
      <c r="B57" s="46" t="inlineStr">
        <is>
          <t>CNG</t>
        </is>
      </c>
      <c r="C57" s="46" t="inlineStr">
        <is>
          <t>CNG(차량)</t>
        </is>
      </c>
    </row>
    <row r="58">
      <c r="A58" s="46" t="inlineStr">
        <is>
          <t>energy</t>
        </is>
      </c>
      <c r="B58" s="46" t="inlineStr">
        <is>
          <t>LPG</t>
        </is>
      </c>
      <c r="C58" s="46" t="inlineStr">
        <is>
          <t>액화석유가스(LPG)</t>
        </is>
      </c>
    </row>
    <row r="59">
      <c r="A59" s="46" t="inlineStr">
        <is>
          <t>energy</t>
        </is>
      </c>
      <c r="B59" s="46" t="inlineStr">
        <is>
          <t>액화석유가스</t>
        </is>
      </c>
      <c r="C59" s="46" t="inlineStr">
        <is>
          <t>액화석유가스(LPG)</t>
        </is>
      </c>
    </row>
    <row r="60">
      <c r="A60" s="46" t="inlineStr">
        <is>
          <t>energy</t>
        </is>
      </c>
      <c r="B60" s="46" t="inlineStr">
        <is>
          <t>액화석유가스(LPG)</t>
        </is>
      </c>
      <c r="C60" s="46" t="inlineStr">
        <is>
          <t>액화석유가스(LPG)</t>
        </is>
      </c>
    </row>
    <row r="61">
      <c r="A61" s="46" t="inlineStr">
        <is>
          <t>energy</t>
        </is>
      </c>
      <c r="B61" s="46" t="inlineStr">
        <is>
          <t>경유</t>
        </is>
      </c>
      <c r="C61" s="46" t="inlineStr">
        <is>
          <t>경유</t>
        </is>
      </c>
    </row>
    <row r="62">
      <c r="A62" s="46" t="inlineStr">
        <is>
          <t>energy</t>
        </is>
      </c>
      <c r="B62" s="46" t="inlineStr">
        <is>
          <t>휘발유</t>
        </is>
      </c>
      <c r="C62" s="46" t="inlineStr">
        <is>
          <t>휘발유</t>
        </is>
      </c>
    </row>
    <row r="63">
      <c r="A63" s="46" t="inlineStr">
        <is>
          <t>energy</t>
        </is>
      </c>
      <c r="B63" s="46" t="inlineStr">
        <is>
          <t>등유</t>
        </is>
      </c>
      <c r="C63" s="46" t="inlineStr">
        <is>
          <t>실내 등유</t>
        </is>
      </c>
    </row>
    <row r="64">
      <c r="A64" s="46" t="inlineStr">
        <is>
          <t>energy</t>
        </is>
      </c>
      <c r="B64" s="46" t="inlineStr">
        <is>
          <t>보일러 등유</t>
        </is>
      </c>
      <c r="C64" s="46" t="inlineStr">
        <is>
          <t>보일러 등유</t>
        </is>
      </c>
    </row>
    <row r="65">
      <c r="A65" s="46" t="inlineStr">
        <is>
          <t>energy</t>
        </is>
      </c>
      <c r="B65" s="46" t="inlineStr">
        <is>
          <t>실내 등유</t>
        </is>
      </c>
      <c r="C65" s="46" t="inlineStr">
        <is>
          <t>실내 등유</t>
        </is>
      </c>
    </row>
    <row r="66">
      <c r="A66" s="46" t="inlineStr">
        <is>
          <t>energy</t>
        </is>
      </c>
      <c r="B66" s="46" t="inlineStr">
        <is>
          <t>항공유</t>
        </is>
      </c>
      <c r="C66" s="46" t="inlineStr">
        <is>
          <t>항공유</t>
        </is>
      </c>
    </row>
    <row r="67">
      <c r="A67" s="46" t="inlineStr">
        <is>
          <t>energy</t>
        </is>
      </c>
      <c r="B67" s="46" t="inlineStr">
        <is>
          <t>선택안함</t>
        </is>
      </c>
      <c r="C67" s="46" t="inlineStr">
        <is>
          <t>선택안함</t>
        </is>
      </c>
    </row>
    <row r="68">
      <c r="A68" s="46" t="inlineStr">
        <is>
          <t>transport_distance</t>
        </is>
      </c>
      <c r="B68" s="46" t="inlineStr">
        <is>
          <t>도로</t>
        </is>
      </c>
      <c r="C68" s="46" t="inlineStr">
        <is>
          <t>도로 운송 (일반화물트럭)</t>
        </is>
      </c>
    </row>
    <row r="69">
      <c r="A69" s="46" t="inlineStr">
        <is>
          <t>transport_distance</t>
        </is>
      </c>
      <c r="B69" s="46" t="inlineStr">
        <is>
          <t>택배</t>
        </is>
      </c>
      <c r="C69" s="46" t="inlineStr">
        <is>
          <t>도로 운송 (택배·소화물)</t>
        </is>
      </c>
    </row>
    <row r="70">
      <c r="A70" s="46" t="inlineStr">
        <is>
          <t>transport_distance</t>
        </is>
      </c>
      <c r="B70" s="46" t="inlineStr">
        <is>
          <t>소화물</t>
        </is>
      </c>
      <c r="C70" s="46" t="inlineStr">
        <is>
          <t>도로 운송 (택배·소화물)</t>
        </is>
      </c>
    </row>
    <row r="71">
      <c r="A71" s="46" t="inlineStr">
        <is>
          <t>transport_distance</t>
        </is>
      </c>
      <c r="B71" s="46" t="inlineStr">
        <is>
          <t>철도</t>
        </is>
      </c>
      <c r="C71" s="46" t="inlineStr">
        <is>
          <t>철도 운송</t>
        </is>
      </c>
    </row>
    <row r="72">
      <c r="A72" s="46" t="inlineStr">
        <is>
          <t>transport_distance</t>
        </is>
      </c>
      <c r="B72" s="46" t="inlineStr">
        <is>
          <t>해상</t>
        </is>
      </c>
      <c r="C72" s="46" t="inlineStr">
        <is>
          <t>해상 운송 (컨테이너선)</t>
        </is>
      </c>
    </row>
    <row r="73">
      <c r="A73" s="46" t="inlineStr">
        <is>
          <t>transport_distance</t>
        </is>
      </c>
      <c r="B73" s="46" t="inlineStr">
        <is>
          <t>벌크선</t>
        </is>
      </c>
      <c r="C73" s="46" t="inlineStr">
        <is>
          <t>해상 운송 (벌크선)</t>
        </is>
      </c>
    </row>
    <row r="74">
      <c r="A74" s="46" t="inlineStr">
        <is>
          <t>transport_distance</t>
        </is>
      </c>
      <c r="B74" s="46" t="inlineStr">
        <is>
          <t>항공</t>
        </is>
      </c>
      <c r="C74" s="46" t="inlineStr">
        <is>
          <t>항공 운송</t>
        </is>
      </c>
    </row>
    <row r="75">
      <c r="A75" s="46" t="inlineStr">
        <is>
          <t>transport_distance</t>
        </is>
      </c>
      <c r="B75" s="46" t="inlineStr">
        <is>
          <t>내륙수로</t>
        </is>
      </c>
      <c r="C75" s="46" t="inlineStr">
        <is>
          <t>내륙수로 운송</t>
        </is>
      </c>
    </row>
    <row r="76">
      <c r="A76" s="46" t="inlineStr">
        <is>
          <t>transport_spend</t>
        </is>
      </c>
      <c r="B76" s="46" t="inlineStr">
        <is>
          <t>도로</t>
        </is>
      </c>
      <c r="C76" s="46" t="inlineStr">
        <is>
          <t>화물 트럭(지역·이사)</t>
        </is>
      </c>
    </row>
    <row r="77">
      <c r="A77" s="46" t="inlineStr">
        <is>
          <t>transport_spend</t>
        </is>
      </c>
      <c r="B77" s="46" t="inlineStr">
        <is>
          <t>트럭</t>
        </is>
      </c>
      <c r="C77" s="46" t="inlineStr">
        <is>
          <t>화물 트럭(지역·이사)</t>
        </is>
      </c>
    </row>
    <row r="78">
      <c r="A78" s="46" t="inlineStr">
        <is>
          <t>transport_spend</t>
        </is>
      </c>
      <c r="B78" s="46" t="inlineStr">
        <is>
          <t>택배</t>
        </is>
      </c>
      <c r="C78" s="46" t="inlineStr">
        <is>
          <t>택배·퀵배송</t>
        </is>
      </c>
    </row>
    <row r="79">
      <c r="A79" s="46" t="inlineStr">
        <is>
          <t>transport_spend</t>
        </is>
      </c>
      <c r="B79" s="46" t="inlineStr">
        <is>
          <t>소화물</t>
        </is>
      </c>
      <c r="C79" s="46" t="inlineStr">
        <is>
          <t>택배·퀵배송</t>
        </is>
      </c>
    </row>
    <row r="80">
      <c r="A80" s="46" t="inlineStr">
        <is>
          <t>transport_spend</t>
        </is>
      </c>
      <c r="B80" s="46" t="inlineStr">
        <is>
          <t>철도</t>
        </is>
      </c>
      <c r="C80" s="46" t="inlineStr">
        <is>
          <t>철도 운송</t>
        </is>
      </c>
    </row>
    <row r="81">
      <c r="A81" s="46" t="inlineStr">
        <is>
          <t>transport_spend</t>
        </is>
      </c>
      <c r="B81" s="46" t="inlineStr">
        <is>
          <t>해상</t>
        </is>
      </c>
      <c r="C81" s="46" t="inlineStr">
        <is>
          <t>해상 운송(원양)</t>
        </is>
      </c>
    </row>
    <row r="82">
      <c r="A82" s="46" t="inlineStr">
        <is>
          <t>transport_spend</t>
        </is>
      </c>
      <c r="B82" s="46" t="inlineStr">
        <is>
          <t>항공</t>
        </is>
      </c>
      <c r="C82" s="46" t="inlineStr">
        <is>
          <t>항공 운송(여객·화물·전세)</t>
        </is>
      </c>
    </row>
    <row r="83">
      <c r="A83" s="46" t="inlineStr">
        <is>
          <t>transport_spend</t>
        </is>
      </c>
      <c r="B83" s="46" t="inlineStr">
        <is>
          <t>창고</t>
        </is>
      </c>
      <c r="C83" s="46" t="inlineStr">
        <is>
          <t>(DB에 해당 항목 없음 - 창고/보관은 운송 배출계수 대상 아님)</t>
        </is>
      </c>
    </row>
    <row r="84">
      <c r="A84" s="46" t="inlineStr">
        <is>
          <t>transport_spend</t>
        </is>
      </c>
      <c r="B84" s="46" t="inlineStr">
        <is>
          <t>보관</t>
        </is>
      </c>
      <c r="C84" s="46" t="inlineStr">
        <is>
          <t>(DB에 해당 항목 없음 - 창고/보관은 운송 배출계수 대상 아님)</t>
        </is>
      </c>
    </row>
    <row r="85">
      <c r="A85" s="46" t="inlineStr">
        <is>
          <t>transport_spend</t>
        </is>
      </c>
      <c r="B85" s="46" t="inlineStr">
        <is>
          <t>대중교통</t>
        </is>
      </c>
      <c r="C85" s="46" t="inlineStr">
        <is>
          <t>버스(대중교통·통근·전세)</t>
        </is>
      </c>
    </row>
    <row r="86">
      <c r="A86" s="46" t="inlineStr">
        <is>
          <t>transport_spend</t>
        </is>
      </c>
      <c r="B86" s="46" t="inlineStr">
        <is>
          <t>택시</t>
        </is>
      </c>
      <c r="C86" s="46" t="inlineStr">
        <is>
          <t>택시·리무진</t>
        </is>
      </c>
    </row>
    <row r="87">
      <c r="A87" s="46" t="inlineStr">
        <is>
          <t>transport_spend</t>
        </is>
      </c>
      <c r="B87" s="46" t="inlineStr">
        <is>
          <t>기타</t>
        </is>
      </c>
      <c r="C87" s="46" t="inlineStr">
        <is>
          <t>기타 도시교통</t>
        </is>
      </c>
    </row>
    <row r="88">
      <c r="A88" s="46" t="inlineStr">
        <is>
          <t>travel_distance</t>
        </is>
      </c>
      <c r="B88" s="46" t="inlineStr">
        <is>
          <t>자동차(내연기관)</t>
        </is>
      </c>
      <c r="C88" s="46" t="inlineStr">
        <is>
          <t>승용차(평균)</t>
        </is>
      </c>
    </row>
    <row r="89">
      <c r="A89" s="46" t="inlineStr">
        <is>
          <t>travel_distance</t>
        </is>
      </c>
      <c r="B89" s="46" t="inlineStr">
        <is>
          <t>승용차</t>
        </is>
      </c>
      <c r="C89" s="46" t="inlineStr">
        <is>
          <t>승용차(평균)</t>
        </is>
      </c>
    </row>
    <row r="90">
      <c r="A90" s="46" t="inlineStr">
        <is>
          <t>travel_distance</t>
        </is>
      </c>
      <c r="B90" s="46" t="inlineStr">
        <is>
          <t>자가용</t>
        </is>
      </c>
      <c r="C90" s="46" t="inlineStr">
        <is>
          <t>승용차(평균)</t>
        </is>
      </c>
    </row>
    <row r="91">
      <c r="A91" s="46" t="inlineStr">
        <is>
          <t>travel_distance</t>
        </is>
      </c>
      <c r="B91" s="46" t="inlineStr">
        <is>
          <t>전기차</t>
        </is>
      </c>
      <c r="C91" s="46" t="inlineStr">
        <is>
          <t>전기차</t>
        </is>
      </c>
    </row>
    <row r="92">
      <c r="A92" s="46" t="inlineStr">
        <is>
          <t>travel_distance</t>
        </is>
      </c>
      <c r="B92" s="46" t="inlineStr">
        <is>
          <t>버스</t>
        </is>
      </c>
      <c r="C92" s="46" t="inlineStr">
        <is>
          <t>버스</t>
        </is>
      </c>
    </row>
    <row r="93">
      <c r="A93" s="46" t="inlineStr">
        <is>
          <t>travel_distance</t>
        </is>
      </c>
      <c r="B93" s="46" t="inlineStr">
        <is>
          <t>통근버스</t>
        </is>
      </c>
      <c r="C93" s="46" t="inlineStr">
        <is>
          <t>버스</t>
        </is>
      </c>
    </row>
    <row r="94">
      <c r="A94" s="46" t="inlineStr">
        <is>
          <t>travel_distance</t>
        </is>
      </c>
      <c r="B94" s="46" t="inlineStr">
        <is>
          <t>지하철</t>
        </is>
      </c>
      <c r="C94" s="46" t="inlineStr">
        <is>
          <t>지하철/도시철도</t>
        </is>
      </c>
    </row>
    <row r="95">
      <c r="A95" s="46" t="inlineStr">
        <is>
          <t>travel_distance</t>
        </is>
      </c>
      <c r="B95" s="46" t="inlineStr">
        <is>
          <t>철도(KTX/SRT)</t>
        </is>
      </c>
      <c r="C95" s="46" t="inlineStr">
        <is>
          <t>철도/KTX/SRT</t>
        </is>
      </c>
    </row>
    <row r="96">
      <c r="A96" s="46" t="inlineStr">
        <is>
          <t>travel_distance</t>
        </is>
      </c>
      <c r="B96" s="46" t="inlineStr">
        <is>
          <t>철도(기타)</t>
        </is>
      </c>
      <c r="C96" s="46" t="inlineStr">
        <is>
          <t>철도/KTX/SRT</t>
        </is>
      </c>
    </row>
    <row r="97">
      <c r="A97" s="46" t="inlineStr">
        <is>
          <t>travel_distance</t>
        </is>
      </c>
      <c r="B97" s="46" t="inlineStr">
        <is>
          <t>국내선 항공</t>
        </is>
      </c>
      <c r="C97" s="46" t="inlineStr">
        <is>
          <t>국내선 항공</t>
        </is>
      </c>
    </row>
    <row r="98">
      <c r="A98" s="46" t="inlineStr">
        <is>
          <t>travel_distance</t>
        </is>
      </c>
      <c r="B98" s="46" t="inlineStr">
        <is>
          <t>국제선 단거리</t>
        </is>
      </c>
      <c r="C98" s="46" t="inlineStr">
        <is>
          <t>항공(국제선 평균)</t>
        </is>
      </c>
    </row>
    <row r="99">
      <c r="A99" s="46" t="inlineStr">
        <is>
          <t>travel_distance</t>
        </is>
      </c>
      <c r="B99" s="46" t="inlineStr">
        <is>
          <t>국제선 장거리</t>
        </is>
      </c>
      <c r="C99" s="46" t="inlineStr">
        <is>
          <t>항공(국제선 평균)</t>
        </is>
      </c>
    </row>
    <row r="100">
      <c r="A100" s="46" t="inlineStr">
        <is>
          <t>travel_distance</t>
        </is>
      </c>
      <c r="B100" s="46" t="inlineStr">
        <is>
          <t>택시</t>
        </is>
      </c>
      <c r="C100" s="46" t="inlineStr">
        <is>
          <t>택시</t>
        </is>
      </c>
    </row>
    <row r="101">
      <c r="A101" s="46" t="inlineStr">
        <is>
          <t>travel_distance</t>
        </is>
      </c>
      <c r="B101" s="46" t="inlineStr">
        <is>
          <t>렌터카</t>
        </is>
      </c>
      <c r="C101" s="46" t="inlineStr">
        <is>
          <t>승용차(평균)</t>
        </is>
      </c>
    </row>
    <row r="102">
      <c r="A102" s="46" t="inlineStr">
        <is>
          <t>travel_distance</t>
        </is>
      </c>
      <c r="B102" s="46" t="inlineStr">
        <is>
          <t>도보</t>
        </is>
      </c>
      <c r="C102" s="46" t="inlineStr">
        <is>
          <t>도보/자전거</t>
        </is>
      </c>
    </row>
    <row r="103">
      <c r="A103" s="46" t="inlineStr">
        <is>
          <t>travel_distance</t>
        </is>
      </c>
      <c r="B103" s="46" t="inlineStr">
        <is>
          <t>자전거</t>
        </is>
      </c>
      <c r="C103" s="46" t="inlineStr">
        <is>
          <t>도보/자전거</t>
        </is>
      </c>
    </row>
    <row r="104">
      <c r="A104" s="46" t="inlineStr">
        <is>
          <t>travel_spend</t>
        </is>
      </c>
      <c r="B104" s="46" t="inlineStr">
        <is>
          <t>항공</t>
        </is>
      </c>
      <c r="C104" s="46" t="inlineStr">
        <is>
          <t>항공권(여객·전세)</t>
        </is>
      </c>
    </row>
    <row r="105">
      <c r="A105" s="46" t="inlineStr">
        <is>
          <t>travel_spend</t>
        </is>
      </c>
      <c r="B105" s="46" t="inlineStr">
        <is>
          <t>항공권</t>
        </is>
      </c>
      <c r="C105" s="46" t="inlineStr">
        <is>
          <t>항공권(여객·전세)</t>
        </is>
      </c>
    </row>
    <row r="106">
      <c r="A106" s="46" t="inlineStr">
        <is>
          <t>travel_spend</t>
        </is>
      </c>
      <c r="B106" s="46" t="inlineStr">
        <is>
          <t>철도</t>
        </is>
      </c>
      <c r="C106" s="46" t="inlineStr">
        <is>
          <t>기차·KTX 요금</t>
        </is>
      </c>
    </row>
    <row r="107">
      <c r="A107" s="46" t="inlineStr">
        <is>
          <t>travel_spend</t>
        </is>
      </c>
      <c r="B107" s="46" t="inlineStr">
        <is>
          <t>기차</t>
        </is>
      </c>
      <c r="C107" s="46" t="inlineStr">
        <is>
          <t>기차·KTX 요금</t>
        </is>
      </c>
    </row>
    <row r="108">
      <c r="A108" s="46" t="inlineStr">
        <is>
          <t>travel_spend</t>
        </is>
      </c>
      <c r="B108" s="46" t="inlineStr">
        <is>
          <t>택시</t>
        </is>
      </c>
      <c r="C108" s="46" t="inlineStr">
        <is>
          <t>택시·리무진 비용</t>
        </is>
      </c>
    </row>
    <row r="109">
      <c r="A109" s="46" t="inlineStr">
        <is>
          <t>travel_spend</t>
        </is>
      </c>
      <c r="B109" s="46" t="inlineStr">
        <is>
          <t>렌터카</t>
        </is>
      </c>
      <c r="C109" s="46" t="inlineStr">
        <is>
          <t>렌터카·렌트 트럭</t>
        </is>
      </c>
    </row>
    <row r="110">
      <c r="A110" s="46" t="inlineStr">
        <is>
          <t>travel_spend</t>
        </is>
      </c>
      <c r="B110" s="46" t="inlineStr">
        <is>
          <t>숙박</t>
        </is>
      </c>
      <c r="C110" s="46" t="inlineStr">
        <is>
          <t>숙박비(호텔·게스트하우스 등)</t>
        </is>
      </c>
    </row>
    <row r="111">
      <c r="A111" s="46" t="inlineStr">
        <is>
          <t>travel_spend</t>
        </is>
      </c>
      <c r="B111" s="46" t="inlineStr">
        <is>
          <t>식비</t>
        </is>
      </c>
      <c r="C111" s="46" t="inlineStr">
        <is>
          <t>(제거됨 - DB에 배출계수 없음, 드롭다운에서 삭제)</t>
        </is>
      </c>
    </row>
    <row r="112">
      <c r="A112" s="46" t="inlineStr">
        <is>
          <t>travel_spend</t>
        </is>
      </c>
      <c r="B112" s="46" t="inlineStr">
        <is>
          <t>기타</t>
        </is>
      </c>
      <c r="C112" s="46" t="inlineStr">
        <is>
          <t>(제거됨 - DB에 배출계수 없음, 드롭다운에서 삭제)</t>
        </is>
      </c>
    </row>
    <row r="113">
      <c r="A113" s="46" t="inlineStr">
        <is>
          <t>waste_c5</t>
        </is>
      </c>
      <c r="B113" s="46" t="inlineStr">
        <is>
          <t>폐페인트/폐래커</t>
        </is>
      </c>
      <c r="C113" s="46" t="inlineStr">
        <is>
          <t>지정폐기물</t>
        </is>
      </c>
    </row>
    <row r="114">
      <c r="A114" s="46" t="inlineStr">
        <is>
          <t>waste_c5</t>
        </is>
      </c>
      <c r="B114" s="46" t="inlineStr">
        <is>
          <t>폐유기용제</t>
        </is>
      </c>
      <c r="C114" s="46" t="inlineStr">
        <is>
          <t>지정폐기물</t>
        </is>
      </c>
    </row>
    <row r="115">
      <c r="A115" s="46" t="inlineStr">
        <is>
          <t>waste_c5</t>
        </is>
      </c>
      <c r="B115" s="46" t="inlineStr">
        <is>
          <t>의료폐기물</t>
        </is>
      </c>
      <c r="C115" s="46" t="inlineStr">
        <is>
          <t>지정폐기물</t>
        </is>
      </c>
    </row>
    <row r="116">
      <c r="A116" s="46" t="inlineStr">
        <is>
          <t>waste_c5</t>
        </is>
      </c>
      <c r="B116" s="46" t="inlineStr">
        <is>
          <t>유해폐기물</t>
        </is>
      </c>
      <c r="C116" s="46" t="inlineStr">
        <is>
          <t>지정폐기물</t>
        </is>
      </c>
    </row>
    <row r="117">
      <c r="A117" s="46" t="inlineStr">
        <is>
          <t>waste_c5</t>
        </is>
      </c>
      <c r="B117" s="46" t="inlineStr">
        <is>
          <t>혼합폐기물</t>
        </is>
      </c>
      <c r="C117" s="46" t="inlineStr">
        <is>
          <t>기타</t>
        </is>
      </c>
    </row>
    <row r="118">
      <c r="A118" s="46" t="inlineStr">
        <is>
          <t>waste_c5</t>
        </is>
      </c>
      <c r="B118" s="46" t="inlineStr">
        <is>
          <t>폐콘크리트</t>
        </is>
      </c>
      <c r="C118" s="46" t="inlineStr">
        <is>
          <t>폐콘크리트류</t>
        </is>
      </c>
    </row>
    <row r="119">
      <c r="A119" s="46" t="inlineStr">
        <is>
          <t>unit</t>
        </is>
      </c>
      <c r="B119" s="46" t="inlineStr">
        <is>
          <t>m3</t>
        </is>
      </c>
      <c r="C119" s="46" t="inlineStr">
        <is>
          <t>Nm³</t>
        </is>
      </c>
    </row>
    <row r="120">
      <c r="A120" s="46" t="inlineStr">
        <is>
          <t>unit</t>
        </is>
      </c>
      <c r="B120" s="46" t="inlineStr">
        <is>
          <t>Nm3</t>
        </is>
      </c>
      <c r="C120" s="46" t="inlineStr">
        <is>
          <t>Nm³</t>
        </is>
      </c>
    </row>
    <row r="121">
      <c r="A121" s="46" t="inlineStr">
        <is>
          <t>unit</t>
        </is>
      </c>
      <c r="B121" s="46" t="inlineStr">
        <is>
          <t>m³</t>
        </is>
      </c>
      <c r="C121" s="46" t="inlineStr">
        <is>
          <t>Nm³</t>
        </is>
      </c>
    </row>
    <row r="122">
      <c r="A122" s="46" t="inlineStr">
        <is>
          <t>unit</t>
        </is>
      </c>
      <c r="B122" s="46" t="inlineStr">
        <is>
          <t>㎥</t>
        </is>
      </c>
      <c r="C122" s="46" t="inlineStr">
        <is>
          <t>Nm³</t>
        </is>
      </c>
    </row>
    <row r="123">
      <c r="A123" s="46" t="inlineStr">
        <is>
          <t>unit</t>
        </is>
      </c>
      <c r="B123" s="46" t="inlineStr">
        <is>
          <t>NM3</t>
        </is>
      </c>
      <c r="C123" s="46" t="inlineStr">
        <is>
          <t>Nm³</t>
        </is>
      </c>
    </row>
    <row r="124">
      <c r="A124" s="46" t="inlineStr">
        <is>
          <t>unit</t>
        </is>
      </c>
      <c r="B124" s="46" t="inlineStr">
        <is>
          <t>nm3</t>
        </is>
      </c>
      <c r="C124" s="46" t="inlineStr">
        <is>
          <t>Nm³</t>
        </is>
      </c>
    </row>
    <row r="125">
      <c r="A125" s="46" t="inlineStr">
        <is>
          <t>unit</t>
        </is>
      </c>
      <c r="B125" s="46" t="inlineStr">
        <is>
          <t>kwh</t>
        </is>
      </c>
      <c r="C125" s="46" t="inlineStr">
        <is>
          <t>kWh</t>
        </is>
      </c>
    </row>
    <row r="126">
      <c r="A126" s="46" t="inlineStr">
        <is>
          <t>unit</t>
        </is>
      </c>
      <c r="B126" s="46" t="inlineStr">
        <is>
          <t>KWH</t>
        </is>
      </c>
      <c r="C126" s="46" t="inlineStr">
        <is>
          <t>kWh</t>
        </is>
      </c>
    </row>
    <row r="127">
      <c r="A127" s="46" t="inlineStr">
        <is>
          <t>unit</t>
        </is>
      </c>
      <c r="B127" s="46" t="inlineStr">
        <is>
          <t>KWh</t>
        </is>
      </c>
      <c r="C127" s="46" t="inlineStr">
        <is>
          <t>kWh</t>
        </is>
      </c>
    </row>
    <row r="128">
      <c r="A128" s="46" t="inlineStr">
        <is>
          <t>unit</t>
        </is>
      </c>
      <c r="B128" s="46" t="inlineStr">
        <is>
          <t>ton</t>
        </is>
      </c>
      <c r="C128" s="46" t="inlineStr">
        <is>
          <t>ton</t>
        </is>
      </c>
    </row>
    <row r="129">
      <c r="A129" s="46" t="inlineStr">
        <is>
          <t>unit</t>
        </is>
      </c>
      <c r="B129" s="46" t="inlineStr">
        <is>
          <t>톤</t>
        </is>
      </c>
      <c r="C129" s="46" t="inlineStr">
        <is>
          <t>ton</t>
        </is>
      </c>
    </row>
    <row r="130">
      <c r="A130" s="46" t="inlineStr">
        <is>
          <t>unit</t>
        </is>
      </c>
      <c r="B130" s="46" t="inlineStr">
        <is>
          <t>kg</t>
        </is>
      </c>
      <c r="C130" s="46" t="inlineStr">
        <is>
          <t>kg</t>
        </is>
      </c>
    </row>
    <row r="131">
      <c r="A131" s="46" t="inlineStr">
        <is>
          <t>unit</t>
        </is>
      </c>
      <c r="B131" s="46" t="inlineStr">
        <is>
          <t>KG</t>
        </is>
      </c>
      <c r="C131" s="46" t="inlineStr">
        <is>
          <t>kg</t>
        </is>
      </c>
    </row>
    <row r="132">
      <c r="A132" s="46" t="inlineStr">
        <is>
          <t>unit</t>
        </is>
      </c>
      <c r="B132" s="46" t="inlineStr">
        <is>
          <t>L</t>
        </is>
      </c>
      <c r="C132" s="46" t="inlineStr">
        <is>
          <t>L</t>
        </is>
      </c>
    </row>
    <row r="133">
      <c r="A133" s="46" t="inlineStr">
        <is>
          <t>unit</t>
        </is>
      </c>
      <c r="B133" s="46" t="inlineStr">
        <is>
          <t>l</t>
        </is>
      </c>
      <c r="C133" s="46" t="inlineStr">
        <is>
          <t>L</t>
        </is>
      </c>
    </row>
    <row r="134">
      <c r="A134" s="46" t="inlineStr">
        <is>
          <t>unit</t>
        </is>
      </c>
      <c r="B134" s="46" t="inlineStr">
        <is>
          <t>MJ</t>
        </is>
      </c>
      <c r="C134" s="46" t="inlineStr">
        <is>
          <t>MJ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E13" sqref="E13"/>
    </sheetView>
  </sheetViews>
  <sheetFormatPr baseColWidth="8" defaultRowHeight="14.25"/>
  <cols>
    <col width="14" customWidth="1" style="71" min="1" max="1"/>
    <col width="22" customWidth="1" style="71" min="2" max="2"/>
    <col width="16" customWidth="1" style="71" min="3" max="3"/>
    <col width="3" customWidth="1" style="71" min="4" max="4"/>
    <col width="22" customWidth="1" style="71" min="5" max="5"/>
  </cols>
  <sheetData>
    <row r="1" ht="15" customHeight="1" s="71">
      <c r="A1" s="69" t="inlineStr">
        <is>
          <t>회사명</t>
        </is>
      </c>
      <c r="B1" s="69" t="inlineStr">
        <is>
          <t>상세 폐기물명</t>
        </is>
      </c>
      <c r="C1" s="69" t="inlineStr">
        <is>
          <t>폐기물 종류</t>
        </is>
      </c>
      <c r="E1" s="69" t="inlineStr">
        <is>
          <t>회사 목록(드롭다운용)</t>
        </is>
      </c>
      <c r="G1" s="56" t="inlineStr">
        <is>
          <t>'예시기업'는 형식을 보여주는 예시입니다. 회사 목록은 이 시트가 아니라 '기업정보' 시트의 E열에서 관리합니다(이 시트 E열은 그 값을 그대로 표시). 새 회사를 추가하려면: ① 이 시트 A~C열에 그 회사의 '상세 폐기물명 → 폐기물 종류' 행을 추가하고 ② '기업정보' 시트 E열에 회사명을 한 줄 추가하세요.</t>
        </is>
      </c>
    </row>
    <row r="2">
      <c r="A2" t="inlineStr">
        <is>
          <t>공연공</t>
        </is>
      </c>
      <c r="B2" t="inlineStr">
        <is>
          <t>일반쓰레기</t>
        </is>
      </c>
      <c r="C2" t="inlineStr">
        <is>
          <t>기타</t>
        </is>
      </c>
      <c r="E2">
        <f>IF(기업정보!E2="","",기업정보!E2)</f>
        <v/>
      </c>
    </row>
    <row r="3">
      <c r="A3" t="inlineStr">
        <is>
          <t>공연공</t>
        </is>
      </c>
      <c r="B3" t="inlineStr">
        <is>
          <t>폐아스발트</t>
        </is>
      </c>
      <c r="C3" t="inlineStr">
        <is>
          <t>폐콘크리트류</t>
        </is>
      </c>
      <c r="E3">
        <f>IF(기업정보!E3="","",기업정보!E3)</f>
        <v/>
      </c>
    </row>
    <row r="4">
      <c r="A4" t="inlineStr">
        <is>
          <t>공연공</t>
        </is>
      </c>
      <c r="B4" t="inlineStr">
        <is>
          <t>폐합성수지</t>
        </is>
      </c>
      <c r="C4" t="inlineStr">
        <is>
          <t>폐플라스틱류</t>
        </is>
      </c>
      <c r="E4">
        <f>IF(기업정보!E4="","",기업정보!E4)</f>
        <v/>
      </c>
    </row>
    <row r="5">
      <c r="A5" t="inlineStr">
        <is>
          <t>공연공</t>
        </is>
      </c>
      <c r="B5" t="inlineStr">
        <is>
          <t>폐산</t>
        </is>
      </c>
      <c r="C5" t="inlineStr">
        <is>
          <t>기타</t>
        </is>
      </c>
      <c r="E5">
        <f>IF(기업정보!E5="","",기업정보!E5)</f>
        <v/>
      </c>
    </row>
    <row r="6">
      <c r="A6" t="inlineStr">
        <is>
          <t>공연공</t>
        </is>
      </c>
      <c r="B6" t="inlineStr">
        <is>
          <t>임목폐기물</t>
        </is>
      </c>
      <c r="C6" t="inlineStr">
        <is>
          <t>폐목재류</t>
        </is>
      </c>
      <c r="E6">
        <f>IF(기업정보!E6="","",기업정보!E6)</f>
        <v/>
      </c>
    </row>
    <row r="7">
      <c r="A7" t="inlineStr">
        <is>
          <t>공연공</t>
        </is>
      </c>
      <c r="B7" t="inlineStr">
        <is>
          <t>잔디예지물</t>
        </is>
      </c>
      <c r="C7" t="inlineStr">
        <is>
          <t>기타</t>
        </is>
      </c>
      <c r="E7">
        <f>IF(기업정보!E7="","",기업정보!E7)</f>
        <v/>
      </c>
    </row>
    <row r="8">
      <c r="A8" t="inlineStr">
        <is>
          <t>공연공</t>
        </is>
      </c>
      <c r="B8" t="inlineStr">
        <is>
          <t>폐토사</t>
        </is>
      </c>
      <c r="C8" t="inlineStr">
        <is>
          <t>기타</t>
        </is>
      </c>
      <c r="E8">
        <f>IF(기업정보!E8="","",기업정보!E8)</f>
        <v/>
      </c>
    </row>
    <row r="9">
      <c r="A9" t="inlineStr">
        <is>
          <t>공연공</t>
        </is>
      </c>
      <c r="B9" t="inlineStr">
        <is>
          <t>액상 폐유</t>
        </is>
      </c>
      <c r="C9" t="inlineStr">
        <is>
          <t>폐유류</t>
        </is>
      </c>
      <c r="E9">
        <f>IF(기업정보!E9="","",기업정보!E9)</f>
        <v/>
      </c>
    </row>
    <row r="10">
      <c r="A10" t="inlineStr">
        <is>
          <t>공연공</t>
        </is>
      </c>
      <c r="B10" t="inlineStr">
        <is>
          <t>고상 폐유</t>
        </is>
      </c>
      <c r="C10" t="inlineStr">
        <is>
          <t>폐유류</t>
        </is>
      </c>
      <c r="E10">
        <f>IF(기업정보!E10="","",기업정보!E10)</f>
        <v/>
      </c>
    </row>
    <row r="11">
      <c r="A11" t="inlineStr">
        <is>
          <t>공연공</t>
        </is>
      </c>
      <c r="B11" t="inlineStr">
        <is>
          <t>폐농약병</t>
        </is>
      </c>
      <c r="C11" t="inlineStr">
        <is>
          <t>지정폐기물</t>
        </is>
      </c>
      <c r="E11">
        <f>IF(기업정보!E11="","",기업정보!E11)</f>
        <v/>
      </c>
    </row>
    <row r="12">
      <c r="A12" t="inlineStr">
        <is>
          <t>공연공</t>
        </is>
      </c>
      <c r="B12" t="inlineStr">
        <is>
          <t>폐타이어</t>
        </is>
      </c>
      <c r="C12" t="inlineStr">
        <is>
          <t>폐고무/피혁류</t>
        </is>
      </c>
      <c r="E12">
        <f>IF(기업정보!E12="","",기업정보!E12)</f>
        <v/>
      </c>
    </row>
    <row r="13">
      <c r="A13" t="inlineStr">
        <is>
          <t>공연공</t>
        </is>
      </c>
      <c r="B13" t="inlineStr">
        <is>
          <t>기타</t>
        </is>
      </c>
      <c r="C13" t="inlineStr">
        <is>
          <t>기타</t>
        </is>
      </c>
      <c r="E13">
        <f>IF(기업정보!E13="","",기업정보!E13)</f>
        <v/>
      </c>
    </row>
    <row r="14">
      <c r="A14" t="inlineStr">
        <is>
          <t>공연공</t>
        </is>
      </c>
      <c r="B14" t="inlineStr">
        <is>
          <t>일반생활쓰레기</t>
        </is>
      </c>
      <c r="C14" t="inlineStr">
        <is>
          <t>기타</t>
        </is>
      </c>
      <c r="E14">
        <f>IF(기업정보!E14="","",기업정보!E14)</f>
        <v/>
      </c>
    </row>
    <row r="15">
      <c r="A15" t="inlineStr">
        <is>
          <t>공연공</t>
        </is>
      </c>
      <c r="B15" t="inlineStr">
        <is>
          <t>불연성생활쓰레기</t>
        </is>
      </c>
      <c r="C15" t="inlineStr">
        <is>
          <t>기타</t>
        </is>
      </c>
      <c r="E15">
        <f>IF(기업정보!E15="","",기업정보!E15)</f>
        <v/>
      </c>
    </row>
    <row r="16">
      <c r="E16">
        <f>IF(기업정보!E16="","",기업정보!E16)</f>
        <v/>
      </c>
    </row>
    <row r="17">
      <c r="E17">
        <f>IF(기업정보!E17="","",기업정보!E17)</f>
        <v/>
      </c>
    </row>
    <row r="18">
      <c r="E18">
        <f>IF(기업정보!E18="","",기업정보!E18)</f>
        <v/>
      </c>
    </row>
    <row r="19">
      <c r="E19">
        <f>IF(기업정보!E19="","",기업정보!E19)</f>
        <v/>
      </c>
    </row>
    <row r="20">
      <c r="E20">
        <f>IF(기업정보!E20="","",기업정보!E20)</f>
        <v/>
      </c>
    </row>
    <row r="21">
      <c r="E21">
        <f>IF(기업정보!E21="","",기업정보!E21)</f>
        <v/>
      </c>
    </row>
    <row r="22">
      <c r="E22">
        <f>IF(기업정보!E22="","",기업정보!E22)</f>
        <v/>
      </c>
    </row>
    <row r="23">
      <c r="E23">
        <f>IF(기업정보!E23="","",기업정보!E23)</f>
        <v/>
      </c>
    </row>
    <row r="24">
      <c r="E24">
        <f>IF(기업정보!E24="","",기업정보!E24)</f>
        <v/>
      </c>
    </row>
    <row r="25">
      <c r="E25">
        <f>IF(기업정보!E25="","",기업정보!E25)</f>
        <v/>
      </c>
    </row>
    <row r="26">
      <c r="E26">
        <f>IF(기업정보!E26="","",기업정보!E26)</f>
        <v/>
      </c>
    </row>
    <row r="27">
      <c r="E27">
        <f>IF(기업정보!E27="","",기업정보!E27)</f>
        <v/>
      </c>
    </row>
    <row r="28">
      <c r="E28">
        <f>IF(기업정보!E28="","",기업정보!E28)</f>
        <v/>
      </c>
    </row>
    <row r="29">
      <c r="E29">
        <f>IF(기업정보!E29="","",기업정보!E29)</f>
        <v/>
      </c>
    </row>
    <row r="30">
      <c r="E30">
        <f>IF(기업정보!E30="","",기업정보!E30)</f>
        <v/>
      </c>
    </row>
    <row r="31">
      <c r="E31">
        <f>IF(기업정보!E31="","",기업정보!E31)</f>
        <v/>
      </c>
    </row>
    <row r="32">
      <c r="E32">
        <f>IF(기업정보!E32="","",기업정보!E32)</f>
        <v/>
      </c>
    </row>
    <row r="33">
      <c r="E33">
        <f>IF(기업정보!E33="","",기업정보!E33)</f>
        <v/>
      </c>
    </row>
    <row r="34">
      <c r="E34">
        <f>IF(기업정보!E34="","",기업정보!E34)</f>
        <v/>
      </c>
    </row>
    <row r="35">
      <c r="E35">
        <f>IF(기업정보!E35="","",기업정보!E35)</f>
        <v/>
      </c>
    </row>
    <row r="36">
      <c r="E36">
        <f>IF(기업정보!E36="","",기업정보!E36)</f>
        <v/>
      </c>
    </row>
    <row r="37">
      <c r="E37">
        <f>IF(기업정보!E37="","",기업정보!E37)</f>
        <v/>
      </c>
    </row>
    <row r="38">
      <c r="E38">
        <f>IF(기업정보!E38="","",기업정보!E38)</f>
        <v/>
      </c>
    </row>
    <row r="39">
      <c r="E39">
        <f>IF(기업정보!E39="","",기업정보!E39)</f>
        <v/>
      </c>
    </row>
    <row r="40">
      <c r="E40">
        <f>IF(기업정보!E40="","",기업정보!E40)</f>
        <v/>
      </c>
    </row>
    <row r="41">
      <c r="E41">
        <f>IF(기업정보!E41="","",기업정보!E41)</f>
        <v/>
      </c>
    </row>
    <row r="42">
      <c r="E42">
        <f>IF(기업정보!E42="","",기업정보!E42)</f>
        <v/>
      </c>
    </row>
    <row r="43">
      <c r="E43">
        <f>IF(기업정보!E43="","",기업정보!E43)</f>
        <v/>
      </c>
    </row>
    <row r="44">
      <c r="E44">
        <f>IF(기업정보!E44="","",기업정보!E44)</f>
        <v/>
      </c>
    </row>
    <row r="45">
      <c r="E45">
        <f>IF(기업정보!E45="","",기업정보!E45)</f>
        <v/>
      </c>
    </row>
    <row r="46">
      <c r="E46">
        <f>IF(기업정보!E46="","",기업정보!E46)</f>
        <v/>
      </c>
    </row>
    <row r="47">
      <c r="E47">
        <f>IF(기업정보!E47="","",기업정보!E47)</f>
        <v/>
      </c>
    </row>
    <row r="48">
      <c r="E48">
        <f>IF(기업정보!E48="","",기업정보!E48)</f>
        <v/>
      </c>
    </row>
    <row r="49">
      <c r="E49">
        <f>IF(기업정보!E49="","",기업정보!E49)</f>
        <v/>
      </c>
    </row>
    <row r="50">
      <c r="E50">
        <f>IF(기업정보!E50="","",기업정보!E50)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F14" sqref="F14"/>
    </sheetView>
  </sheetViews>
  <sheetFormatPr baseColWidth="8" defaultRowHeight="14.25"/>
  <cols>
    <col width="14" customWidth="1" style="71" min="1" max="1"/>
    <col width="22" customWidth="1" style="71" min="2" max="2"/>
    <col width="16" customWidth="1" style="71" min="3" max="3"/>
    <col width="3" customWidth="1" style="71" min="4" max="4"/>
    <col width="22" customWidth="1" style="71" min="5" max="5"/>
  </cols>
  <sheetData>
    <row r="1" ht="15" customHeight="1" s="71">
      <c r="A1" s="59" t="inlineStr">
        <is>
          <t>회사명</t>
        </is>
      </c>
      <c r="B1" s="59" t="inlineStr">
        <is>
          <t>상세 교통수단명</t>
        </is>
      </c>
      <c r="C1" s="59" t="inlineStr">
        <is>
          <t>표준 교통수단</t>
        </is>
      </c>
      <c r="E1" s="69" t="inlineStr">
        <is>
          <t>회사 목록(드롭다운용)</t>
        </is>
      </c>
      <c r="G1" s="56" t="inlineStr">
        <is>
          <t>'예시기업'는 형식을 보여주는 예시입니다. 회사 목록은 이 시트가 아니라 '기업정보' 시트의 E열에서 관리합니다(이 시트 E열은 그 값을 그대로 표시). 새 회사를 추가하려면: ① 이 시트 A~C열에 그 회사의 '상세 교통수단명 → 표준 교통수단' 행을 추가하고 ② '기업정보' 시트 E열에 회사명을 한 줄 추가하세요. 표준 교통수단은 반드시 '배출계수_드롭다운' 시트 F열(DD_TRAVEL_DISTANCE) 목록 값과 똑같이 입력해야 합니다.</t>
        </is>
      </c>
    </row>
    <row r="2">
      <c r="A2" t="inlineStr">
        <is>
          <t>공연공</t>
        </is>
      </c>
      <c r="B2" t="inlineStr">
        <is>
          <t>KTX</t>
        </is>
      </c>
      <c r="C2" t="inlineStr">
        <is>
          <t>철도/KTX/SRT</t>
        </is>
      </c>
      <c r="E2">
        <f>IF(기업정보!E2="","",기업정보!E2)</f>
        <v/>
      </c>
    </row>
    <row r="3">
      <c r="A3" t="inlineStr">
        <is>
          <t>공연공</t>
        </is>
      </c>
      <c r="B3" t="inlineStr">
        <is>
          <t>무궁화호</t>
        </is>
      </c>
      <c r="C3" t="inlineStr">
        <is>
          <t>철도/KTX/SRT</t>
        </is>
      </c>
      <c r="E3">
        <f>IF(기업정보!E3="","",기업정보!E3)</f>
        <v/>
      </c>
    </row>
    <row r="4">
      <c r="A4" t="inlineStr">
        <is>
          <t>예시기업</t>
        </is>
      </c>
      <c r="B4" t="inlineStr">
        <is>
          <t>일반 택시</t>
        </is>
      </c>
      <c r="C4" t="inlineStr">
        <is>
          <t>택시</t>
        </is>
      </c>
      <c r="E4">
        <f>IF(기업정보!E4="","",기업정보!E4)</f>
        <v/>
      </c>
    </row>
    <row r="5">
      <c r="A5" t="inlineStr">
        <is>
          <t>예시기업</t>
        </is>
      </c>
      <c r="B5" t="inlineStr">
        <is>
          <t>카카오T</t>
        </is>
      </c>
      <c r="C5" t="inlineStr">
        <is>
          <t>택시</t>
        </is>
      </c>
      <c r="E5">
        <f>IF(기업정보!E5="","",기업정보!E5)</f>
        <v/>
      </c>
    </row>
    <row r="6">
      <c r="A6" t="inlineStr">
        <is>
          <t>예시기업</t>
        </is>
      </c>
      <c r="B6" t="inlineStr">
        <is>
          <t>국내선 비행기</t>
        </is>
      </c>
      <c r="C6" t="inlineStr">
        <is>
          <t>국내선 항공</t>
        </is>
      </c>
      <c r="E6">
        <f>IF(기업정보!E6="","",기업정보!E6)</f>
        <v/>
      </c>
    </row>
    <row r="7">
      <c r="A7" t="inlineStr">
        <is>
          <t>예시기업</t>
        </is>
      </c>
      <c r="B7" t="inlineStr">
        <is>
          <t>도보 출퇴근</t>
        </is>
      </c>
      <c r="C7" t="inlineStr">
        <is>
          <t>도보/자전거</t>
        </is>
      </c>
      <c r="E7">
        <f>IF(기업정보!E7="","",기업정보!E7)</f>
        <v/>
      </c>
    </row>
    <row r="8">
      <c r="A8" t="inlineStr">
        <is>
          <t>예시기업</t>
        </is>
      </c>
      <c r="B8" t="inlineStr">
        <is>
          <t>회사 통근버스</t>
        </is>
      </c>
      <c r="C8" t="inlineStr">
        <is>
          <t>버스</t>
        </is>
      </c>
      <c r="E8">
        <f>IF(기업정보!E8="","",기업정보!E8)</f>
        <v/>
      </c>
    </row>
    <row r="9">
      <c r="E9">
        <f>IF(기업정보!E9="","",기업정보!E9)</f>
        <v/>
      </c>
    </row>
    <row r="10">
      <c r="E10">
        <f>IF(기업정보!E10="","",기업정보!E10)</f>
        <v/>
      </c>
    </row>
    <row r="11">
      <c r="E11">
        <f>IF(기업정보!E11="","",기업정보!E11)</f>
        <v/>
      </c>
    </row>
    <row r="12">
      <c r="E12">
        <f>IF(기업정보!E12="","",기업정보!E12)</f>
        <v/>
      </c>
    </row>
    <row r="13">
      <c r="E13">
        <f>IF(기업정보!E13="","",기업정보!E13)</f>
        <v/>
      </c>
    </row>
    <row r="14">
      <c r="E14">
        <f>IF(기업정보!E14="","",기업정보!E14)</f>
        <v/>
      </c>
    </row>
    <row r="15">
      <c r="E15">
        <f>IF(기업정보!E15="","",기업정보!E15)</f>
        <v/>
      </c>
    </row>
    <row r="16">
      <c r="E16">
        <f>IF(기업정보!E16="","",기업정보!E16)</f>
        <v/>
      </c>
    </row>
    <row r="17">
      <c r="E17">
        <f>IF(기업정보!E17="","",기업정보!E17)</f>
        <v/>
      </c>
    </row>
    <row r="18">
      <c r="E18">
        <f>IF(기업정보!E18="","",기업정보!E18)</f>
        <v/>
      </c>
    </row>
    <row r="19">
      <c r="E19">
        <f>IF(기업정보!E19="","",기업정보!E19)</f>
        <v/>
      </c>
    </row>
    <row r="20">
      <c r="E20">
        <f>IF(기업정보!E20="","",기업정보!E20)</f>
        <v/>
      </c>
    </row>
    <row r="21">
      <c r="E21">
        <f>IF(기업정보!E21="","",기업정보!E21)</f>
        <v/>
      </c>
    </row>
    <row r="22">
      <c r="E22">
        <f>IF(기업정보!E22="","",기업정보!E22)</f>
        <v/>
      </c>
    </row>
    <row r="23">
      <c r="E23">
        <f>IF(기업정보!E23="","",기업정보!E23)</f>
        <v/>
      </c>
    </row>
    <row r="24">
      <c r="E24">
        <f>IF(기업정보!E24="","",기업정보!E24)</f>
        <v/>
      </c>
    </row>
    <row r="25">
      <c r="E25">
        <f>IF(기업정보!E25="","",기업정보!E25)</f>
        <v/>
      </c>
    </row>
    <row r="26">
      <c r="E26">
        <f>IF(기업정보!E26="","",기업정보!E26)</f>
        <v/>
      </c>
    </row>
    <row r="27">
      <c r="E27">
        <f>IF(기업정보!E27="","",기업정보!E27)</f>
        <v/>
      </c>
    </row>
    <row r="28">
      <c r="E28">
        <f>IF(기업정보!E28="","",기업정보!E28)</f>
        <v/>
      </c>
    </row>
    <row r="29">
      <c r="E29">
        <f>IF(기업정보!E29="","",기업정보!E29)</f>
        <v/>
      </c>
    </row>
    <row r="30">
      <c r="E30">
        <f>IF(기업정보!E30="","",기업정보!E30)</f>
        <v/>
      </c>
    </row>
    <row r="31">
      <c r="E31">
        <f>IF(기업정보!E31="","",기업정보!E31)</f>
        <v/>
      </c>
    </row>
    <row r="32">
      <c r="E32">
        <f>IF(기업정보!E32="","",기업정보!E32)</f>
        <v/>
      </c>
    </row>
    <row r="33">
      <c r="E33">
        <f>IF(기업정보!E33="","",기업정보!E33)</f>
        <v/>
      </c>
    </row>
    <row r="34">
      <c r="E34">
        <f>IF(기업정보!E34="","",기업정보!E34)</f>
        <v/>
      </c>
    </row>
    <row r="35">
      <c r="E35">
        <f>IF(기업정보!E35="","",기업정보!E35)</f>
        <v/>
      </c>
    </row>
    <row r="36">
      <c r="E36">
        <f>IF(기업정보!E36="","",기업정보!E36)</f>
        <v/>
      </c>
    </row>
    <row r="37">
      <c r="E37">
        <f>IF(기업정보!E37="","",기업정보!E37)</f>
        <v/>
      </c>
    </row>
    <row r="38">
      <c r="E38">
        <f>IF(기업정보!E38="","",기업정보!E38)</f>
        <v/>
      </c>
    </row>
    <row r="39">
      <c r="E39">
        <f>IF(기업정보!E39="","",기업정보!E39)</f>
        <v/>
      </c>
    </row>
    <row r="40">
      <c r="E40">
        <f>IF(기업정보!E40="","",기업정보!E40)</f>
        <v/>
      </c>
    </row>
    <row r="41">
      <c r="E41">
        <f>IF(기업정보!E41="","",기업정보!E41)</f>
        <v/>
      </c>
    </row>
    <row r="42">
      <c r="E42">
        <f>IF(기업정보!E42="","",기업정보!E42)</f>
        <v/>
      </c>
    </row>
    <row r="43">
      <c r="E43">
        <f>IF(기업정보!E43="","",기업정보!E43)</f>
        <v/>
      </c>
    </row>
    <row r="44">
      <c r="E44">
        <f>IF(기업정보!E44="","",기업정보!E44)</f>
        <v/>
      </c>
    </row>
    <row r="45">
      <c r="E45">
        <f>IF(기업정보!E45="","",기업정보!E45)</f>
        <v/>
      </c>
    </row>
    <row r="46">
      <c r="E46">
        <f>IF(기업정보!E46="","",기업정보!E46)</f>
        <v/>
      </c>
    </row>
    <row r="47">
      <c r="E47">
        <f>IF(기업정보!E47="","",기업정보!E47)</f>
        <v/>
      </c>
    </row>
    <row r="48">
      <c r="E48">
        <f>IF(기업정보!E48="","",기업정보!E48)</f>
        <v/>
      </c>
    </row>
    <row r="49">
      <c r="E49">
        <f>IF(기업정보!E49="","",기업정보!E49)</f>
        <v/>
      </c>
    </row>
    <row r="50">
      <c r="E50">
        <f>IF(기업정보!E50="","",기업정보!E50)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2026-06-08T01:44:01Z</dcterms:created>
  <dcterms:modified xsi:type="dcterms:W3CDTF">2026-08-20T07:58:23Z</dcterms:modified>
  <cp:lastModifiedBy>마크스폰</cp:lastModifiedBy>
</cp:coreProperties>
</file>