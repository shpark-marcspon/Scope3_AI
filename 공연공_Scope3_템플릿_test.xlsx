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cope3_AI\Scope3_AI\"/>
    </mc:Choice>
  </mc:AlternateContent>
  <xr:revisionPtr revIDLastSave="0" documentId="13_ncr:1_{0E45B11F-4F2C-4AA2-BA71-4609BF9E7A02}" xr6:coauthVersionLast="47" xr6:coauthVersionMax="47" xr10:uidLastSave="{00000000-0000-0000-0000-000000000000}"/>
  <bookViews>
    <workbookView xWindow="28680" yWindow="-120" windowWidth="29040" windowHeight="15720" tabRatio="695" activeTab="2" xr2:uid="{00000000-000D-0000-FFFF-FFFF00000000}"/>
  </bookViews>
  <sheets>
    <sheet name="기업정보" sheetId="1" r:id="rId1"/>
    <sheet name="C3_연료에너지" sheetId="2" r:id="rId2"/>
    <sheet name="C5_사업장폐기물" sheetId="3" r:id="rId3"/>
    <sheet name="배출계수_드롭다운" sheetId="7" r:id="rId4"/>
    <sheet name="드롭다운_매핑검토" sheetId="8" r:id="rId5"/>
    <sheet name="회사별_폐기물매핑" sheetId="9" r:id="rId6"/>
    <sheet name="회사별_교통수단매핑" sheetId="10" r:id="rId7"/>
  </sheets>
  <definedNames>
    <definedName name="DD_APPLIED_COMPANY">기업정보!$E$2:$E$50</definedName>
    <definedName name="DD_ENERGY">배출계수_드롭다운!$B$3:$B$17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배출계수_드롭다운!$E$3:$E$19</definedName>
    <definedName name="DD_TRANSPORT_WEIGHT_UNIT">배출계수_드롭다운!$K$3:$K$4</definedName>
    <definedName name="DD_TRAVEL_DISTANCE">배출계수_드롭다운!$F$3:$F$15</definedName>
    <definedName name="DD_TRAVEL_SPEND">배출계수_드롭다운!$G$3:$G$8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0" l="1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D219" i="3"/>
  <c r="D212" i="3"/>
  <c r="D207" i="3"/>
  <c r="D195" i="3"/>
  <c r="D188" i="3"/>
  <c r="D187" i="3"/>
  <c r="D186" i="3"/>
  <c r="D175" i="3"/>
  <c r="D163" i="3"/>
  <c r="D162" i="3"/>
  <c r="D160" i="3"/>
  <c r="D159" i="3"/>
  <c r="D148" i="3"/>
  <c r="D136" i="3"/>
  <c r="D135" i="3"/>
  <c r="D132" i="3"/>
  <c r="D128" i="3"/>
  <c r="D123" i="3"/>
  <c r="D112" i="3"/>
  <c r="D111" i="3"/>
  <c r="D108" i="3"/>
  <c r="D104" i="3"/>
  <c r="D100" i="3"/>
  <c r="D99" i="3"/>
  <c r="D88" i="3"/>
  <c r="D87" i="3"/>
  <c r="D84" i="3"/>
  <c r="D80" i="3"/>
  <c r="D76" i="3"/>
  <c r="D75" i="3"/>
  <c r="D64" i="3"/>
  <c r="D63" i="3"/>
  <c r="D60" i="3"/>
  <c r="D56" i="3"/>
  <c r="D52" i="3"/>
  <c r="D51" i="3"/>
  <c r="D40" i="3"/>
  <c r="D39" i="3"/>
  <c r="D36" i="3"/>
  <c r="D32" i="3"/>
  <c r="D27" i="3"/>
  <c r="C14" i="3"/>
  <c r="D211" i="3" s="1"/>
  <c r="D124" i="3" l="1"/>
  <c r="D150" i="3"/>
  <c r="D176" i="3"/>
  <c r="D208" i="3"/>
  <c r="D54" i="3"/>
  <c r="D78" i="3"/>
  <c r="D102" i="3"/>
  <c r="D126" i="3"/>
  <c r="D151" i="3"/>
  <c r="D183" i="3"/>
  <c r="D210" i="3"/>
  <c r="D31" i="3"/>
  <c r="D55" i="3"/>
  <c r="D79" i="3"/>
  <c r="D103" i="3"/>
  <c r="D127" i="3"/>
  <c r="D152" i="3"/>
  <c r="D184" i="3"/>
  <c r="D209" i="3"/>
  <c r="D197" i="3"/>
  <c r="D185" i="3"/>
  <c r="D173" i="3"/>
  <c r="D161" i="3"/>
  <c r="D149" i="3"/>
  <c r="D137" i="3"/>
  <c r="D125" i="3"/>
  <c r="D113" i="3"/>
  <c r="D101" i="3"/>
  <c r="D89" i="3"/>
  <c r="D77" i="3"/>
  <c r="D65" i="3"/>
  <c r="D53" i="3"/>
  <c r="D41" i="3"/>
  <c r="D218" i="3"/>
  <c r="D206" i="3"/>
  <c r="D194" i="3"/>
  <c r="D182" i="3"/>
  <c r="D170" i="3"/>
  <c r="D158" i="3"/>
  <c r="D146" i="3"/>
  <c r="D134" i="3"/>
  <c r="D122" i="3"/>
  <c r="D110" i="3"/>
  <c r="D98" i="3"/>
  <c r="D86" i="3"/>
  <c r="D74" i="3"/>
  <c r="D62" i="3"/>
  <c r="D50" i="3"/>
  <c r="D38" i="3"/>
  <c r="D26" i="3"/>
  <c r="D217" i="3"/>
  <c r="D205" i="3"/>
  <c r="D193" i="3"/>
  <c r="D181" i="3"/>
  <c r="D169" i="3"/>
  <c r="D157" i="3"/>
  <c r="D145" i="3"/>
  <c r="D133" i="3"/>
  <c r="D121" i="3"/>
  <c r="D109" i="3"/>
  <c r="D97" i="3"/>
  <c r="D85" i="3"/>
  <c r="D73" i="3"/>
  <c r="D61" i="3"/>
  <c r="D49" i="3"/>
  <c r="D37" i="3"/>
  <c r="D25" i="3"/>
  <c r="D216" i="3"/>
  <c r="D204" i="3"/>
  <c r="D192" i="3"/>
  <c r="D180" i="3"/>
  <c r="D168" i="3"/>
  <c r="D156" i="3"/>
  <c r="D144" i="3"/>
  <c r="D215" i="3"/>
  <c r="D203" i="3"/>
  <c r="D191" i="3"/>
  <c r="D179" i="3"/>
  <c r="D167" i="3"/>
  <c r="D155" i="3"/>
  <c r="D143" i="3"/>
  <c r="D131" i="3"/>
  <c r="D119" i="3"/>
  <c r="D107" i="3"/>
  <c r="D95" i="3"/>
  <c r="D83" i="3"/>
  <c r="D71" i="3"/>
  <c r="D59" i="3"/>
  <c r="D47" i="3"/>
  <c r="D35" i="3"/>
  <c r="D23" i="3"/>
  <c r="D214" i="3"/>
  <c r="D202" i="3"/>
  <c r="D190" i="3"/>
  <c r="D166" i="3"/>
  <c r="D154" i="3"/>
  <c r="D142" i="3"/>
  <c r="D130" i="3"/>
  <c r="D118" i="3"/>
  <c r="D94" i="3"/>
  <c r="D82" i="3"/>
  <c r="D70" i="3"/>
  <c r="D58" i="3"/>
  <c r="D34" i="3"/>
  <c r="D201" i="3"/>
  <c r="D165" i="3"/>
  <c r="D141" i="3"/>
  <c r="D129" i="3"/>
  <c r="D117" i="3"/>
  <c r="D105" i="3"/>
  <c r="D81" i="3"/>
  <c r="D69" i="3"/>
  <c r="D45" i="3"/>
  <c r="D21" i="3"/>
  <c r="D178" i="3"/>
  <c r="D106" i="3"/>
  <c r="D46" i="3"/>
  <c r="D22" i="3"/>
  <c r="D213" i="3"/>
  <c r="D189" i="3"/>
  <c r="D177" i="3"/>
  <c r="D153" i="3"/>
  <c r="D93" i="3"/>
  <c r="D57" i="3"/>
  <c r="D33" i="3"/>
  <c r="D42" i="3"/>
  <c r="D66" i="3"/>
  <c r="D90" i="3"/>
  <c r="D114" i="3"/>
  <c r="D138" i="3"/>
  <c r="D164" i="3"/>
  <c r="D196" i="3"/>
  <c r="D19" i="3"/>
  <c r="D43" i="3"/>
  <c r="D67" i="3"/>
  <c r="D91" i="3"/>
  <c r="D115" i="3"/>
  <c r="D139" i="3"/>
  <c r="D171" i="3"/>
  <c r="D198" i="3"/>
  <c r="D20" i="3"/>
  <c r="D44" i="3"/>
  <c r="D68" i="3"/>
  <c r="D92" i="3"/>
  <c r="D116" i="3"/>
  <c r="D140" i="3"/>
  <c r="D172" i="3"/>
  <c r="D199" i="3"/>
  <c r="D24" i="3"/>
  <c r="D48" i="3"/>
  <c r="D72" i="3"/>
  <c r="D96" i="3"/>
  <c r="D120" i="3"/>
  <c r="D147" i="3"/>
  <c r="D174" i="3"/>
  <c r="D200" i="3"/>
</calcChain>
</file>

<file path=xl/sharedStrings.xml><?xml version="1.0" encoding="utf-8"?>
<sst xmlns="http://schemas.openxmlformats.org/spreadsheetml/2006/main" count="1030" uniqueCount="417">
  <si>
    <t>회사 목록(관리용)</t>
  </si>
  <si>
    <t>Scope 3 배출량 산정 템플릿</t>
  </si>
  <si>
    <t>공연공</t>
  </si>
  <si>
    <t>기업 정보 입력</t>
  </si>
  <si>
    <t>- 아래에 적용 기업명을 선택하면, 각 카테고리 시트(C5 폐기물 종류 등) 상단의 '*적용 기업명' 칸과 상세명 자동 매칭에 함께 반영됩니다.</t>
  </si>
  <si>
    <t>*적용 기업명</t>
  </si>
  <si>
    <t>※ 새 회사를 추가하려면 이 시트 E열에 회사명을 한 줄 추가한 뒤 여기서 선택하세요. 그 회사의 실제 매핑 데이터는 '회사별_폐기물매핑'·'회사별_교통수단매핑' 시트 A~C열에 별도로 추가해야 자동 매칭이 동작합니다.</t>
  </si>
  <si>
    <t>C3. 연료 및 에너지 관련 활동</t>
  </si>
  <si>
    <t>카테고리 정의</t>
  </si>
  <si>
    <t>- Scope 1, Scope 2에 포함되지 않은 연료 및 에너지의 업스트림 배출량과 송전·배전 손실에서 발생하는 온실가스 배출량</t>
  </si>
  <si>
    <t>- 직접 연소 배출량 또는 전력 사용 배출량 자체가 아니라 연료 생산·운송 및 전력 손실 등 간접 배출량에 해당</t>
  </si>
  <si>
    <t>작성 기준</t>
  </si>
  <si>
    <t>1) 온실가스 산정 식: Σ(연료/에너지 사용량 × 연료/에너지별 업스트림 또는 손실 배출계수)</t>
  </si>
  <si>
    <t xml:space="preserve"> - 온실가스 배출계수는 환경부-환경성적표지(EPD) 평가계수를 활용</t>
  </si>
  <si>
    <t>2) 원지출금액이 아니라 실제 사용량을 기준으로 작성</t>
  </si>
  <si>
    <t>3) 연료/에너지명과 단위는 실제 사용한 항목 기준으로 선택</t>
  </si>
  <si>
    <t>4) 동일한 연료라도 사업장, 단위, 사용 목적이 다르면 행을 나누어 작성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</si>
  <si>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</si>
  <si>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</si>
  <si>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*국가</t>
  </si>
  <si>
    <t>*사업장</t>
  </si>
  <si>
    <t>*연료/에너지명</t>
  </si>
  <si>
    <t>*단위</t>
  </si>
  <si>
    <t>연간 입력</t>
  </si>
  <si>
    <t>월별 사용량</t>
  </si>
  <si>
    <t>비고(선택)</t>
  </si>
  <si>
    <t>배출계수(tCO2e/단위)</t>
  </si>
  <si>
    <t>배출량(tCO2e)</t>
  </si>
  <si>
    <t>연간사용량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</si>
  <si>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</si>
  <si>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</si>
  <si>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</si>
  <si>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</si>
  <si>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</si>
  <si>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</si>
  <si>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</si>
  <si>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</si>
  <si>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</si>
  <si>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</si>
  <si>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</si>
  <si>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</si>
  <si>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대한민국</t>
  </si>
  <si>
    <t>제주사옥</t>
  </si>
  <si>
    <t>전력</t>
  </si>
  <si>
    <t>kWh</t>
  </si>
  <si>
    <t>도시가스(LNG)</t>
  </si>
  <si>
    <t>Nm³</t>
  </si>
  <si>
    <t>서울상록회관</t>
  </si>
  <si>
    <t>대구지부</t>
  </si>
  <si>
    <t>천안상록리조트</t>
  </si>
  <si>
    <t>화성상록골프장</t>
  </si>
  <si>
    <t>실내 등유</t>
  </si>
  <si>
    <t>L</t>
  </si>
  <si>
    <t>부생연료1호</t>
  </si>
  <si>
    <t>액화석유가스(LPG)</t>
  </si>
  <si>
    <t>남원상록골프장</t>
  </si>
  <si>
    <t>김해상록골프장</t>
  </si>
  <si>
    <t>수안보상록호텔</t>
  </si>
  <si>
    <t>경유</t>
  </si>
  <si>
    <t>부생연료2호</t>
  </si>
  <si>
    <t>제주본부(차량)</t>
  </si>
  <si>
    <t>서울지부(차량)</t>
  </si>
  <si>
    <t>LPG(차량)</t>
  </si>
  <si>
    <t>세종대전지부(차량)</t>
  </si>
  <si>
    <t>휘발유</t>
  </si>
  <si>
    <t>광주전북지부(차량)</t>
  </si>
  <si>
    <t>천안상록리조트(차량)</t>
  </si>
  <si>
    <t>화성상록골프장(차량)</t>
  </si>
  <si>
    <t>남원상록골프장(차량)</t>
  </si>
  <si>
    <t>김해상록골프장(차량)</t>
  </si>
  <si>
    <t>수안보상록호텔(차량)</t>
  </si>
  <si>
    <t>C5. 사업장 발생 폐기물</t>
  </si>
  <si>
    <t>- 보고년도에 운영 과정에서 발생한 폐기물의 처리·반매립·소각 시 발생한 온실가스 배출량</t>
  </si>
  <si>
    <t>- 본사, 지부, 복지시설 운영 과정의 일반 폐기물, 음식물 쓰레기 등도 포함</t>
  </si>
  <si>
    <t>1) 온실가스 산정 식: Σ(폐기물 발생량 × 처리방법별 배출계수)</t>
  </si>
  <si>
    <t>- 배출계수는 환경부 환경성적표지(EPD) 등 폐기물 처리 배출계수 활용</t>
  </si>
  <si>
    <t>2) 상세 폐기물명은 실제 처리업체 자료, 올바로시스템 명칭 기준으로 작성</t>
  </si>
  <si>
    <t>3) 동일한 폐기물이라도 처리방법이 다르면 행을 나누어 작성</t>
  </si>
  <si>
    <t>※ 이 값은 '기업정보' 시트에서 선택한 적용 기업명이 자동으로 반영된 것입니다. 상세 폐기물명(E열) 입력 시 폐기물 종류(D열)가 '회사별_폐기물매핑' 매핑표를 기준으로 자동 매칭됩니다.</t>
  </si>
  <si>
    <t>*폐기물 종류</t>
  </si>
  <si>
    <t>상세 폐기물명(선택)</t>
  </si>
  <si>
    <t>*처리방법</t>
  </si>
  <si>
    <t>월별 처리량</t>
  </si>
  <si>
    <t>연간처리량</t>
  </si>
  <si>
    <t>본사</t>
  </si>
  <si>
    <t>일반쓰레기</t>
  </si>
  <si>
    <t>ton</t>
  </si>
  <si>
    <t>소각</t>
  </si>
  <si>
    <t>폐아스발트</t>
  </si>
  <si>
    <t>기타</t>
  </si>
  <si>
    <t>파쇄</t>
  </si>
  <si>
    <t>폐합성수지</t>
  </si>
  <si>
    <t>재활용</t>
  </si>
  <si>
    <t>폐산</t>
  </si>
  <si>
    <t>임목폐기물</t>
  </si>
  <si>
    <t>잔디예지물</t>
  </si>
  <si>
    <t>폐토사</t>
  </si>
  <si>
    <t>액상 폐유</t>
  </si>
  <si>
    <t>고상 폐유</t>
  </si>
  <si>
    <t>폐농약병</t>
  </si>
  <si>
    <t>폐타이어</t>
  </si>
  <si>
    <t>일반생활쓰레기</t>
  </si>
  <si>
    <t>불연성생활쓰레기</t>
  </si>
  <si>
    <t>매립</t>
  </si>
  <si>
    <t>장거리버스/코치</t>
  </si>
  <si>
    <t>국내선 항공</t>
  </si>
  <si>
    <t>승용차(평균)</t>
  </si>
  <si>
    <t>철도/KTX/SRT</t>
  </si>
  <si>
    <t>페리</t>
  </si>
  <si>
    <t>도보/자전거</t>
  </si>
  <si>
    <t>버스</t>
  </si>
  <si>
    <t>지하철/도시철도</t>
  </si>
  <si>
    <t>전기차</t>
  </si>
  <si>
    <t>열(스팀)</t>
  </si>
  <si>
    <t>m³</t>
  </si>
  <si>
    <t>DD_PURCHASE_GROUP</t>
  </si>
  <si>
    <t>DD_ENERGY</t>
  </si>
  <si>
    <t>DD_ENERGY_UNIT</t>
  </si>
  <si>
    <t>DD_TRANSPORT_DISTANCE</t>
  </si>
  <si>
    <t>DD_TRANSPORT_SPEND</t>
  </si>
  <si>
    <t>DD_TRAVEL_DISTANCE</t>
  </si>
  <si>
    <t>DD_TRAVEL_SPEND</t>
  </si>
  <si>
    <t>DD_WASTE_C5_TYPE</t>
  </si>
  <si>
    <t>DD_WASTE_METHOD</t>
  </si>
  <si>
    <t>DD_WASTE_UNIT</t>
  </si>
  <si>
    <t>DD_TRANSPORT_WEIGHT_UNIT</t>
  </si>
  <si>
    <t>C6/C7 거리기반 상세 매핑</t>
  </si>
  <si>
    <t>C1/C2 구매·자본재 품목군</t>
  </si>
  <si>
    <t>C3/C8/C11/C13/C14 에너지명</t>
  </si>
  <si>
    <t>에너지 기준단위</t>
  </si>
  <si>
    <t>C4/C9 거리기반 운송수단</t>
  </si>
  <si>
    <t>C4/C9 금액기반 운송항목</t>
  </si>
  <si>
    <t>C6/C7 거리기반 교통수단</t>
  </si>
  <si>
    <t>C6 금액기반 출장항목</t>
  </si>
  <si>
    <t>C5 폐기물 종류</t>
  </si>
  <si>
    <t>폐기물 처리방법</t>
  </si>
  <si>
    <t>폐기물 중량단위</t>
  </si>
  <si>
    <t>운송 중량단위</t>
  </si>
  <si>
    <t>표시값(드롭다운)</t>
  </si>
  <si>
    <t>표준코드</t>
  </si>
  <si>
    <t>DEFRA Type</t>
  </si>
  <si>
    <t>매핑 키워드</t>
  </si>
  <si>
    <t>원재료/부자재</t>
  </si>
  <si>
    <t>도로 운송 (일반화물트럭)</t>
  </si>
  <si>
    <t>항공 운송(여객·화물·전세)</t>
  </si>
  <si>
    <t>항공(국제선 평균)</t>
  </si>
  <si>
    <t>항공권(여객·전세)</t>
  </si>
  <si>
    <t>음식물류 폐기물</t>
  </si>
  <si>
    <t>kg</t>
  </si>
  <si>
    <t>flight</t>
  </si>
  <si>
    <t>International, non-UK - Average passenger</t>
  </si>
  <si>
    <t>항공,비행기,비행,airplane,flight,국제선,해외출장</t>
  </si>
  <si>
    <t>포장재</t>
  </si>
  <si>
    <t>천연가스(LNG)</t>
  </si>
  <si>
    <t>GJ</t>
  </si>
  <si>
    <t>도로 운송 (택배·소화물)</t>
  </si>
  <si>
    <t>철도 운송</t>
  </si>
  <si>
    <t>택시·리무진 비용</t>
  </si>
  <si>
    <t>폐지류</t>
  </si>
  <si>
    <t>flight_dom</t>
  </si>
  <si>
    <t>Domestic, to/from UK - Average</t>
  </si>
  <si>
    <t>국내선,국내항공,국내비행,domestic</t>
  </si>
  <si>
    <t>사무용품</t>
  </si>
  <si>
    <t>CNG(차량)</t>
  </si>
  <si>
    <t>해상 운송(원양)</t>
  </si>
  <si>
    <t>시외버스·고속버스 요금</t>
  </si>
  <si>
    <t>폐플라스틱류</t>
  </si>
  <si>
    <t>ferry</t>
  </si>
  <si>
    <t>Average (all passenger)</t>
  </si>
  <si>
    <t>페리,ferry,선박,배</t>
  </si>
  <si>
    <t>탕비·식음료</t>
  </si>
  <si>
    <t>LNG(차량)</t>
  </si>
  <si>
    <t>해상 운송 (컨테이너선)</t>
  </si>
  <si>
    <t>내륙 수로 화물</t>
  </si>
  <si>
    <t>기차·KTX 요금</t>
  </si>
  <si>
    <t>폐목재류</t>
  </si>
  <si>
    <t>bus</t>
  </si>
  <si>
    <t>Average local bus</t>
  </si>
  <si>
    <t>버스,bus,고속버스,시외버스,시내버스,광역버스,전세버스,셔틀</t>
  </si>
  <si>
    <t>IT장비</t>
  </si>
  <si>
    <t>해상 운송 (벌크선)</t>
  </si>
  <si>
    <t>화물 트럭(지역·이사)</t>
  </si>
  <si>
    <t>렌터카·렌트 트럭</t>
  </si>
  <si>
    <t>폐섬유류</t>
  </si>
  <si>
    <t>coach</t>
  </si>
  <si>
    <t>Coach</t>
  </si>
  <si>
    <t>코치,장거리버스,express bus</t>
  </si>
  <si>
    <t>사무가구·비품</t>
  </si>
  <si>
    <t>도시가스(LPG)</t>
  </si>
  <si>
    <t>항공 운송</t>
  </si>
  <si>
    <t>장거리 화물 트럭 (차량단위)</t>
  </si>
  <si>
    <t>숙박비(호텔·게스트하우스 등)</t>
  </si>
  <si>
    <t>폐유리류</t>
  </si>
  <si>
    <t>train</t>
  </si>
  <si>
    <t>National rail</t>
  </si>
  <si>
    <t>기차,KTX,SRT,ITX,새마을,무궁화,열차,철도</t>
  </si>
  <si>
    <t>시설·유지보수</t>
  </si>
  <si>
    <t>내륙수로 운송</t>
  </si>
  <si>
    <t>장거리 화물 트럭 (혼재)</t>
  </si>
  <si>
    <t>폐금속류</t>
  </si>
  <si>
    <t>subway</t>
  </si>
  <si>
    <t>London Underground / Metro</t>
  </si>
  <si>
    <t>지하철,subway,metro,전철,도시철도</t>
  </si>
  <si>
    <t>외주·서비스</t>
  </si>
  <si>
    <t>특수화물 트럭 (장거리)</t>
  </si>
  <si>
    <t>택시</t>
  </si>
  <si>
    <t>오니류</t>
  </si>
  <si>
    <t>taxi</t>
  </si>
  <si>
    <t>Regular taxi</t>
  </si>
  <si>
    <t>택시,taxi,cab,카카오t,카카오택시,우버,uber</t>
  </si>
  <si>
    <t>에너지·유틸리티</t>
  </si>
  <si>
    <t>보일러 등유</t>
  </si>
  <si>
    <t>복합 대중교통</t>
  </si>
  <si>
    <t>폐전기전자제품</t>
  </si>
  <si>
    <t>car</t>
  </si>
  <si>
    <t>Average car</t>
  </si>
  <si>
    <t>승용차,자가용,car,차량,렌터카,자동차</t>
  </si>
  <si>
    <t>차량·운송장비</t>
  </si>
  <si>
    <t>버스(대중교통·통근·전세)</t>
  </si>
  <si>
    <t>하이브리드차</t>
  </si>
  <si>
    <t>폐배터리</t>
  </si>
  <si>
    <t>car_hybrid</t>
  </si>
  <si>
    <t>PHEV - Method 2</t>
  </si>
  <si>
    <t>하이브리드,hybrid,HEV,PHEV,플러그인하이브리드</t>
  </si>
  <si>
    <t>생산설비</t>
  </si>
  <si>
    <t>항공유</t>
  </si>
  <si>
    <t>기타 도시교통</t>
  </si>
  <si>
    <t>폐유류</t>
  </si>
  <si>
    <t>car_ev</t>
  </si>
  <si>
    <t>BEV</t>
  </si>
  <si>
    <t>전기차,전기자동차,EV,BEV,테슬라,아이오닉,EV6</t>
  </si>
  <si>
    <t>안전·위생</t>
  </si>
  <si>
    <t>도시간·농촌 버스</t>
  </si>
  <si>
    <t>오토바이</t>
  </si>
  <si>
    <t>폐콘크리트류</t>
  </si>
  <si>
    <t>motorcycle</t>
  </si>
  <si>
    <t>Average</t>
  </si>
  <si>
    <t>오토바이,motorcycle,바이크</t>
  </si>
  <si>
    <t>건설자재</t>
  </si>
  <si>
    <t>택시·리무진</t>
  </si>
  <si>
    <t>폐고무/피혁류</t>
  </si>
  <si>
    <t>walk</t>
  </si>
  <si>
    <t>도보·자전거</t>
  </si>
  <si>
    <t>도보,자전거,walk,bicycle,bike</t>
  </si>
  <si>
    <t>통신·미디어</t>
  </si>
  <si>
    <t>원유 파이프라인</t>
  </si>
  <si>
    <t>지정폐기물</t>
  </si>
  <si>
    <t>여행·숙박</t>
  </si>
  <si>
    <t>선택안함</t>
  </si>
  <si>
    <t>화물운송 주선 (포워딩)</t>
  </si>
  <si>
    <t>택배·퀵배송</t>
  </si>
  <si>
    <t>[전체 평균]</t>
  </si>
  <si>
    <t>지역 배달</t>
  </si>
  <si>
    <t>※ 본 시트의 드롭다운 목록은 업로드된 「배출계수_통합_DB」의 각 시트 값을 기준으로 생성했습니다. 템플릿의 입력값과 DB 기준명이 다른 경우에는 「드롭다운_매핑검토」의 매핑표를 참고하세요.</t>
  </si>
  <si>
    <t>구분</t>
  </si>
  <si>
    <t>템플릿 시트/범위</t>
  </si>
  <si>
    <t>기존 드롭다운/예시값</t>
  </si>
  <si>
    <t>DB 기준 변경값</t>
  </si>
  <si>
    <t>조치</t>
  </si>
  <si>
    <t>구매/자본재</t>
  </si>
  <si>
    <t>C1 D20:D219, C2 D20:D219</t>
  </si>
  <si>
    <t>기존 품목군/자산분류 일부</t>
  </si>
  <si>
    <t>구매_USEPA!품목군 기준</t>
  </si>
  <si>
    <t>DB 품목군으로 통일</t>
  </si>
  <si>
    <t>에너지</t>
  </si>
  <si>
    <t>전기, 스팀, LPG 등</t>
  </si>
  <si>
    <t>에너지!활동유형(에너지원) 기준</t>
  </si>
  <si>
    <t>전기→전력, 스팀→열(스팀), LPG→액화석유가스(LPG) 등 매핑</t>
  </si>
  <si>
    <t>에너지 단위</t>
  </si>
  <si>
    <t>에너지 단위 컬럼</t>
  </si>
  <si>
    <t>m3, Nm3 등</t>
  </si>
  <si>
    <t>에너지!투입량 기준단위 기준</t>
  </si>
  <si>
    <t>Nm³ 등 DB 표기 통일</t>
  </si>
  <si>
    <t>운송 거리기반</t>
  </si>
  <si>
    <t>C4-1/C9-1 운송수단</t>
  </si>
  <si>
    <t>도로/해상/항공/철도</t>
  </si>
  <si>
    <t>운송!운송수단(EPD 원본명) 기준</t>
  </si>
  <si>
    <t>세부 EF 단위로 상세화 및 내륙수로 추가</t>
  </si>
  <si>
    <t>운송 금액기반</t>
  </si>
  <si>
    <t>C4-2/C9-2 운송수단</t>
  </si>
  <si>
    <t>운송_Spend!한국어 품목명 기준</t>
  </si>
  <si>
    <t>화물트럭 운송, 정기 항공화물 등으로 상세화 → 이후 배출계수(EF)가 완전히 동일한 항목끼리 재통합 (27→17개, 배출계수_통합_DB.xlsx의 운송_Spend 시트도 동일 기준으로 병합)</t>
  </si>
  <si>
    <t>출장/통근 거리기반</t>
  </si>
  <si>
    <t>C6-1/C7 교통수단</t>
  </si>
  <si>
    <t>자동차, 철도(KTX/SRT) 등</t>
  </si>
  <si>
    <t>출장_통근!표준코드/키워드 기준</t>
  </si>
  <si>
    <t>DB 표준코드와 연결되는 한국어 표시값으로 정리 → 실사용 데이터(공연공 실적 1,200여 행) 기준 33개 중 실제로 쓰인 건 9개뿐이라, 좌석등급·차량크기 등 세부 구분(비즈니스/이코노미, 소형/중형/대형 등)을 13개로 축소(파이프라인 TRAVEL_EF_MAP의 세부 EF 코드 자체는 그대로 보존, 드롭다운만 정리)</t>
  </si>
  <si>
    <t>출장비</t>
  </si>
  <si>
    <t>C6-2 출장항목</t>
  </si>
  <si>
    <t>항공/철도/택시/렌터카/숙박/기타</t>
  </si>
  <si>
    <t>출장_Spend!한국어 품목명 기준</t>
  </si>
  <si>
    <t>여객 항공권, 기차·KTX 요금 등으로 상세화 → EF가 동일한 항목 병합 + 식비/통신비(DB에 배출계수 없음) 제거로 14→6개 축소, 배출계수_통합_DB.xlsx의 출장_Spend 시트도 동일 기준으로 병합</t>
  </si>
  <si>
    <t>사업장폐기물</t>
  </si>
  <si>
    <t>C5 폐기물종류/처리방법</t>
  </si>
  <si>
    <t>템플릿 임의목록</t>
  </si>
  <si>
    <t>폐기물_C5 기준</t>
  </si>
  <si>
    <t>DB에 없는 항목은 지정폐기물/기타 등으로 매핑</t>
  </si>
  <si>
    <t>판매제품폐기</t>
  </si>
  <si>
    <t>C12 대/중/소분류</t>
  </si>
  <si>
    <t>기존 전체 법정 분류 목록</t>
  </si>
  <si>
    <t>폐기물_C12에 계수 있는 항목만</t>
  </si>
  <si>
    <t>소분류까지 DB 보유 항목 중심으로 축소·재구성</t>
  </si>
  <si>
    <t>회사별 자동매칭</t>
  </si>
  <si>
    <t>C5 폐기물종류 / C6-1·C7 교통수단</t>
  </si>
  <si>
    <t>(신규 기능)</t>
  </si>
  <si>
    <t>'회사별_폐기물매핑'/'회사별_교통수단매핑' 시트</t>
  </si>
  <si>
    <t>표지(기업정보)에서 회사 선택 → 상세명(E열/Y열) 입력 시 표준값이 자동 매칭되는 수식 추가. 회사 목록은 '기업정보' 시트 E열에서 관리하고, 두 매핑 시트는 그 값을 그대로 참조</t>
  </si>
  <si>
    <t>항공 거리계산(C6-1/C7)</t>
  </si>
  <si>
    <t>get_distance_km(mode="air")</t>
  </si>
  <si>
    <t>주소 기준 직선거리 × 1.05</t>
  </si>
  <si>
    <t>Climatiq/ICAO/DEFRA 벤치마킹 결과</t>
  </si>
  <si>
    <t>출도착지가 공항이 아니라 주소·지명이면 AI가 그 지역의 가까운 주요 공항으로 치환한 뒤 공항-공항 간 거리로 계산하도록 수정, 우회보정 계수도 1.05 → 1.09로 상향</t>
  </si>
  <si>
    <t>주요 기존값 → DB 기준값 매핑</t>
  </si>
  <si>
    <t>매핑그룹</t>
  </si>
  <si>
    <t>기존값</t>
  </si>
  <si>
    <t>DB 기준값</t>
  </si>
  <si>
    <t>purchase_group</t>
  </si>
  <si>
    <t>원재료</t>
  </si>
  <si>
    <t>부자재</t>
  </si>
  <si>
    <t>종이/인쇄물</t>
  </si>
  <si>
    <t>IT/전자장비</t>
  </si>
  <si>
    <t>소모품</t>
  </si>
  <si>
    <t>화학물질</t>
  </si>
  <si>
    <t>금속/철강</t>
  </si>
  <si>
    <t>플라스틱/고무</t>
  </si>
  <si>
    <t>섬유/의류</t>
  </si>
  <si>
    <t>식음료</t>
  </si>
  <si>
    <t>운송/물류서비스</t>
  </si>
  <si>
    <t>전문서비스</t>
  </si>
  <si>
    <t>유지보수/수리서비스</t>
  </si>
  <si>
    <t>외주가공</t>
  </si>
  <si>
    <t>capital_group</t>
  </si>
  <si>
    <t>건물/구축물</t>
  </si>
  <si>
    <t>기계장치</t>
  </si>
  <si>
    <t>전기설비</t>
  </si>
  <si>
    <t>공조/냉난방설비</t>
  </si>
  <si>
    <t>차량운반구</t>
  </si>
  <si>
    <t>공구와기구</t>
  </si>
  <si>
    <t>금형/치공구</t>
  </si>
  <si>
    <t>비품</t>
  </si>
  <si>
    <t>전기전자장비</t>
  </si>
  <si>
    <t>연구/시험장비</t>
  </si>
  <si>
    <t>물류/운반장비</t>
  </si>
  <si>
    <t>소프트웨어/시스템</t>
  </si>
  <si>
    <t>energy</t>
  </si>
  <si>
    <t>전기</t>
  </si>
  <si>
    <t>스팀</t>
  </si>
  <si>
    <t>스팀(열병합발전)</t>
  </si>
  <si>
    <t>도시가스</t>
  </si>
  <si>
    <t>천연가스</t>
  </si>
  <si>
    <t>LNG</t>
  </si>
  <si>
    <t>CNG</t>
  </si>
  <si>
    <t>LPG</t>
  </si>
  <si>
    <t>액화석유가스</t>
  </si>
  <si>
    <t>등유</t>
  </si>
  <si>
    <t>transport_distance</t>
  </si>
  <si>
    <t>도로</t>
  </si>
  <si>
    <t>택배</t>
  </si>
  <si>
    <t>소화물</t>
  </si>
  <si>
    <t>철도</t>
  </si>
  <si>
    <t>해상</t>
  </si>
  <si>
    <t>벌크선</t>
  </si>
  <si>
    <t>항공</t>
  </si>
  <si>
    <t>내륙수로</t>
  </si>
  <si>
    <t>transport_spend</t>
  </si>
  <si>
    <t>트럭</t>
  </si>
  <si>
    <t>창고</t>
  </si>
  <si>
    <t>(DB에 해당 항목 없음 - 창고/보관은 운송 배출계수 대상 아님)</t>
  </si>
  <si>
    <t>보관</t>
  </si>
  <si>
    <t>대중교통</t>
  </si>
  <si>
    <t>travel_distance</t>
  </si>
  <si>
    <t>자동차(내연기관)</t>
  </si>
  <si>
    <t>승용차</t>
  </si>
  <si>
    <t>자가용</t>
  </si>
  <si>
    <t>통근버스</t>
  </si>
  <si>
    <t>지하철</t>
  </si>
  <si>
    <t>철도(KTX/SRT)</t>
  </si>
  <si>
    <t>철도(기타)</t>
  </si>
  <si>
    <t>국제선 단거리</t>
  </si>
  <si>
    <t>국제선 장거리</t>
  </si>
  <si>
    <t>렌터카</t>
  </si>
  <si>
    <t>도보</t>
  </si>
  <si>
    <t>자전거</t>
  </si>
  <si>
    <t>travel_spend</t>
  </si>
  <si>
    <t>항공권</t>
  </si>
  <si>
    <t>기차</t>
  </si>
  <si>
    <t>숙박</t>
  </si>
  <si>
    <t>식비</t>
  </si>
  <si>
    <t>(제거됨 - DB에 배출계수 없음, 드롭다운에서 삭제)</t>
  </si>
  <si>
    <t>waste_c5</t>
  </si>
  <si>
    <t>폐페인트/폐래커</t>
  </si>
  <si>
    <t>폐유기용제</t>
  </si>
  <si>
    <t>의료폐기물</t>
  </si>
  <si>
    <t>유해폐기물</t>
  </si>
  <si>
    <t>혼합폐기물</t>
  </si>
  <si>
    <t>폐콘크리트</t>
  </si>
  <si>
    <t>unit</t>
  </si>
  <si>
    <t>m3</t>
  </si>
  <si>
    <t>Nm3</t>
  </si>
  <si>
    <t>㎥</t>
  </si>
  <si>
    <t>NM3</t>
  </si>
  <si>
    <t>nm3</t>
  </si>
  <si>
    <t>kwh</t>
  </si>
  <si>
    <t>KWH</t>
  </si>
  <si>
    <t>KWh</t>
  </si>
  <si>
    <t>톤</t>
  </si>
  <si>
    <t>KG</t>
  </si>
  <si>
    <t>l</t>
  </si>
  <si>
    <t>MJ</t>
  </si>
  <si>
    <t>회사명</t>
  </si>
  <si>
    <t>상세 폐기물명</t>
  </si>
  <si>
    <t>폐기물 종류</t>
  </si>
  <si>
    <t>회사 목록(드롭다운용)</t>
  </si>
  <si>
    <t>회사 목록은 이 시트가 아니라 '기업정보' 시트의 E열에서 관리합니다(이 시트 E열은 그 값을 그대로 표시). 새 회사를 추가하려면: ① 이 시트 A~C열에 그 회사의 '상세 폐기물명 → 폐기물 종류' 행을 추가하고 ② '기업정보' 시트 E열에 회사명을 한 줄 추가하세요.</t>
  </si>
  <si>
    <t>상세 교통수단명</t>
  </si>
  <si>
    <t>표준 교통수단</t>
  </si>
  <si>
    <t>회사 목록은 이 시트가 아니라 '기업정보' 시트의 E열에서 관리합니다(이 시트 E열은 그 값을 그대로 표시). 새 회사를 추가하려면: ① 이 시트 A~C열에 그 회사의 '상세 교통수단명 → 표준 교통수단' 행을 추가하고 ② '기업정보' 시트 E열에 회사명을 한 줄 추가하세요. 표준 교통수단은 반드시 '배출계수_드롭다운' 시트 F열(DD_TRAVEL_DISTANCE) 목록 값과 똑같이 입력해야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</si>
</sst>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6"/>
      <color rgb="FF000000"/>
      <name val="Carlito"/>
    </font>
    <font>
      <b/>
      <sz val="10"/>
      <name val="Carlito"/>
    </font>
    <font>
      <sz val="9"/>
      <name val="Carlito"/>
    </font>
    <font>
      <b/>
      <sz val="9"/>
      <color rgb="FFFF0000"/>
      <name val="Carlito"/>
    </font>
    <font>
      <b/>
      <sz val="11"/>
      <name val="Carlito"/>
    </font>
    <font>
      <sz val="11"/>
      <color rgb="FF7F7F7F"/>
      <name val="Carlito"/>
    </font>
    <font>
      <sz val="11"/>
      <name val="Carlito"/>
    </font>
    <font>
      <sz val="8"/>
      <name val="돋움"/>
      <family val="3"/>
      <charset val="129"/>
    </font>
    <font>
      <sz val="9"/>
      <name val="Carlito"/>
      <family val="3"/>
      <charset val="129"/>
    </font>
    <font>
      <b/>
      <sz val="9"/>
      <color rgb="FFFF0000"/>
      <name val="Carlito"/>
      <family val="3"/>
      <charset val="129"/>
    </font>
    <font>
      <b/>
      <sz val="11"/>
      <name val="Carlito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  <font>
      <sz val="11"/>
      <name val="Carlito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0" fontId="1" fillId="0" borderId="0" xfId="1" applyFont="1"/>
    <xf numFmtId="0" fontId="2" fillId="0" borderId="0" xfId="1" applyFont="1"/>
    <xf numFmtId="0" fontId="6" fillId="3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2" borderId="1" xfId="1" applyFont="1" applyFill="1" applyBorder="1" applyAlignment="1">
      <alignment vertical="center" wrapText="1"/>
    </xf>
    <xf numFmtId="0" fontId="3" fillId="0" borderId="0" xfId="1" applyFont="1"/>
    <xf numFmtId="0" fontId="4" fillId="0" borderId="0" xfId="1" applyFont="1"/>
    <xf numFmtId="0" fontId="5" fillId="4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 vertical="center" wrapText="1"/>
    </xf>
    <xf numFmtId="0" fontId="10" fillId="0" borderId="0" xfId="1" applyFont="1"/>
    <xf numFmtId="0" fontId="9" fillId="0" borderId="0" xfId="1" applyFont="1"/>
    <xf numFmtId="0" fontId="13" fillId="5" borderId="5" xfId="0" applyFont="1" applyFill="1" applyBorder="1" applyAlignment="1">
      <alignment vertical="top" wrapText="1"/>
    </xf>
    <xf numFmtId="0" fontId="13" fillId="7" borderId="0" xfId="0" applyFont="1" applyFill="1"/>
    <xf numFmtId="0" fontId="14" fillId="6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3" fillId="8" borderId="0" xfId="0" applyFont="1" applyFill="1" applyAlignment="1">
      <alignment horizontal="center" vertical="center"/>
    </xf>
    <xf numFmtId="0" fontId="15" fillId="0" borderId="0" xfId="0" applyFont="1"/>
    <xf numFmtId="0" fontId="13" fillId="9" borderId="0" xfId="0" applyFont="1" applyFill="1"/>
    <xf numFmtId="0" fontId="7" fillId="3" borderId="1" xfId="1" applyFill="1" applyBorder="1" applyAlignment="1">
      <alignment vertical="center" wrapText="1"/>
    </xf>
    <xf numFmtId="0" fontId="17" fillId="0" borderId="1" xfId="1" applyFont="1" applyBorder="1" applyAlignment="1">
      <alignment vertical="center" wrapText="1"/>
    </xf>
    <xf numFmtId="0" fontId="17" fillId="3" borderId="1" xfId="1" applyFont="1" applyFill="1" applyBorder="1" applyAlignment="1">
      <alignment vertical="center" wrapText="1"/>
    </xf>
    <xf numFmtId="0" fontId="12" fillId="3" borderId="1" xfId="1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7" fillId="3" borderId="1" xfId="0" applyFont="1" applyFill="1" applyBorder="1"/>
    <xf numFmtId="0" fontId="17" fillId="2" borderId="1" xfId="0" applyFont="1" applyFill="1" applyBorder="1" applyAlignment="1">
      <alignment vertical="center" wrapText="1"/>
    </xf>
    <xf numFmtId="0" fontId="7" fillId="0" borderId="5" xfId="0" applyFont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5" fillId="4" borderId="1" xfId="1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11" fillId="4" borderId="1" xfId="1" applyFont="1" applyFill="1" applyBorder="1" applyAlignment="1">
      <alignment horizontal="center" vertical="center" wrapText="1"/>
    </xf>
    <xf numFmtId="0" fontId="13" fillId="7" borderId="0" xfId="0" applyFont="1" applyFill="1"/>
    <xf numFmtId="0" fontId="0" fillId="0" borderId="0" xfId="0"/>
    <xf numFmtId="0" fontId="16" fillId="0" borderId="0" xfId="0" applyFont="1" applyAlignment="1">
      <alignment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"/>
  <sheetViews>
    <sheetView workbookViewId="0"/>
  </sheetViews>
  <sheetFormatPr defaultRowHeight="14.25"/>
  <cols>
    <col min="2" max="3" width="16" customWidth="1"/>
    <col min="4" max="4" width="70" customWidth="1"/>
    <col min="5" max="5" width="22" customWidth="1"/>
  </cols>
  <sheetData>
    <row r="1" spans="2:5" ht="15">
      <c r="E1" s="26" t="s">
        <v>0</v>
      </c>
    </row>
    <row r="2" spans="2:5" ht="20.25">
      <c r="B2" s="28" t="s">
        <v>1</v>
      </c>
      <c r="E2" t="s">
        <v>2</v>
      </c>
    </row>
    <row r="4" spans="2:5">
      <c r="B4" s="29" t="s">
        <v>3</v>
      </c>
    </row>
    <row r="5" spans="2:5">
      <c r="B5" s="30" t="s">
        <v>4</v>
      </c>
    </row>
    <row r="7" spans="2:5" ht="15">
      <c r="B7" s="26" t="s">
        <v>5</v>
      </c>
      <c r="C7" s="31" t="s">
        <v>2</v>
      </c>
      <c r="D7" s="27" t="s">
        <v>6</v>
      </c>
    </row>
  </sheetData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C7" xr:uid="{00000000-0002-0000-0000-000000000000}">
      <formula1>DD_APPLIED_COMPANY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55"/>
  <sheetViews>
    <sheetView workbookViewId="0"/>
  </sheetViews>
  <sheetFormatPr defaultRowHeight="14.25"/>
  <cols>
    <col min="2" max="2" width="10" customWidth="1"/>
    <col min="3" max="3" width="24.375" customWidth="1"/>
    <col min="4" max="4" width="18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7</v>
      </c>
    </row>
    <row r="4" spans="2:2">
      <c r="B4" s="2" t="s">
        <v>8</v>
      </c>
    </row>
    <row r="5" spans="2:2">
      <c r="B5" s="9" t="s">
        <v>9</v>
      </c>
    </row>
    <row r="6" spans="2:2">
      <c r="B6" s="9" t="s">
        <v>10</v>
      </c>
    </row>
    <row r="9" spans="2:2">
      <c r="B9" s="2" t="s">
        <v>11</v>
      </c>
    </row>
    <row r="10" spans="2:2">
      <c r="B10" s="14" t="s">
        <v>12</v>
      </c>
    </row>
    <row r="11" spans="2:2">
      <c r="B11" s="14" t="s">
        <v>13</v>
      </c>
    </row>
    <row r="12" spans="2:2">
      <c r="B12" s="9" t="s">
        <v>14</v>
      </c>
    </row>
    <row r="13" spans="2:2">
      <c r="B13" s="9" t="s">
        <v>15</v>
      </c>
    </row>
    <row r="14" spans="2:2">
      <c r="B14" s="9" t="s">
        <v>16</v>
      </c>
    </row>
    <row r="16" spans="2:2">
      <c r="B16" s="10" t="s">
        <v>17</v>
      </c>
    </row>
    <row r="17" spans="2:21">
      <c r="B17" s="13" t="s">
        <v>18</v>
      </c>
    </row>
    <row r="18" spans="2:21" ht="15" customHeight="1">
      <c r="B18" s="34" t="s">
        <v>19</v>
      </c>
      <c r="C18" s="34" t="s">
        <v>20</v>
      </c>
      <c r="D18" s="34" t="s">
        <v>21</v>
      </c>
      <c r="E18" s="34" t="s">
        <v>22</v>
      </c>
      <c r="F18" s="11" t="s">
        <v>23</v>
      </c>
      <c r="G18" s="36" t="s">
        <v>24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8"/>
      <c r="S18" s="34" t="s">
        <v>25</v>
      </c>
      <c r="T18" s="34" t="s">
        <v>26</v>
      </c>
      <c r="U18" s="34" t="s">
        <v>27</v>
      </c>
    </row>
    <row r="19" spans="2:21" ht="15.75" customHeight="1">
      <c r="B19" s="35"/>
      <c r="C19" s="35"/>
      <c r="D19" s="35"/>
      <c r="E19" s="35"/>
      <c r="F19" s="12" t="s">
        <v>28</v>
      </c>
      <c r="G19" s="12" t="s">
        <v>29</v>
      </c>
      <c r="H19" s="12" t="s">
        <v>30</v>
      </c>
      <c r="I19" s="12" t="s">
        <v>31</v>
      </c>
      <c r="J19" s="12" t="s">
        <v>32</v>
      </c>
      <c r="K19" s="12" t="s">
        <v>33</v>
      </c>
      <c r="L19" s="12" t="s">
        <v>34</v>
      </c>
      <c r="M19" s="12" t="s">
        <v>35</v>
      </c>
      <c r="N19" s="12" t="s">
        <v>36</v>
      </c>
      <c r="O19" s="12" t="s">
        <v>37</v>
      </c>
      <c r="P19" s="12" t="s">
        <v>38</v>
      </c>
      <c r="Q19" s="12" t="s">
        <v>39</v>
      </c>
      <c r="R19" s="12" t="s">
        <v>40</v>
      </c>
      <c r="S19" s="35"/>
      <c r="T19" s="35"/>
      <c r="U19" s="35"/>
    </row>
    <row r="20" spans="2:21" ht="16.5" customHeight="1">
      <c r="B20" s="22" t="s">
        <v>41</v>
      </c>
      <c r="C20" s="25" t="s">
        <v>42</v>
      </c>
      <c r="D20" s="6" t="s">
        <v>43</v>
      </c>
      <c r="E20" s="6" t="s">
        <v>44</v>
      </c>
      <c r="F20" s="22">
        <v>1204323.7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5"/>
      <c r="U20" s="5"/>
    </row>
    <row r="21" spans="2:21" ht="16.5" customHeight="1">
      <c r="B21" s="22" t="s">
        <v>41</v>
      </c>
      <c r="C21" s="25" t="s">
        <v>42</v>
      </c>
      <c r="D21" s="6" t="s">
        <v>45</v>
      </c>
      <c r="E21" s="6" t="s">
        <v>46</v>
      </c>
      <c r="F21" s="6">
        <v>40420.502424809987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T21" s="8"/>
      <c r="U21" s="8"/>
    </row>
    <row r="22" spans="2:21">
      <c r="B22" s="22" t="s">
        <v>41</v>
      </c>
      <c r="C22" s="6" t="s">
        <v>47</v>
      </c>
      <c r="D22" s="6" t="s">
        <v>43</v>
      </c>
      <c r="E22" s="6" t="s">
        <v>44</v>
      </c>
      <c r="F22" s="6">
        <v>278632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/>
      <c r="U22" s="8"/>
    </row>
    <row r="23" spans="2:21">
      <c r="B23" s="22" t="s">
        <v>41</v>
      </c>
      <c r="C23" s="6" t="s">
        <v>47</v>
      </c>
      <c r="D23" s="6" t="s">
        <v>45</v>
      </c>
      <c r="E23" s="6" t="s">
        <v>46</v>
      </c>
      <c r="F23" s="6">
        <v>26542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/>
      <c r="U23" s="8"/>
    </row>
    <row r="24" spans="2:21">
      <c r="B24" s="22" t="s">
        <v>41</v>
      </c>
      <c r="C24" s="6" t="s">
        <v>48</v>
      </c>
      <c r="D24" s="6" t="s">
        <v>43</v>
      </c>
      <c r="E24" s="6" t="s">
        <v>44</v>
      </c>
      <c r="F24" s="6">
        <v>10612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/>
      <c r="U24" s="8"/>
    </row>
    <row r="25" spans="2:21">
      <c r="B25" s="22" t="s">
        <v>41</v>
      </c>
      <c r="C25" s="6" t="s">
        <v>49</v>
      </c>
      <c r="D25" s="6" t="s">
        <v>43</v>
      </c>
      <c r="E25" s="6" t="s">
        <v>44</v>
      </c>
      <c r="F25" s="6">
        <v>5701487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/>
      <c r="U25" s="8"/>
    </row>
    <row r="26" spans="2:21">
      <c r="B26" s="22" t="s">
        <v>41</v>
      </c>
      <c r="C26" s="6" t="s">
        <v>49</v>
      </c>
      <c r="D26" s="6" t="s">
        <v>45</v>
      </c>
      <c r="E26" s="6" t="s">
        <v>46</v>
      </c>
      <c r="F26" s="6">
        <v>622485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/>
      <c r="U26" s="8"/>
    </row>
    <row r="27" spans="2:21">
      <c r="B27" s="22" t="s">
        <v>41</v>
      </c>
      <c r="C27" s="6" t="s">
        <v>50</v>
      </c>
      <c r="D27" s="6" t="s">
        <v>43</v>
      </c>
      <c r="E27" s="6" t="s">
        <v>44</v>
      </c>
      <c r="F27" s="6">
        <v>2120259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/>
      <c r="U27" s="8"/>
    </row>
    <row r="28" spans="2:21">
      <c r="B28" s="22" t="s">
        <v>41</v>
      </c>
      <c r="C28" s="6" t="s">
        <v>50</v>
      </c>
      <c r="D28" s="6" t="s">
        <v>51</v>
      </c>
      <c r="E28" s="6" t="s">
        <v>52</v>
      </c>
      <c r="F28" s="6">
        <v>156964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 t="s">
        <v>53</v>
      </c>
      <c r="T28" s="8"/>
      <c r="U28" s="8"/>
    </row>
    <row r="29" spans="2:21">
      <c r="B29" s="22" t="s">
        <v>41</v>
      </c>
      <c r="C29" s="6" t="s">
        <v>50</v>
      </c>
      <c r="D29" s="6" t="s">
        <v>54</v>
      </c>
      <c r="E29" s="6" t="s">
        <v>46</v>
      </c>
      <c r="F29" s="6">
        <v>11358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/>
      <c r="U29" s="8"/>
    </row>
    <row r="30" spans="2:21">
      <c r="B30" s="22" t="s">
        <v>41</v>
      </c>
      <c r="C30" s="6" t="s">
        <v>50</v>
      </c>
      <c r="D30" s="6" t="s">
        <v>51</v>
      </c>
      <c r="E30" s="6" t="s">
        <v>52</v>
      </c>
      <c r="F30" s="6">
        <v>4200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/>
      <c r="U30" s="8"/>
    </row>
    <row r="31" spans="2:21">
      <c r="B31" s="22" t="s">
        <v>41</v>
      </c>
      <c r="C31" s="6" t="s">
        <v>55</v>
      </c>
      <c r="D31" s="6" t="s">
        <v>43</v>
      </c>
      <c r="E31" s="6" t="s">
        <v>44</v>
      </c>
      <c r="F31" s="6">
        <v>689829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/>
      <c r="U31" s="8"/>
    </row>
    <row r="32" spans="2:21">
      <c r="B32" s="22" t="s">
        <v>41</v>
      </c>
      <c r="C32" s="6" t="s">
        <v>55</v>
      </c>
      <c r="D32" s="6" t="s">
        <v>54</v>
      </c>
      <c r="E32" s="6" t="s">
        <v>46</v>
      </c>
      <c r="F32" s="6">
        <v>40949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/>
      <c r="U32" s="8"/>
    </row>
    <row r="33" spans="2:21">
      <c r="B33" s="22" t="s">
        <v>41</v>
      </c>
      <c r="C33" s="6" t="s">
        <v>55</v>
      </c>
      <c r="D33" s="6" t="s">
        <v>51</v>
      </c>
      <c r="E33" s="6" t="s">
        <v>52</v>
      </c>
      <c r="F33" s="6">
        <v>2399.77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/>
      <c r="U33" s="8"/>
    </row>
    <row r="34" spans="2:21">
      <c r="B34" s="22" t="s">
        <v>41</v>
      </c>
      <c r="C34" s="6" t="s">
        <v>56</v>
      </c>
      <c r="D34" s="6" t="s">
        <v>43</v>
      </c>
      <c r="E34" s="6" t="s">
        <v>44</v>
      </c>
      <c r="F34" s="6">
        <v>1410420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/>
      <c r="U34" s="8"/>
    </row>
    <row r="35" spans="2:21">
      <c r="B35" s="22" t="s">
        <v>41</v>
      </c>
      <c r="C35" s="6" t="s">
        <v>56</v>
      </c>
      <c r="D35" s="6" t="s">
        <v>54</v>
      </c>
      <c r="E35" s="6" t="s">
        <v>46</v>
      </c>
      <c r="F35" s="6">
        <v>20378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/>
      <c r="U35" s="8"/>
    </row>
    <row r="36" spans="2:21">
      <c r="B36" s="22" t="s">
        <v>41</v>
      </c>
      <c r="C36" s="6" t="s">
        <v>57</v>
      </c>
      <c r="D36" s="6" t="s">
        <v>43</v>
      </c>
      <c r="E36" s="6" t="s">
        <v>44</v>
      </c>
      <c r="F36" s="6">
        <v>1333943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/>
      <c r="U36" s="8"/>
    </row>
    <row r="37" spans="2:21">
      <c r="B37" s="22" t="s">
        <v>41</v>
      </c>
      <c r="C37" s="6" t="s">
        <v>57</v>
      </c>
      <c r="D37" s="6" t="s">
        <v>58</v>
      </c>
      <c r="E37" s="6" t="s">
        <v>52</v>
      </c>
      <c r="F37" s="6">
        <v>170145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 t="s">
        <v>59</v>
      </c>
      <c r="T37" s="8"/>
      <c r="U37" s="8"/>
    </row>
    <row r="38" spans="2:21">
      <c r="B38" s="22" t="s">
        <v>41</v>
      </c>
      <c r="C38" s="6" t="s">
        <v>60</v>
      </c>
      <c r="D38" s="6" t="s">
        <v>58</v>
      </c>
      <c r="E38" s="6" t="s">
        <v>52</v>
      </c>
      <c r="F38" s="6">
        <v>7324.7130000000006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/>
      <c r="U38" s="8"/>
    </row>
    <row r="39" spans="2:21">
      <c r="B39" s="22" t="s">
        <v>41</v>
      </c>
      <c r="C39" s="6" t="s">
        <v>61</v>
      </c>
      <c r="D39" s="6" t="s">
        <v>62</v>
      </c>
      <c r="E39" s="6" t="s">
        <v>52</v>
      </c>
      <c r="F39" s="6">
        <v>178.11799999999999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/>
      <c r="U39" s="8"/>
    </row>
    <row r="40" spans="2:21">
      <c r="B40" s="22" t="s">
        <v>41</v>
      </c>
      <c r="C40" s="6" t="s">
        <v>63</v>
      </c>
      <c r="D40" s="6" t="s">
        <v>64</v>
      </c>
      <c r="E40" s="6" t="s">
        <v>52</v>
      </c>
      <c r="F40" s="6">
        <v>279.8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/>
      <c r="U40" s="8"/>
    </row>
    <row r="41" spans="2:21">
      <c r="B41" s="22" t="s">
        <v>41</v>
      </c>
      <c r="C41" s="6" t="s">
        <v>65</v>
      </c>
      <c r="D41" s="6" t="s">
        <v>64</v>
      </c>
      <c r="E41" s="6" t="s">
        <v>52</v>
      </c>
      <c r="F41" s="6">
        <v>434.32100000000003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/>
      <c r="U41" s="8"/>
    </row>
    <row r="42" spans="2:21">
      <c r="B42" s="22" t="s">
        <v>41</v>
      </c>
      <c r="C42" s="6" t="s">
        <v>66</v>
      </c>
      <c r="D42" s="6" t="s">
        <v>58</v>
      </c>
      <c r="E42" s="6" t="s">
        <v>52</v>
      </c>
      <c r="F42" s="6">
        <v>10998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/>
      <c r="U42" s="8"/>
    </row>
    <row r="43" spans="2:21">
      <c r="B43" s="22" t="s">
        <v>41</v>
      </c>
      <c r="C43" s="6" t="s">
        <v>66</v>
      </c>
      <c r="D43" s="6" t="s">
        <v>64</v>
      </c>
      <c r="E43" s="6" t="s">
        <v>52</v>
      </c>
      <c r="F43" s="6">
        <v>1849.8779999999999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/>
      <c r="U43" s="8"/>
    </row>
    <row r="44" spans="2:21">
      <c r="B44" s="22" t="s">
        <v>41</v>
      </c>
      <c r="C44" s="6" t="s">
        <v>67</v>
      </c>
      <c r="D44" s="6" t="s">
        <v>58</v>
      </c>
      <c r="E44" s="6" t="s">
        <v>52</v>
      </c>
      <c r="F44" s="6">
        <v>2278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/>
      <c r="U44" s="8"/>
    </row>
    <row r="45" spans="2:21">
      <c r="B45" s="22" t="s">
        <v>41</v>
      </c>
      <c r="C45" s="6" t="s">
        <v>67</v>
      </c>
      <c r="D45" s="6" t="s">
        <v>64</v>
      </c>
      <c r="E45" s="6" t="s">
        <v>52</v>
      </c>
      <c r="F45" s="6">
        <v>2982.9960000000001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/>
      <c r="U45" s="8"/>
    </row>
    <row r="46" spans="2:21">
      <c r="B46" s="22" t="s">
        <v>41</v>
      </c>
      <c r="C46" s="6" t="s">
        <v>68</v>
      </c>
      <c r="D46" s="6" t="s">
        <v>58</v>
      </c>
      <c r="E46" s="6" t="s">
        <v>52</v>
      </c>
      <c r="F46" s="6">
        <v>1004.71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/>
      <c r="U46" s="8"/>
    </row>
    <row r="47" spans="2:21">
      <c r="B47" s="22" t="s">
        <v>41</v>
      </c>
      <c r="C47" s="6" t="s">
        <v>68</v>
      </c>
      <c r="D47" s="6" t="s">
        <v>64</v>
      </c>
      <c r="E47" s="6" t="s">
        <v>52</v>
      </c>
      <c r="F47" s="6">
        <v>814.38100000000009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/>
      <c r="U47" s="8"/>
    </row>
    <row r="48" spans="2:21">
      <c r="B48" s="22" t="s">
        <v>41</v>
      </c>
      <c r="C48" s="6" t="s">
        <v>69</v>
      </c>
      <c r="D48" s="6" t="s">
        <v>58</v>
      </c>
      <c r="E48" s="6" t="s">
        <v>52</v>
      </c>
      <c r="F48" s="6">
        <v>5100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/>
      <c r="U48" s="8"/>
    </row>
    <row r="49" spans="2:21">
      <c r="B49" s="22" t="s">
        <v>41</v>
      </c>
      <c r="C49" s="6" t="s">
        <v>69</v>
      </c>
      <c r="D49" s="6" t="s">
        <v>64</v>
      </c>
      <c r="E49" s="6" t="s">
        <v>52</v>
      </c>
      <c r="F49" s="6">
        <v>1757.3530000000001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/>
      <c r="U49" s="8"/>
    </row>
    <row r="50" spans="2:21">
      <c r="B50" s="22" t="s">
        <v>41</v>
      </c>
      <c r="C50" s="6" t="s">
        <v>70</v>
      </c>
      <c r="D50" s="6" t="s">
        <v>58</v>
      </c>
      <c r="E50" s="6" t="s">
        <v>52</v>
      </c>
      <c r="F50" s="6">
        <v>2167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/>
      <c r="U50" s="8"/>
    </row>
    <row r="51" spans="2:21">
      <c r="B51" s="22" t="s">
        <v>41</v>
      </c>
      <c r="C51" s="6" t="s">
        <v>70</v>
      </c>
      <c r="D51" s="6" t="s">
        <v>64</v>
      </c>
      <c r="E51" s="6" t="s">
        <v>52</v>
      </c>
      <c r="F51" s="6">
        <v>1598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/>
      <c r="U51" s="8"/>
    </row>
    <row r="52" spans="2:2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</sheetData>
  <mergeCells count="8">
    <mergeCell ref="U18:U19"/>
    <mergeCell ref="S18:S19"/>
    <mergeCell ref="D18:D19"/>
    <mergeCell ref="B18:B19"/>
    <mergeCell ref="E18:E19"/>
    <mergeCell ref="T18:T19"/>
    <mergeCell ref="G18:R18"/>
    <mergeCell ref="C18:C19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0:D220" xr:uid="{00000000-0002-0000-01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E20:E220" xr:uid="{00000000-0002-0000-0100-000001000000}">
      <formula1>DD_ENERGY_UNIT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219"/>
  <sheetViews>
    <sheetView tabSelected="1" topLeftCell="A14" workbookViewId="0">
      <selection activeCell="L27" sqref="L27"/>
    </sheetView>
  </sheetViews>
  <sheetFormatPr defaultRowHeight="14.25"/>
  <cols>
    <col min="2" max="2" width="10" customWidth="1"/>
    <col min="3" max="3" width="16" customWidth="1"/>
    <col min="4" max="4" width="18" customWidth="1"/>
    <col min="5" max="5" width="22" customWidth="1"/>
    <col min="6" max="6" width="10" customWidth="1"/>
    <col min="7" max="7" width="12" customWidth="1"/>
    <col min="8" max="8" width="16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4" ht="20.25" customHeight="1">
      <c r="B2" s="1" t="s">
        <v>71</v>
      </c>
    </row>
    <row r="4" spans="2:4">
      <c r="B4" s="2" t="s">
        <v>8</v>
      </c>
    </row>
    <row r="5" spans="2:4">
      <c r="B5" s="9" t="s">
        <v>72</v>
      </c>
    </row>
    <row r="6" spans="2:4">
      <c r="B6" s="9" t="s">
        <v>73</v>
      </c>
    </row>
    <row r="9" spans="2:4">
      <c r="B9" s="2" t="s">
        <v>11</v>
      </c>
    </row>
    <row r="10" spans="2:4">
      <c r="B10" s="9" t="s">
        <v>74</v>
      </c>
    </row>
    <row r="11" spans="2:4">
      <c r="B11" s="9" t="s">
        <v>75</v>
      </c>
    </row>
    <row r="12" spans="2:4">
      <c r="B12" s="9" t="s">
        <v>76</v>
      </c>
    </row>
    <row r="13" spans="2:4">
      <c r="B13" s="9" t="s">
        <v>77</v>
      </c>
    </row>
    <row r="14" spans="2:4" ht="30">
      <c r="B14" s="26" t="s">
        <v>5</v>
      </c>
      <c r="C14" s="32" t="str">
        <f>기업정보!$C$7</f>
        <v>공연공</v>
      </c>
      <c r="D14" s="27" t="s">
        <v>78</v>
      </c>
    </row>
    <row r="15" spans="2:4">
      <c r="B15" s="10" t="s">
        <v>17</v>
      </c>
    </row>
    <row r="16" spans="2:4">
      <c r="B16" s="13" t="s">
        <v>18</v>
      </c>
    </row>
    <row r="17" spans="2:23" ht="15" customHeight="1">
      <c r="B17" s="34" t="s">
        <v>19</v>
      </c>
      <c r="C17" s="34" t="s">
        <v>20</v>
      </c>
      <c r="D17" s="34" t="s">
        <v>79</v>
      </c>
      <c r="E17" s="39" t="s">
        <v>80</v>
      </c>
      <c r="F17" s="34" t="s">
        <v>22</v>
      </c>
      <c r="G17" s="34" t="s">
        <v>81</v>
      </c>
      <c r="H17" s="11" t="s">
        <v>23</v>
      </c>
      <c r="I17" s="36" t="s">
        <v>82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8"/>
      <c r="U17" s="34" t="s">
        <v>25</v>
      </c>
      <c r="V17" s="34" t="s">
        <v>26</v>
      </c>
      <c r="W17" s="34" t="s">
        <v>27</v>
      </c>
    </row>
    <row r="18" spans="2:23" ht="32.1" customHeight="1">
      <c r="B18" s="35"/>
      <c r="C18" s="35"/>
      <c r="D18" s="35"/>
      <c r="E18" s="35"/>
      <c r="F18" s="35"/>
      <c r="G18" s="35"/>
      <c r="H18" s="12" t="s">
        <v>83</v>
      </c>
      <c r="I18" s="12" t="s">
        <v>29</v>
      </c>
      <c r="J18" s="12" t="s">
        <v>30</v>
      </c>
      <c r="K18" s="12" t="s">
        <v>31</v>
      </c>
      <c r="L18" s="12" t="s">
        <v>32</v>
      </c>
      <c r="M18" s="12" t="s">
        <v>33</v>
      </c>
      <c r="N18" s="12" t="s">
        <v>34</v>
      </c>
      <c r="O18" s="12" t="s">
        <v>35</v>
      </c>
      <c r="P18" s="12" t="s">
        <v>36</v>
      </c>
      <c r="Q18" s="12" t="s">
        <v>37</v>
      </c>
      <c r="R18" s="12" t="s">
        <v>38</v>
      </c>
      <c r="S18" s="12" t="s">
        <v>39</v>
      </c>
      <c r="T18" s="12" t="s">
        <v>40</v>
      </c>
      <c r="U18" s="35"/>
      <c r="V18" s="35"/>
      <c r="W18" s="35"/>
    </row>
    <row r="19" spans="2:23">
      <c r="B19" s="22" t="s">
        <v>41</v>
      </c>
      <c r="C19" s="22" t="s">
        <v>84</v>
      </c>
      <c r="D19" s="24" t="str">
        <f>IFERROR(INDEX(회사별_폐기물매핑!$C$2:$C$1000,MATCH(1,INDEX(($C$14=회사별_폐기물매핑!$A$2:$A$1000)*($E19=회사별_폐기물매핑!$B$2:$B$1000),0),0)),"")</f>
        <v>기타</v>
      </c>
      <c r="E19" s="23" t="s">
        <v>85</v>
      </c>
      <c r="F19" s="22" t="s">
        <v>86</v>
      </c>
      <c r="G19" s="24" t="s">
        <v>87</v>
      </c>
      <c r="H19" s="22">
        <v>121.9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5"/>
      <c r="W19" s="5"/>
    </row>
    <row r="20" spans="2:23">
      <c r="B20" s="22" t="s">
        <v>41</v>
      </c>
      <c r="C20" s="24" t="s">
        <v>84</v>
      </c>
      <c r="D20" s="24" t="str">
        <f>IFERROR(INDEX(회사별_폐기물매핑!$C$2:$C$1000,MATCH(1,INDEX(($C$14=회사별_폐기물매핑!$A$2:$A$1000)*($E20=회사별_폐기물매핑!$B$2:$B$1000),0),0)),"")</f>
        <v>폐콘크리트류</v>
      </c>
      <c r="E20" s="23" t="s">
        <v>88</v>
      </c>
      <c r="F20" s="24" t="s">
        <v>86</v>
      </c>
      <c r="G20" s="24" t="s">
        <v>89</v>
      </c>
      <c r="H20" s="24">
        <v>947.63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 t="s">
        <v>90</v>
      </c>
      <c r="V20" s="8"/>
      <c r="W20" s="8"/>
    </row>
    <row r="21" spans="2:23">
      <c r="B21" s="22" t="s">
        <v>41</v>
      </c>
      <c r="C21" s="24" t="s">
        <v>47</v>
      </c>
      <c r="D21" s="24" t="str">
        <f>IFERROR(INDEX(회사별_폐기물매핑!$C$2:$C$1000,MATCH(1,INDEX(($C$14=회사별_폐기물매핑!$A$2:$A$1000)*($E21=회사별_폐기물매핑!$B$2:$B$1000),0),0)),"")</f>
        <v>폐플라스틱류</v>
      </c>
      <c r="E21" s="23" t="s">
        <v>91</v>
      </c>
      <c r="F21" s="24" t="s">
        <v>86</v>
      </c>
      <c r="G21" s="24" t="s">
        <v>92</v>
      </c>
      <c r="H21" s="24">
        <v>89.3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8"/>
      <c r="W21" s="8"/>
    </row>
    <row r="22" spans="2:23">
      <c r="B22" s="22" t="s">
        <v>41</v>
      </c>
      <c r="C22" s="24" t="s">
        <v>47</v>
      </c>
      <c r="D22" s="24" t="str">
        <f>IFERROR(INDEX(회사별_폐기물매핑!$C$2:$C$1000,MATCH(1,INDEX(($C$14=회사별_폐기물매핑!$A$2:$A$1000)*($E22=회사별_폐기물매핑!$B$2:$B$1000),0),0)),"")</f>
        <v>기타</v>
      </c>
      <c r="E22" s="23" t="s">
        <v>93</v>
      </c>
      <c r="F22" s="24" t="s">
        <v>86</v>
      </c>
      <c r="G22" s="24" t="s">
        <v>92</v>
      </c>
      <c r="H22" s="24">
        <v>6.31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22" t="s">
        <v>41</v>
      </c>
      <c r="C23" s="24" t="s">
        <v>49</v>
      </c>
      <c r="D23" s="24" t="str">
        <f>IFERROR(INDEX(회사별_폐기물매핑!$C$2:$C$1000,MATCH(1,INDEX(($C$14=회사별_폐기물매핑!$A$2:$A$1000)*($E23=회사별_폐기물매핑!$B$2:$B$1000),0),0)),"")</f>
        <v>폐플라스틱류</v>
      </c>
      <c r="E23" s="23" t="s">
        <v>91</v>
      </c>
      <c r="F23" s="24" t="s">
        <v>86</v>
      </c>
      <c r="G23" s="24" t="s">
        <v>92</v>
      </c>
      <c r="H23" s="24">
        <v>277.88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22" t="s">
        <v>41</v>
      </c>
      <c r="C24" s="24" t="s">
        <v>49</v>
      </c>
      <c r="D24" s="24" t="str">
        <f>IFERROR(INDEX(회사별_폐기물매핑!$C$2:$C$1000,MATCH(1,INDEX(($C$14=회사별_폐기물매핑!$A$2:$A$1000)*($E24=회사별_폐기물매핑!$B$2:$B$1000),0),0)),"")</f>
        <v>폐목재류</v>
      </c>
      <c r="E24" s="23" t="s">
        <v>94</v>
      </c>
      <c r="F24" s="24" t="s">
        <v>86</v>
      </c>
      <c r="G24" s="24" t="s">
        <v>92</v>
      </c>
      <c r="H24" s="24">
        <v>90.21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22" t="s">
        <v>41</v>
      </c>
      <c r="C25" s="24" t="s">
        <v>49</v>
      </c>
      <c r="D25" s="24" t="str">
        <f>IFERROR(INDEX(회사별_폐기물매핑!$C$2:$C$1000,MATCH(1,INDEX(($C$14=회사별_폐기물매핑!$A$2:$A$1000)*($E25=회사별_폐기물매핑!$B$2:$B$1000),0),0)),"")</f>
        <v>기타</v>
      </c>
      <c r="E25" s="23" t="s">
        <v>95</v>
      </c>
      <c r="F25" s="24" t="s">
        <v>86</v>
      </c>
      <c r="G25" s="24" t="s">
        <v>92</v>
      </c>
      <c r="H25" s="24">
        <v>15.53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22" t="s">
        <v>41</v>
      </c>
      <c r="C26" s="24" t="s">
        <v>49</v>
      </c>
      <c r="D26" s="24" t="str">
        <f>IFERROR(INDEX(회사별_폐기물매핑!$C$2:$C$1000,MATCH(1,INDEX(($C$14=회사별_폐기물매핑!$A$2:$A$1000)*($E26=회사별_폐기물매핑!$B$2:$B$1000),0),0)),"")</f>
        <v>기타</v>
      </c>
      <c r="E26" s="23" t="s">
        <v>96</v>
      </c>
      <c r="F26" s="24" t="s">
        <v>86</v>
      </c>
      <c r="G26" s="24" t="s">
        <v>92</v>
      </c>
      <c r="H26" s="24">
        <v>244.86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22" t="s">
        <v>41</v>
      </c>
      <c r="C27" s="24" t="s">
        <v>49</v>
      </c>
      <c r="D27" s="24" t="str">
        <f>IFERROR(INDEX(회사별_폐기물매핑!$C$2:$C$1000,MATCH(1,INDEX(($C$14=회사별_폐기물매핑!$A$2:$A$1000)*($E27=회사별_폐기물매핑!$B$2:$B$1000),0),0)),"")</f>
        <v>폐유류</v>
      </c>
      <c r="E27" s="23" t="s">
        <v>97</v>
      </c>
      <c r="F27" s="24" t="s">
        <v>86</v>
      </c>
      <c r="G27" s="24" t="s">
        <v>92</v>
      </c>
      <c r="H27" s="24">
        <v>0.34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22" t="s">
        <v>41</v>
      </c>
      <c r="C28" s="24" t="s">
        <v>49</v>
      </c>
      <c r="D28" s="24" t="s">
        <v>147</v>
      </c>
      <c r="E28" s="23"/>
      <c r="F28" s="24" t="s">
        <v>86</v>
      </c>
      <c r="G28" s="24" t="s">
        <v>87</v>
      </c>
      <c r="H28" s="24">
        <v>100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22" t="s">
        <v>41</v>
      </c>
      <c r="C29" s="24" t="s">
        <v>49</v>
      </c>
      <c r="D29" s="24" t="s">
        <v>158</v>
      </c>
      <c r="E29" s="23"/>
      <c r="F29" s="24" t="s">
        <v>86</v>
      </c>
      <c r="G29" s="24" t="s">
        <v>87</v>
      </c>
      <c r="H29" s="24">
        <v>50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22" t="s">
        <v>41</v>
      </c>
      <c r="C30" s="24" t="s">
        <v>50</v>
      </c>
      <c r="D30" s="24" t="s">
        <v>175</v>
      </c>
      <c r="E30" s="23"/>
      <c r="F30" s="24" t="s">
        <v>86</v>
      </c>
      <c r="G30" s="24" t="s">
        <v>87</v>
      </c>
      <c r="H30" s="24">
        <v>2000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22" t="s">
        <v>41</v>
      </c>
      <c r="C31" s="24" t="s">
        <v>50</v>
      </c>
      <c r="D31" s="24" t="str">
        <f>IFERROR(INDEX(회사별_폐기물매핑!$C$2:$C$1000,MATCH(1,INDEX(($C$14=회사별_폐기물매핑!$A$2:$A$1000)*($E31=회사별_폐기물매핑!$B$2:$B$1000),0),0)),"")</f>
        <v>폐플라스틱류</v>
      </c>
      <c r="E31" s="23" t="s">
        <v>91</v>
      </c>
      <c r="F31" s="24" t="s">
        <v>86</v>
      </c>
      <c r="G31" s="24" t="s">
        <v>92</v>
      </c>
      <c r="H31" s="24">
        <v>5.4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22" t="s">
        <v>41</v>
      </c>
      <c r="C32" s="24" t="s">
        <v>50</v>
      </c>
      <c r="D32" s="24" t="str">
        <f>IFERROR(INDEX(회사별_폐기물매핑!$C$2:$C$1000,MATCH(1,INDEX(($C$14=회사별_폐기물매핑!$A$2:$A$1000)*($E32=회사별_폐기물매핑!$B$2:$B$1000),0),0)),"")</f>
        <v>폐목재류</v>
      </c>
      <c r="E32" s="23" t="s">
        <v>94</v>
      </c>
      <c r="F32" s="24" t="s">
        <v>86</v>
      </c>
      <c r="G32" s="24" t="s">
        <v>92</v>
      </c>
      <c r="H32" s="24">
        <v>21.74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22" t="s">
        <v>41</v>
      </c>
      <c r="C33" s="24" t="s">
        <v>50</v>
      </c>
      <c r="D33" s="24" t="str">
        <f>IFERROR(INDEX(회사별_폐기물매핑!$C$2:$C$1000,MATCH(1,INDEX(($C$14=회사별_폐기물매핑!$A$2:$A$1000)*($E33=회사별_폐기물매핑!$B$2:$B$1000),0),0)),"")</f>
        <v>폐고무/피혁류</v>
      </c>
      <c r="E33" s="23" t="s">
        <v>100</v>
      </c>
      <c r="F33" s="24" t="s">
        <v>86</v>
      </c>
      <c r="G33" s="24" t="s">
        <v>92</v>
      </c>
      <c r="H33" s="24">
        <v>0.77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22" t="s">
        <v>41</v>
      </c>
      <c r="C34" s="24" t="s">
        <v>50</v>
      </c>
      <c r="D34" s="24" t="str">
        <f>IFERROR(INDEX(회사별_폐기물매핑!$C$2:$C$1000,MATCH(1,INDEX(($C$14=회사별_폐기물매핑!$A$2:$A$1000)*($E34=회사별_폐기물매핑!$B$2:$B$1000),0),0)),"")</f>
        <v>기타</v>
      </c>
      <c r="E34" s="23" t="s">
        <v>95</v>
      </c>
      <c r="F34" s="24" t="s">
        <v>86</v>
      </c>
      <c r="G34" s="24" t="s">
        <v>92</v>
      </c>
      <c r="H34" s="24">
        <v>14.52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22" t="s">
        <v>41</v>
      </c>
      <c r="C35" s="24" t="s">
        <v>50</v>
      </c>
      <c r="D35" s="24" t="str">
        <f>IFERROR(INDEX(회사별_폐기물매핑!$C$2:$C$1000,MATCH(1,INDEX(($C$14=회사별_폐기물매핑!$A$2:$A$1000)*($E35=회사별_폐기물매핑!$B$2:$B$1000),0),0)),"")</f>
        <v>기타</v>
      </c>
      <c r="E35" s="23" t="s">
        <v>96</v>
      </c>
      <c r="F35" s="24" t="s">
        <v>86</v>
      </c>
      <c r="G35" s="24" t="s">
        <v>92</v>
      </c>
      <c r="H35" s="24">
        <v>13.7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22" t="s">
        <v>41</v>
      </c>
      <c r="C36" s="24" t="s">
        <v>50</v>
      </c>
      <c r="D36" s="24" t="str">
        <f>IFERROR(INDEX(회사별_폐기물매핑!$C$2:$C$1000,MATCH(1,INDEX(($C$14=회사별_폐기물매핑!$A$2:$A$1000)*($E36=회사별_폐기물매핑!$B$2:$B$1000),0),0)),"")</f>
        <v>폐유류</v>
      </c>
      <c r="E36" s="23" t="s">
        <v>97</v>
      </c>
      <c r="F36" s="24" t="s">
        <v>86</v>
      </c>
      <c r="G36" s="24" t="s">
        <v>92</v>
      </c>
      <c r="H36" s="24">
        <v>0.6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22" t="s">
        <v>41</v>
      </c>
      <c r="C37" s="24" t="s">
        <v>50</v>
      </c>
      <c r="D37" s="24" t="str">
        <f>IFERROR(INDEX(회사별_폐기물매핑!$C$2:$C$1000,MATCH(1,INDEX(($C$14=회사별_폐기물매핑!$A$2:$A$1000)*($E37=회사별_폐기물매핑!$B$2:$B$1000),0),0)),"")</f>
        <v>폐유류</v>
      </c>
      <c r="E37" s="23" t="s">
        <v>98</v>
      </c>
      <c r="F37" s="24" t="s">
        <v>86</v>
      </c>
      <c r="G37" s="24" t="s">
        <v>87</v>
      </c>
      <c r="H37" s="24">
        <v>0.2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22" t="s">
        <v>41</v>
      </c>
      <c r="C38" s="24" t="s">
        <v>55</v>
      </c>
      <c r="D38" s="24" t="str">
        <f>IFERROR(INDEX(회사별_폐기물매핑!$C$2:$C$1000,MATCH(1,INDEX(($C$14=회사별_폐기물매핑!$A$2:$A$1000)*($E38=회사별_폐기물매핑!$B$2:$B$1000),0),0)),"")</f>
        <v>기타</v>
      </c>
      <c r="E38" s="23" t="s">
        <v>85</v>
      </c>
      <c r="F38" s="24" t="s">
        <v>86</v>
      </c>
      <c r="G38" s="24" t="s">
        <v>87</v>
      </c>
      <c r="H38" s="24">
        <v>50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22" t="s">
        <v>41</v>
      </c>
      <c r="C39" s="24" t="s">
        <v>55</v>
      </c>
      <c r="D39" s="24" t="str">
        <f>IFERROR(INDEX(회사별_폐기물매핑!$C$2:$C$1000,MATCH(1,INDEX(($C$14=회사별_폐기물매핑!$A$2:$A$1000)*($E39=회사별_폐기물매핑!$B$2:$B$1000),0),0)),"")</f>
        <v>기타</v>
      </c>
      <c r="E39" s="23" t="s">
        <v>95</v>
      </c>
      <c r="F39" s="24" t="s">
        <v>86</v>
      </c>
      <c r="G39" s="24" t="s">
        <v>92</v>
      </c>
      <c r="H39" s="24">
        <v>48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22" t="s">
        <v>41</v>
      </c>
      <c r="C40" s="24" t="s">
        <v>55</v>
      </c>
      <c r="D40" s="24" t="str">
        <f>IFERROR(INDEX(회사별_폐기물매핑!$C$2:$C$1000,MATCH(1,INDEX(($C$14=회사별_폐기물매핑!$A$2:$A$1000)*($E40=회사별_폐기물매핑!$B$2:$B$1000),0),0)),"")</f>
        <v>폐유류</v>
      </c>
      <c r="E40" s="23" t="s">
        <v>97</v>
      </c>
      <c r="F40" s="24" t="s">
        <v>86</v>
      </c>
      <c r="G40" s="24" t="s">
        <v>92</v>
      </c>
      <c r="H40" s="24">
        <v>0.6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22" t="s">
        <v>41</v>
      </c>
      <c r="C41" s="24" t="s">
        <v>55</v>
      </c>
      <c r="D41" s="24" t="str">
        <f>IFERROR(INDEX(회사별_폐기물매핑!$C$2:$C$1000,MATCH(1,INDEX(($C$14=회사별_폐기물매핑!$A$2:$A$1000)*($E41=회사별_폐기물매핑!$B$2:$B$1000),0),0)),"")</f>
        <v>폐유류</v>
      </c>
      <c r="E41" s="23" t="s">
        <v>98</v>
      </c>
      <c r="F41" s="24" t="s">
        <v>86</v>
      </c>
      <c r="G41" s="24" t="s">
        <v>87</v>
      </c>
      <c r="H41" s="24">
        <v>0.2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22" t="s">
        <v>41</v>
      </c>
      <c r="C42" s="24" t="s">
        <v>55</v>
      </c>
      <c r="D42" s="24" t="str">
        <f>IFERROR(INDEX(회사별_폐기물매핑!$C$2:$C$1000,MATCH(1,INDEX(($C$14=회사별_폐기물매핑!$A$2:$A$1000)*($E42=회사별_폐기물매핑!$B$2:$B$1000),0),0)),"")</f>
        <v>지정폐기물</v>
      </c>
      <c r="E42" s="23" t="s">
        <v>99</v>
      </c>
      <c r="F42" s="24" t="s">
        <v>86</v>
      </c>
      <c r="G42" s="24" t="s">
        <v>92</v>
      </c>
      <c r="H42" s="24">
        <v>0.19900000000000001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22" t="s">
        <v>41</v>
      </c>
      <c r="C43" s="24" t="s">
        <v>55</v>
      </c>
      <c r="D43" s="24" t="str">
        <f>IFERROR(INDEX(회사별_폐기물매핑!$C$2:$C$1000,MATCH(1,INDEX(($C$14=회사별_폐기물매핑!$A$2:$A$1000)*($E43=회사별_폐기물매핑!$B$2:$B$1000),0),0)),"")</f>
        <v>기타</v>
      </c>
      <c r="E43" s="23" t="s">
        <v>89</v>
      </c>
      <c r="F43" s="24" t="s">
        <v>86</v>
      </c>
      <c r="G43" s="24" t="s">
        <v>92</v>
      </c>
      <c r="H43" s="24">
        <v>0.87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22" t="s">
        <v>41</v>
      </c>
      <c r="C44" s="24" t="s">
        <v>56</v>
      </c>
      <c r="D44" s="24" t="str">
        <f>IFERROR(INDEX(회사별_폐기물매핑!$C$2:$C$1000,MATCH(1,INDEX(($C$14=회사별_폐기물매핑!$A$2:$A$1000)*($E44=회사별_폐기물매핑!$B$2:$B$1000),0),0)),"")</f>
        <v>폐플라스틱류</v>
      </c>
      <c r="E44" s="23" t="s">
        <v>91</v>
      </c>
      <c r="F44" s="24" t="s">
        <v>86</v>
      </c>
      <c r="G44" s="24" t="s">
        <v>92</v>
      </c>
      <c r="H44" s="24">
        <v>44.01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22" t="s">
        <v>41</v>
      </c>
      <c r="C45" s="24" t="s">
        <v>56</v>
      </c>
      <c r="D45" s="24" t="str">
        <f>IFERROR(INDEX(회사별_폐기물매핑!$C$2:$C$1000,MATCH(1,INDEX(($C$14=회사별_폐기물매핑!$A$2:$A$1000)*($E45=회사별_폐기물매핑!$B$2:$B$1000),0),0)),"")</f>
        <v>폐목재류</v>
      </c>
      <c r="E45" s="23" t="s">
        <v>94</v>
      </c>
      <c r="F45" s="24" t="s">
        <v>86</v>
      </c>
      <c r="G45" s="24" t="s">
        <v>92</v>
      </c>
      <c r="H45" s="24">
        <v>8.58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22" t="s">
        <v>41</v>
      </c>
      <c r="C46" s="24" t="s">
        <v>56</v>
      </c>
      <c r="D46" s="24" t="str">
        <f>IFERROR(INDEX(회사별_폐기물매핑!$C$2:$C$1000,MATCH(1,INDEX(($C$14=회사별_폐기물매핑!$A$2:$A$1000)*($E46=회사별_폐기물매핑!$B$2:$B$1000),0),0)),"")</f>
        <v>폐유류</v>
      </c>
      <c r="E46" s="23" t="s">
        <v>97</v>
      </c>
      <c r="F46" s="24" t="s">
        <v>86</v>
      </c>
      <c r="G46" s="24" t="s">
        <v>92</v>
      </c>
      <c r="H46" s="24">
        <v>0.4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22" t="s">
        <v>41</v>
      </c>
      <c r="C47" s="24" t="s">
        <v>56</v>
      </c>
      <c r="D47" s="24" t="str">
        <f>IFERROR(INDEX(회사별_폐기물매핑!$C$2:$C$1000,MATCH(1,INDEX(($C$14=회사별_폐기물매핑!$A$2:$A$1000)*($E47=회사별_폐기물매핑!$B$2:$B$1000),0),0)),"")</f>
        <v>폐유류</v>
      </c>
      <c r="E47" s="23" t="s">
        <v>98</v>
      </c>
      <c r="F47" s="24" t="s">
        <v>86</v>
      </c>
      <c r="G47" s="24" t="s">
        <v>87</v>
      </c>
      <c r="H47" s="24">
        <v>0.08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22" t="s">
        <v>41</v>
      </c>
      <c r="C48" s="24" t="s">
        <v>57</v>
      </c>
      <c r="D48" s="24" t="str">
        <f>IFERROR(INDEX(회사별_폐기물매핑!$C$2:$C$1000,MATCH(1,INDEX(($C$14=회사별_폐기물매핑!$A$2:$A$1000)*($E48=회사별_폐기물매핑!$B$2:$B$1000),0),0)),"")</f>
        <v>기타</v>
      </c>
      <c r="E48" s="23" t="s">
        <v>101</v>
      </c>
      <c r="F48" s="24" t="s">
        <v>86</v>
      </c>
      <c r="G48" s="24" t="s">
        <v>87</v>
      </c>
      <c r="H48" s="24">
        <v>248.02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22" t="s">
        <v>41</v>
      </c>
      <c r="C49" s="24" t="s">
        <v>57</v>
      </c>
      <c r="D49" s="24" t="str">
        <f>IFERROR(INDEX(회사별_폐기물매핑!$C$2:$C$1000,MATCH(1,INDEX(($C$14=회사별_폐기물매핑!$A$2:$A$1000)*($E49=회사별_폐기물매핑!$B$2:$B$1000),0),0)),"")</f>
        <v>기타</v>
      </c>
      <c r="E49" s="23" t="s">
        <v>102</v>
      </c>
      <c r="F49" s="24" t="s">
        <v>86</v>
      </c>
      <c r="G49" s="24" t="s">
        <v>103</v>
      </c>
      <c r="H49" s="24">
        <v>2.42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22" t="s">
        <v>41</v>
      </c>
      <c r="C50" s="24" t="s">
        <v>57</v>
      </c>
      <c r="D50" s="24" t="str">
        <f>IFERROR(INDEX(회사별_폐기물매핑!$C$2:$C$1000,MATCH(1,INDEX(($C$14=회사별_폐기물매핑!$A$2:$A$1000)*($E50=회사별_폐기물매핑!$B$2:$B$1000),0),0)),"")</f>
        <v>폐플라스틱류</v>
      </c>
      <c r="E50" s="23" t="s">
        <v>91</v>
      </c>
      <c r="F50" s="24" t="s">
        <v>86</v>
      </c>
      <c r="G50" s="24" t="s">
        <v>92</v>
      </c>
      <c r="H50" s="24">
        <v>3.51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 t="str">
        <f>IFERROR(INDEX(회사별_폐기물매핑!$C$2:$C$1000,MATCH(1,INDEX(($C$14=회사별_폐기물매핑!$A$2:$A$1000)*($E51=회사별_폐기물매핑!$B$2:$B$1000),0),0)),"")</f>
        <v/>
      </c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 t="str">
        <f>IFERROR(INDEX(회사별_폐기물매핑!$C$2:$C$1000,MATCH(1,INDEX(($C$14=회사별_폐기물매핑!$A$2:$A$1000)*($E52=회사별_폐기물매핑!$B$2:$B$1000),0),0)),"")</f>
        <v/>
      </c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 t="str">
        <f>IFERROR(INDEX(회사별_폐기물매핑!$C$2:$C$1000,MATCH(1,INDEX(($C$14=회사별_폐기물매핑!$A$2:$A$1000)*($E53=회사별_폐기물매핑!$B$2:$B$1000),0),0)),"")</f>
        <v/>
      </c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 t="str">
        <f>IFERROR(INDEX(회사별_폐기물매핑!$C$2:$C$1000,MATCH(1,INDEX(($C$14=회사별_폐기물매핑!$A$2:$A$1000)*($E54=회사별_폐기물매핑!$B$2:$B$1000),0),0)),"")</f>
        <v/>
      </c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  <row r="55" spans="2:23">
      <c r="D55" t="str">
        <f>IFERROR(INDEX(회사별_폐기물매핑!$C$2:$C$1000,MATCH(1,INDEX(($C$14=회사별_폐기물매핑!$A$2:$A$1000)*($E55=회사별_폐기물매핑!$B$2:$B$1000),0),0)),"")</f>
        <v/>
      </c>
    </row>
    <row r="56" spans="2:23">
      <c r="D56" t="str">
        <f>IFERROR(INDEX(회사별_폐기물매핑!$C$2:$C$1000,MATCH(1,INDEX(($C$14=회사별_폐기물매핑!$A$2:$A$1000)*($E56=회사별_폐기물매핑!$B$2:$B$1000),0),0)),"")</f>
        <v/>
      </c>
    </row>
    <row r="57" spans="2:23">
      <c r="D57" t="str">
        <f>IFERROR(INDEX(회사별_폐기물매핑!$C$2:$C$1000,MATCH(1,INDEX(($C$14=회사별_폐기물매핑!$A$2:$A$1000)*($E57=회사별_폐기물매핑!$B$2:$B$1000),0),0)),"")</f>
        <v/>
      </c>
    </row>
    <row r="58" spans="2:23">
      <c r="D58" t="str">
        <f>IFERROR(INDEX(회사별_폐기물매핑!$C$2:$C$1000,MATCH(1,INDEX(($C$14=회사별_폐기물매핑!$A$2:$A$1000)*($E58=회사별_폐기물매핑!$B$2:$B$1000),0),0)),"")</f>
        <v/>
      </c>
    </row>
    <row r="59" spans="2:23">
      <c r="D59" t="str">
        <f>IFERROR(INDEX(회사별_폐기물매핑!$C$2:$C$1000,MATCH(1,INDEX(($C$14=회사별_폐기물매핑!$A$2:$A$1000)*($E59=회사별_폐기물매핑!$B$2:$B$1000),0),0)),"")</f>
        <v/>
      </c>
    </row>
    <row r="60" spans="2:23">
      <c r="D60" t="str">
        <f>IFERROR(INDEX(회사별_폐기물매핑!$C$2:$C$1000,MATCH(1,INDEX(($C$14=회사별_폐기물매핑!$A$2:$A$1000)*($E60=회사별_폐기물매핑!$B$2:$B$1000),0),0)),"")</f>
        <v/>
      </c>
    </row>
    <row r="61" spans="2:23">
      <c r="D61" t="str">
        <f>IFERROR(INDEX(회사별_폐기물매핑!$C$2:$C$1000,MATCH(1,INDEX(($C$14=회사별_폐기물매핑!$A$2:$A$1000)*($E61=회사별_폐기물매핑!$B$2:$B$1000),0),0)),"")</f>
        <v/>
      </c>
    </row>
    <row r="62" spans="2:23">
      <c r="D62" t="str">
        <f>IFERROR(INDEX(회사별_폐기물매핑!$C$2:$C$1000,MATCH(1,INDEX(($C$14=회사별_폐기물매핑!$A$2:$A$1000)*($E62=회사별_폐기물매핑!$B$2:$B$1000),0),0)),"")</f>
        <v/>
      </c>
    </row>
    <row r="63" spans="2:23">
      <c r="D63" t="str">
        <f>IFERROR(INDEX(회사별_폐기물매핑!$C$2:$C$1000,MATCH(1,INDEX(($C$14=회사별_폐기물매핑!$A$2:$A$1000)*($E63=회사별_폐기물매핑!$B$2:$B$1000),0),0)),"")</f>
        <v/>
      </c>
    </row>
    <row r="64" spans="2:23">
      <c r="D64" t="str">
        <f>IFERROR(INDEX(회사별_폐기물매핑!$C$2:$C$1000,MATCH(1,INDEX(($C$14=회사별_폐기물매핑!$A$2:$A$1000)*($E64=회사별_폐기물매핑!$B$2:$B$1000),0),0)),"")</f>
        <v/>
      </c>
    </row>
    <row r="65" spans="4:4">
      <c r="D65" t="str">
        <f>IFERROR(INDEX(회사별_폐기물매핑!$C$2:$C$1000,MATCH(1,INDEX(($C$14=회사별_폐기물매핑!$A$2:$A$1000)*($E65=회사별_폐기물매핑!$B$2:$B$1000),0),0)),"")</f>
        <v/>
      </c>
    </row>
    <row r="66" spans="4:4">
      <c r="D66" t="str">
        <f>IFERROR(INDEX(회사별_폐기물매핑!$C$2:$C$1000,MATCH(1,INDEX(($C$14=회사별_폐기물매핑!$A$2:$A$1000)*($E66=회사별_폐기물매핑!$B$2:$B$1000),0),0)),"")</f>
        <v/>
      </c>
    </row>
    <row r="67" spans="4:4">
      <c r="D67" t="str">
        <f>IFERROR(INDEX(회사별_폐기물매핑!$C$2:$C$1000,MATCH(1,INDEX(($C$14=회사별_폐기물매핑!$A$2:$A$1000)*($E67=회사별_폐기물매핑!$B$2:$B$1000),0),0)),"")</f>
        <v/>
      </c>
    </row>
    <row r="68" spans="4:4">
      <c r="D68" t="str">
        <f>IFERROR(INDEX(회사별_폐기물매핑!$C$2:$C$1000,MATCH(1,INDEX(($C$14=회사별_폐기물매핑!$A$2:$A$1000)*($E68=회사별_폐기물매핑!$B$2:$B$1000),0),0)),"")</f>
        <v/>
      </c>
    </row>
    <row r="69" spans="4:4">
      <c r="D69" t="str">
        <f>IFERROR(INDEX(회사별_폐기물매핑!$C$2:$C$1000,MATCH(1,INDEX(($C$14=회사별_폐기물매핑!$A$2:$A$1000)*($E69=회사별_폐기물매핑!$B$2:$B$1000),0),0)),"")</f>
        <v/>
      </c>
    </row>
    <row r="70" spans="4:4">
      <c r="D70" t="str">
        <f>IFERROR(INDEX(회사별_폐기물매핑!$C$2:$C$1000,MATCH(1,INDEX(($C$14=회사별_폐기물매핑!$A$2:$A$1000)*($E70=회사별_폐기물매핑!$B$2:$B$1000),0),0)),"")</f>
        <v/>
      </c>
    </row>
    <row r="71" spans="4:4">
      <c r="D71" t="str">
        <f>IFERROR(INDEX(회사별_폐기물매핑!$C$2:$C$1000,MATCH(1,INDEX(($C$14=회사별_폐기물매핑!$A$2:$A$1000)*($E71=회사별_폐기물매핑!$B$2:$B$1000),0),0)),"")</f>
        <v/>
      </c>
    </row>
    <row r="72" spans="4:4">
      <c r="D72" t="str">
        <f>IFERROR(INDEX(회사별_폐기물매핑!$C$2:$C$1000,MATCH(1,INDEX(($C$14=회사별_폐기물매핑!$A$2:$A$1000)*($E72=회사별_폐기물매핑!$B$2:$B$1000),0),0)),"")</f>
        <v/>
      </c>
    </row>
    <row r="73" spans="4:4">
      <c r="D73" t="str">
        <f>IFERROR(INDEX(회사별_폐기물매핑!$C$2:$C$1000,MATCH(1,INDEX(($C$14=회사별_폐기물매핑!$A$2:$A$1000)*($E73=회사별_폐기물매핑!$B$2:$B$1000),0),0)),"")</f>
        <v/>
      </c>
    </row>
    <row r="74" spans="4:4">
      <c r="D74" t="str">
        <f>IFERROR(INDEX(회사별_폐기물매핑!$C$2:$C$1000,MATCH(1,INDEX(($C$14=회사별_폐기물매핑!$A$2:$A$1000)*($E74=회사별_폐기물매핑!$B$2:$B$1000),0),0)),"")</f>
        <v/>
      </c>
    </row>
    <row r="75" spans="4:4">
      <c r="D75" t="str">
        <f>IFERROR(INDEX(회사별_폐기물매핑!$C$2:$C$1000,MATCH(1,INDEX(($C$14=회사별_폐기물매핑!$A$2:$A$1000)*($E75=회사별_폐기물매핑!$B$2:$B$1000),0),0)),"")</f>
        <v/>
      </c>
    </row>
    <row r="76" spans="4:4">
      <c r="D76" t="str">
        <f>IFERROR(INDEX(회사별_폐기물매핑!$C$2:$C$1000,MATCH(1,INDEX(($C$14=회사별_폐기물매핑!$A$2:$A$1000)*($E76=회사별_폐기물매핑!$B$2:$B$1000),0),0)),"")</f>
        <v/>
      </c>
    </row>
    <row r="77" spans="4:4">
      <c r="D77" t="str">
        <f>IFERROR(INDEX(회사별_폐기물매핑!$C$2:$C$1000,MATCH(1,INDEX(($C$14=회사별_폐기물매핑!$A$2:$A$1000)*($E77=회사별_폐기물매핑!$B$2:$B$1000),0),0)),"")</f>
        <v/>
      </c>
    </row>
    <row r="78" spans="4:4">
      <c r="D78" t="str">
        <f>IFERROR(INDEX(회사별_폐기물매핑!$C$2:$C$1000,MATCH(1,INDEX(($C$14=회사별_폐기물매핑!$A$2:$A$1000)*($E78=회사별_폐기물매핑!$B$2:$B$1000),0),0)),"")</f>
        <v/>
      </c>
    </row>
    <row r="79" spans="4:4">
      <c r="D79" t="str">
        <f>IFERROR(INDEX(회사별_폐기물매핑!$C$2:$C$1000,MATCH(1,INDEX(($C$14=회사별_폐기물매핑!$A$2:$A$1000)*($E79=회사별_폐기물매핑!$B$2:$B$1000),0),0)),"")</f>
        <v/>
      </c>
    </row>
    <row r="80" spans="4:4">
      <c r="D80" t="str">
        <f>IFERROR(INDEX(회사별_폐기물매핑!$C$2:$C$1000,MATCH(1,INDEX(($C$14=회사별_폐기물매핑!$A$2:$A$1000)*($E80=회사별_폐기물매핑!$B$2:$B$1000),0),0)),"")</f>
        <v/>
      </c>
    </row>
    <row r="81" spans="4:4">
      <c r="D81" t="str">
        <f>IFERROR(INDEX(회사별_폐기물매핑!$C$2:$C$1000,MATCH(1,INDEX(($C$14=회사별_폐기물매핑!$A$2:$A$1000)*($E81=회사별_폐기물매핑!$B$2:$B$1000),0),0)),"")</f>
        <v/>
      </c>
    </row>
    <row r="82" spans="4:4">
      <c r="D82" t="str">
        <f>IFERROR(INDEX(회사별_폐기물매핑!$C$2:$C$1000,MATCH(1,INDEX(($C$14=회사별_폐기물매핑!$A$2:$A$1000)*($E82=회사별_폐기물매핑!$B$2:$B$1000),0),0)),"")</f>
        <v/>
      </c>
    </row>
    <row r="83" spans="4:4">
      <c r="D83" t="str">
        <f>IFERROR(INDEX(회사별_폐기물매핑!$C$2:$C$1000,MATCH(1,INDEX(($C$14=회사별_폐기물매핑!$A$2:$A$1000)*($E83=회사별_폐기물매핑!$B$2:$B$1000),0),0)),"")</f>
        <v/>
      </c>
    </row>
    <row r="84" spans="4:4">
      <c r="D84" t="str">
        <f>IFERROR(INDEX(회사별_폐기물매핑!$C$2:$C$1000,MATCH(1,INDEX(($C$14=회사별_폐기물매핑!$A$2:$A$1000)*($E84=회사별_폐기물매핑!$B$2:$B$1000),0),0)),"")</f>
        <v/>
      </c>
    </row>
    <row r="85" spans="4:4">
      <c r="D85" t="str">
        <f>IFERROR(INDEX(회사별_폐기물매핑!$C$2:$C$1000,MATCH(1,INDEX(($C$14=회사별_폐기물매핑!$A$2:$A$1000)*($E85=회사별_폐기물매핑!$B$2:$B$1000),0),0)),"")</f>
        <v/>
      </c>
    </row>
    <row r="86" spans="4:4">
      <c r="D86" t="str">
        <f>IFERROR(INDEX(회사별_폐기물매핑!$C$2:$C$1000,MATCH(1,INDEX(($C$14=회사별_폐기물매핑!$A$2:$A$1000)*($E86=회사별_폐기물매핑!$B$2:$B$1000),0),0)),"")</f>
        <v/>
      </c>
    </row>
    <row r="87" spans="4:4">
      <c r="D87" t="str">
        <f>IFERROR(INDEX(회사별_폐기물매핑!$C$2:$C$1000,MATCH(1,INDEX(($C$14=회사별_폐기물매핑!$A$2:$A$1000)*($E87=회사별_폐기물매핑!$B$2:$B$1000),0),0)),"")</f>
        <v/>
      </c>
    </row>
    <row r="88" spans="4:4">
      <c r="D88" t="str">
        <f>IFERROR(INDEX(회사별_폐기물매핑!$C$2:$C$1000,MATCH(1,INDEX(($C$14=회사별_폐기물매핑!$A$2:$A$1000)*($E88=회사별_폐기물매핑!$B$2:$B$1000),0),0)),"")</f>
        <v/>
      </c>
    </row>
    <row r="89" spans="4:4">
      <c r="D89" t="str">
        <f>IFERROR(INDEX(회사별_폐기물매핑!$C$2:$C$1000,MATCH(1,INDEX(($C$14=회사별_폐기물매핑!$A$2:$A$1000)*($E89=회사별_폐기물매핑!$B$2:$B$1000),0),0)),"")</f>
        <v/>
      </c>
    </row>
    <row r="90" spans="4:4">
      <c r="D90" t="str">
        <f>IFERROR(INDEX(회사별_폐기물매핑!$C$2:$C$1000,MATCH(1,INDEX(($C$14=회사별_폐기물매핑!$A$2:$A$1000)*($E90=회사별_폐기물매핑!$B$2:$B$1000),0),0)),"")</f>
        <v/>
      </c>
    </row>
    <row r="91" spans="4:4">
      <c r="D91" t="str">
        <f>IFERROR(INDEX(회사별_폐기물매핑!$C$2:$C$1000,MATCH(1,INDEX(($C$14=회사별_폐기물매핑!$A$2:$A$1000)*($E91=회사별_폐기물매핑!$B$2:$B$1000),0),0)),"")</f>
        <v/>
      </c>
    </row>
    <row r="92" spans="4:4">
      <c r="D92" t="str">
        <f>IFERROR(INDEX(회사별_폐기물매핑!$C$2:$C$1000,MATCH(1,INDEX(($C$14=회사별_폐기물매핑!$A$2:$A$1000)*($E92=회사별_폐기물매핑!$B$2:$B$1000),0),0)),"")</f>
        <v/>
      </c>
    </row>
    <row r="93" spans="4:4">
      <c r="D93" t="str">
        <f>IFERROR(INDEX(회사별_폐기물매핑!$C$2:$C$1000,MATCH(1,INDEX(($C$14=회사별_폐기물매핑!$A$2:$A$1000)*($E93=회사별_폐기물매핑!$B$2:$B$1000),0),0)),"")</f>
        <v/>
      </c>
    </row>
    <row r="94" spans="4:4">
      <c r="D94" t="str">
        <f>IFERROR(INDEX(회사별_폐기물매핑!$C$2:$C$1000,MATCH(1,INDEX(($C$14=회사별_폐기물매핑!$A$2:$A$1000)*($E94=회사별_폐기물매핑!$B$2:$B$1000),0),0)),"")</f>
        <v/>
      </c>
    </row>
    <row r="95" spans="4:4">
      <c r="D95" t="str">
        <f>IFERROR(INDEX(회사별_폐기물매핑!$C$2:$C$1000,MATCH(1,INDEX(($C$14=회사별_폐기물매핑!$A$2:$A$1000)*($E95=회사별_폐기물매핑!$B$2:$B$1000),0),0)),"")</f>
        <v/>
      </c>
    </row>
    <row r="96" spans="4:4">
      <c r="D96" t="str">
        <f>IFERROR(INDEX(회사별_폐기물매핑!$C$2:$C$1000,MATCH(1,INDEX(($C$14=회사별_폐기물매핑!$A$2:$A$1000)*($E96=회사별_폐기물매핑!$B$2:$B$1000),0),0)),"")</f>
        <v/>
      </c>
    </row>
    <row r="97" spans="4:4">
      <c r="D97" t="str">
        <f>IFERROR(INDEX(회사별_폐기물매핑!$C$2:$C$1000,MATCH(1,INDEX(($C$14=회사별_폐기물매핑!$A$2:$A$1000)*($E97=회사별_폐기물매핑!$B$2:$B$1000),0),0)),"")</f>
        <v/>
      </c>
    </row>
    <row r="98" spans="4:4">
      <c r="D98" t="str">
        <f>IFERROR(INDEX(회사별_폐기물매핑!$C$2:$C$1000,MATCH(1,INDEX(($C$14=회사별_폐기물매핑!$A$2:$A$1000)*($E98=회사별_폐기물매핑!$B$2:$B$1000),0),0)),"")</f>
        <v/>
      </c>
    </row>
    <row r="99" spans="4:4">
      <c r="D99" t="str">
        <f>IFERROR(INDEX(회사별_폐기물매핑!$C$2:$C$1000,MATCH(1,INDEX(($C$14=회사별_폐기물매핑!$A$2:$A$1000)*($E99=회사별_폐기물매핑!$B$2:$B$1000),0),0)),"")</f>
        <v/>
      </c>
    </row>
    <row r="100" spans="4:4">
      <c r="D100" t="str">
        <f>IFERROR(INDEX(회사별_폐기물매핑!$C$2:$C$1000,MATCH(1,INDEX(($C$14=회사별_폐기물매핑!$A$2:$A$1000)*($E100=회사별_폐기물매핑!$B$2:$B$1000),0),0)),"")</f>
        <v/>
      </c>
    </row>
    <row r="101" spans="4:4">
      <c r="D101" t="str">
        <f>IFERROR(INDEX(회사별_폐기물매핑!$C$2:$C$1000,MATCH(1,INDEX(($C$14=회사별_폐기물매핑!$A$2:$A$1000)*($E101=회사별_폐기물매핑!$B$2:$B$1000),0),0)),"")</f>
        <v/>
      </c>
    </row>
    <row r="102" spans="4:4">
      <c r="D102" t="str">
        <f>IFERROR(INDEX(회사별_폐기물매핑!$C$2:$C$1000,MATCH(1,INDEX(($C$14=회사별_폐기물매핑!$A$2:$A$1000)*($E102=회사별_폐기물매핑!$B$2:$B$1000),0),0)),"")</f>
        <v/>
      </c>
    </row>
    <row r="103" spans="4:4">
      <c r="D103" t="str">
        <f>IFERROR(INDEX(회사별_폐기물매핑!$C$2:$C$1000,MATCH(1,INDEX(($C$14=회사별_폐기물매핑!$A$2:$A$1000)*($E103=회사별_폐기물매핑!$B$2:$B$1000),0),0)),"")</f>
        <v/>
      </c>
    </row>
    <row r="104" spans="4:4">
      <c r="D104" t="str">
        <f>IFERROR(INDEX(회사별_폐기물매핑!$C$2:$C$1000,MATCH(1,INDEX(($C$14=회사별_폐기물매핑!$A$2:$A$1000)*($E104=회사별_폐기물매핑!$B$2:$B$1000),0),0)),"")</f>
        <v/>
      </c>
    </row>
    <row r="105" spans="4:4">
      <c r="D105" t="str">
        <f>IFERROR(INDEX(회사별_폐기물매핑!$C$2:$C$1000,MATCH(1,INDEX(($C$14=회사별_폐기물매핑!$A$2:$A$1000)*($E105=회사별_폐기물매핑!$B$2:$B$1000),0),0)),"")</f>
        <v/>
      </c>
    </row>
    <row r="106" spans="4:4">
      <c r="D106" t="str">
        <f>IFERROR(INDEX(회사별_폐기물매핑!$C$2:$C$1000,MATCH(1,INDEX(($C$14=회사별_폐기물매핑!$A$2:$A$1000)*($E106=회사별_폐기물매핑!$B$2:$B$1000),0),0)),"")</f>
        <v/>
      </c>
    </row>
    <row r="107" spans="4:4">
      <c r="D107" t="str">
        <f>IFERROR(INDEX(회사별_폐기물매핑!$C$2:$C$1000,MATCH(1,INDEX(($C$14=회사별_폐기물매핑!$A$2:$A$1000)*($E107=회사별_폐기물매핑!$B$2:$B$1000),0),0)),"")</f>
        <v/>
      </c>
    </row>
    <row r="108" spans="4:4">
      <c r="D108" t="str">
        <f>IFERROR(INDEX(회사별_폐기물매핑!$C$2:$C$1000,MATCH(1,INDEX(($C$14=회사별_폐기물매핑!$A$2:$A$1000)*($E108=회사별_폐기물매핑!$B$2:$B$1000),0),0)),"")</f>
        <v/>
      </c>
    </row>
    <row r="109" spans="4:4">
      <c r="D109" t="str">
        <f>IFERROR(INDEX(회사별_폐기물매핑!$C$2:$C$1000,MATCH(1,INDEX(($C$14=회사별_폐기물매핑!$A$2:$A$1000)*($E109=회사별_폐기물매핑!$B$2:$B$1000),0),0)),"")</f>
        <v/>
      </c>
    </row>
    <row r="110" spans="4:4">
      <c r="D110" t="str">
        <f>IFERROR(INDEX(회사별_폐기물매핑!$C$2:$C$1000,MATCH(1,INDEX(($C$14=회사별_폐기물매핑!$A$2:$A$1000)*($E110=회사별_폐기물매핑!$B$2:$B$1000),0),0)),"")</f>
        <v/>
      </c>
    </row>
    <row r="111" spans="4:4">
      <c r="D111" t="str">
        <f>IFERROR(INDEX(회사별_폐기물매핑!$C$2:$C$1000,MATCH(1,INDEX(($C$14=회사별_폐기물매핑!$A$2:$A$1000)*($E111=회사별_폐기물매핑!$B$2:$B$1000),0),0)),"")</f>
        <v/>
      </c>
    </row>
    <row r="112" spans="4:4">
      <c r="D112" t="str">
        <f>IFERROR(INDEX(회사별_폐기물매핑!$C$2:$C$1000,MATCH(1,INDEX(($C$14=회사별_폐기물매핑!$A$2:$A$1000)*($E112=회사별_폐기물매핑!$B$2:$B$1000),0),0)),"")</f>
        <v/>
      </c>
    </row>
    <row r="113" spans="4:4">
      <c r="D113" t="str">
        <f>IFERROR(INDEX(회사별_폐기물매핑!$C$2:$C$1000,MATCH(1,INDEX(($C$14=회사별_폐기물매핑!$A$2:$A$1000)*($E113=회사별_폐기물매핑!$B$2:$B$1000),0),0)),"")</f>
        <v/>
      </c>
    </row>
    <row r="114" spans="4:4">
      <c r="D114" t="str">
        <f>IFERROR(INDEX(회사별_폐기물매핑!$C$2:$C$1000,MATCH(1,INDEX(($C$14=회사별_폐기물매핑!$A$2:$A$1000)*($E114=회사별_폐기물매핑!$B$2:$B$1000),0),0)),"")</f>
        <v/>
      </c>
    </row>
    <row r="115" spans="4:4">
      <c r="D115" t="str">
        <f>IFERROR(INDEX(회사별_폐기물매핑!$C$2:$C$1000,MATCH(1,INDEX(($C$14=회사별_폐기물매핑!$A$2:$A$1000)*($E115=회사별_폐기물매핑!$B$2:$B$1000),0),0)),"")</f>
        <v/>
      </c>
    </row>
    <row r="116" spans="4:4">
      <c r="D116" t="str">
        <f>IFERROR(INDEX(회사별_폐기물매핑!$C$2:$C$1000,MATCH(1,INDEX(($C$14=회사별_폐기물매핑!$A$2:$A$1000)*($E116=회사별_폐기물매핑!$B$2:$B$1000),0),0)),"")</f>
        <v/>
      </c>
    </row>
    <row r="117" spans="4:4">
      <c r="D117" t="str">
        <f>IFERROR(INDEX(회사별_폐기물매핑!$C$2:$C$1000,MATCH(1,INDEX(($C$14=회사별_폐기물매핑!$A$2:$A$1000)*($E117=회사별_폐기물매핑!$B$2:$B$1000),0),0)),"")</f>
        <v/>
      </c>
    </row>
    <row r="118" spans="4:4">
      <c r="D118" t="str">
        <f>IFERROR(INDEX(회사별_폐기물매핑!$C$2:$C$1000,MATCH(1,INDEX(($C$14=회사별_폐기물매핑!$A$2:$A$1000)*($E118=회사별_폐기물매핑!$B$2:$B$1000),0),0)),"")</f>
        <v/>
      </c>
    </row>
    <row r="119" spans="4:4">
      <c r="D119" t="str">
        <f>IFERROR(INDEX(회사별_폐기물매핑!$C$2:$C$1000,MATCH(1,INDEX(($C$14=회사별_폐기물매핑!$A$2:$A$1000)*($E119=회사별_폐기물매핑!$B$2:$B$1000),0),0)),"")</f>
        <v/>
      </c>
    </row>
    <row r="120" spans="4:4">
      <c r="D120" t="str">
        <f>IFERROR(INDEX(회사별_폐기물매핑!$C$2:$C$1000,MATCH(1,INDEX(($C$14=회사별_폐기물매핑!$A$2:$A$1000)*($E120=회사별_폐기물매핑!$B$2:$B$1000),0),0)),"")</f>
        <v/>
      </c>
    </row>
    <row r="121" spans="4:4">
      <c r="D121" t="str">
        <f>IFERROR(INDEX(회사별_폐기물매핑!$C$2:$C$1000,MATCH(1,INDEX(($C$14=회사별_폐기물매핑!$A$2:$A$1000)*($E121=회사별_폐기물매핑!$B$2:$B$1000),0),0)),"")</f>
        <v/>
      </c>
    </row>
    <row r="122" spans="4:4">
      <c r="D122" t="str">
        <f>IFERROR(INDEX(회사별_폐기물매핑!$C$2:$C$1000,MATCH(1,INDEX(($C$14=회사별_폐기물매핑!$A$2:$A$1000)*($E122=회사별_폐기물매핑!$B$2:$B$1000),0),0)),"")</f>
        <v/>
      </c>
    </row>
    <row r="123" spans="4:4">
      <c r="D123" t="str">
        <f>IFERROR(INDEX(회사별_폐기물매핑!$C$2:$C$1000,MATCH(1,INDEX(($C$14=회사별_폐기물매핑!$A$2:$A$1000)*($E123=회사별_폐기물매핑!$B$2:$B$1000),0),0)),"")</f>
        <v/>
      </c>
    </row>
    <row r="124" spans="4:4">
      <c r="D124" t="str">
        <f>IFERROR(INDEX(회사별_폐기물매핑!$C$2:$C$1000,MATCH(1,INDEX(($C$14=회사별_폐기물매핑!$A$2:$A$1000)*($E124=회사별_폐기물매핑!$B$2:$B$1000),0),0)),"")</f>
        <v/>
      </c>
    </row>
    <row r="125" spans="4:4">
      <c r="D125" t="str">
        <f>IFERROR(INDEX(회사별_폐기물매핑!$C$2:$C$1000,MATCH(1,INDEX(($C$14=회사별_폐기물매핑!$A$2:$A$1000)*($E125=회사별_폐기물매핑!$B$2:$B$1000),0),0)),"")</f>
        <v/>
      </c>
    </row>
    <row r="126" spans="4:4">
      <c r="D126" t="str">
        <f>IFERROR(INDEX(회사별_폐기물매핑!$C$2:$C$1000,MATCH(1,INDEX(($C$14=회사별_폐기물매핑!$A$2:$A$1000)*($E126=회사별_폐기물매핑!$B$2:$B$1000),0),0)),"")</f>
        <v/>
      </c>
    </row>
    <row r="127" spans="4:4">
      <c r="D127" t="str">
        <f>IFERROR(INDEX(회사별_폐기물매핑!$C$2:$C$1000,MATCH(1,INDEX(($C$14=회사별_폐기물매핑!$A$2:$A$1000)*($E127=회사별_폐기물매핑!$B$2:$B$1000),0),0)),"")</f>
        <v/>
      </c>
    </row>
    <row r="128" spans="4:4">
      <c r="D128" t="str">
        <f>IFERROR(INDEX(회사별_폐기물매핑!$C$2:$C$1000,MATCH(1,INDEX(($C$14=회사별_폐기물매핑!$A$2:$A$1000)*($E128=회사별_폐기물매핑!$B$2:$B$1000),0),0)),"")</f>
        <v/>
      </c>
    </row>
    <row r="129" spans="4:4">
      <c r="D129" t="str">
        <f>IFERROR(INDEX(회사별_폐기물매핑!$C$2:$C$1000,MATCH(1,INDEX(($C$14=회사별_폐기물매핑!$A$2:$A$1000)*($E129=회사별_폐기물매핑!$B$2:$B$1000),0),0)),"")</f>
        <v/>
      </c>
    </row>
    <row r="130" spans="4:4">
      <c r="D130" t="str">
        <f>IFERROR(INDEX(회사별_폐기물매핑!$C$2:$C$1000,MATCH(1,INDEX(($C$14=회사별_폐기물매핑!$A$2:$A$1000)*($E130=회사별_폐기물매핑!$B$2:$B$1000),0),0)),"")</f>
        <v/>
      </c>
    </row>
    <row r="131" spans="4:4">
      <c r="D131" t="str">
        <f>IFERROR(INDEX(회사별_폐기물매핑!$C$2:$C$1000,MATCH(1,INDEX(($C$14=회사별_폐기물매핑!$A$2:$A$1000)*($E131=회사별_폐기물매핑!$B$2:$B$1000),0),0)),"")</f>
        <v/>
      </c>
    </row>
    <row r="132" spans="4:4">
      <c r="D132" t="str">
        <f>IFERROR(INDEX(회사별_폐기물매핑!$C$2:$C$1000,MATCH(1,INDEX(($C$14=회사별_폐기물매핑!$A$2:$A$1000)*($E132=회사별_폐기물매핑!$B$2:$B$1000),0),0)),"")</f>
        <v/>
      </c>
    </row>
    <row r="133" spans="4:4">
      <c r="D133" t="str">
        <f>IFERROR(INDEX(회사별_폐기물매핑!$C$2:$C$1000,MATCH(1,INDEX(($C$14=회사별_폐기물매핑!$A$2:$A$1000)*($E133=회사별_폐기물매핑!$B$2:$B$1000),0),0)),"")</f>
        <v/>
      </c>
    </row>
    <row r="134" spans="4:4">
      <c r="D134" t="str">
        <f>IFERROR(INDEX(회사별_폐기물매핑!$C$2:$C$1000,MATCH(1,INDEX(($C$14=회사별_폐기물매핑!$A$2:$A$1000)*($E134=회사별_폐기물매핑!$B$2:$B$1000),0),0)),"")</f>
        <v/>
      </c>
    </row>
    <row r="135" spans="4:4">
      <c r="D135" t="str">
        <f>IFERROR(INDEX(회사별_폐기물매핑!$C$2:$C$1000,MATCH(1,INDEX(($C$14=회사별_폐기물매핑!$A$2:$A$1000)*($E135=회사별_폐기물매핑!$B$2:$B$1000),0),0)),"")</f>
        <v/>
      </c>
    </row>
    <row r="136" spans="4:4">
      <c r="D136" t="str">
        <f>IFERROR(INDEX(회사별_폐기물매핑!$C$2:$C$1000,MATCH(1,INDEX(($C$14=회사별_폐기물매핑!$A$2:$A$1000)*($E136=회사별_폐기물매핑!$B$2:$B$1000),0),0)),"")</f>
        <v/>
      </c>
    </row>
    <row r="137" spans="4:4">
      <c r="D137" t="str">
        <f>IFERROR(INDEX(회사별_폐기물매핑!$C$2:$C$1000,MATCH(1,INDEX(($C$14=회사별_폐기물매핑!$A$2:$A$1000)*($E137=회사별_폐기물매핑!$B$2:$B$1000),0),0)),"")</f>
        <v/>
      </c>
    </row>
    <row r="138" spans="4:4">
      <c r="D138" t="str">
        <f>IFERROR(INDEX(회사별_폐기물매핑!$C$2:$C$1000,MATCH(1,INDEX(($C$14=회사별_폐기물매핑!$A$2:$A$1000)*($E138=회사별_폐기물매핑!$B$2:$B$1000),0),0)),"")</f>
        <v/>
      </c>
    </row>
    <row r="139" spans="4:4">
      <c r="D139" t="str">
        <f>IFERROR(INDEX(회사별_폐기물매핑!$C$2:$C$1000,MATCH(1,INDEX(($C$14=회사별_폐기물매핑!$A$2:$A$1000)*($E139=회사별_폐기물매핑!$B$2:$B$1000),0),0)),"")</f>
        <v/>
      </c>
    </row>
    <row r="140" spans="4:4">
      <c r="D140" t="str">
        <f>IFERROR(INDEX(회사별_폐기물매핑!$C$2:$C$1000,MATCH(1,INDEX(($C$14=회사별_폐기물매핑!$A$2:$A$1000)*($E140=회사별_폐기물매핑!$B$2:$B$1000),0),0)),"")</f>
        <v/>
      </c>
    </row>
    <row r="141" spans="4:4">
      <c r="D141" t="str">
        <f>IFERROR(INDEX(회사별_폐기물매핑!$C$2:$C$1000,MATCH(1,INDEX(($C$14=회사별_폐기물매핑!$A$2:$A$1000)*($E141=회사별_폐기물매핑!$B$2:$B$1000),0),0)),"")</f>
        <v/>
      </c>
    </row>
    <row r="142" spans="4:4">
      <c r="D142" t="str">
        <f>IFERROR(INDEX(회사별_폐기물매핑!$C$2:$C$1000,MATCH(1,INDEX(($C$14=회사별_폐기물매핑!$A$2:$A$1000)*($E142=회사별_폐기물매핑!$B$2:$B$1000),0),0)),"")</f>
        <v/>
      </c>
    </row>
    <row r="143" spans="4:4">
      <c r="D143" t="str">
        <f>IFERROR(INDEX(회사별_폐기물매핑!$C$2:$C$1000,MATCH(1,INDEX(($C$14=회사별_폐기물매핑!$A$2:$A$1000)*($E143=회사별_폐기물매핑!$B$2:$B$1000),0),0)),"")</f>
        <v/>
      </c>
    </row>
    <row r="144" spans="4:4">
      <c r="D144" t="str">
        <f>IFERROR(INDEX(회사별_폐기물매핑!$C$2:$C$1000,MATCH(1,INDEX(($C$14=회사별_폐기물매핑!$A$2:$A$1000)*($E144=회사별_폐기물매핑!$B$2:$B$1000),0),0)),"")</f>
        <v/>
      </c>
    </row>
    <row r="145" spans="4:4">
      <c r="D145" t="str">
        <f>IFERROR(INDEX(회사별_폐기물매핑!$C$2:$C$1000,MATCH(1,INDEX(($C$14=회사별_폐기물매핑!$A$2:$A$1000)*($E145=회사별_폐기물매핑!$B$2:$B$1000),0),0)),"")</f>
        <v/>
      </c>
    </row>
    <row r="146" spans="4:4">
      <c r="D146" t="str">
        <f>IFERROR(INDEX(회사별_폐기물매핑!$C$2:$C$1000,MATCH(1,INDEX(($C$14=회사별_폐기물매핑!$A$2:$A$1000)*($E146=회사별_폐기물매핑!$B$2:$B$1000),0),0)),"")</f>
        <v/>
      </c>
    </row>
    <row r="147" spans="4:4">
      <c r="D147" t="str">
        <f>IFERROR(INDEX(회사별_폐기물매핑!$C$2:$C$1000,MATCH(1,INDEX(($C$14=회사별_폐기물매핑!$A$2:$A$1000)*($E147=회사별_폐기물매핑!$B$2:$B$1000),0),0)),"")</f>
        <v/>
      </c>
    </row>
    <row r="148" spans="4:4">
      <c r="D148" t="str">
        <f>IFERROR(INDEX(회사별_폐기물매핑!$C$2:$C$1000,MATCH(1,INDEX(($C$14=회사별_폐기물매핑!$A$2:$A$1000)*($E148=회사별_폐기물매핑!$B$2:$B$1000),0),0)),"")</f>
        <v/>
      </c>
    </row>
    <row r="149" spans="4:4">
      <c r="D149" t="str">
        <f>IFERROR(INDEX(회사별_폐기물매핑!$C$2:$C$1000,MATCH(1,INDEX(($C$14=회사별_폐기물매핑!$A$2:$A$1000)*($E149=회사별_폐기물매핑!$B$2:$B$1000),0),0)),"")</f>
        <v/>
      </c>
    </row>
    <row r="150" spans="4:4">
      <c r="D150" t="str">
        <f>IFERROR(INDEX(회사별_폐기물매핑!$C$2:$C$1000,MATCH(1,INDEX(($C$14=회사별_폐기물매핑!$A$2:$A$1000)*($E150=회사별_폐기물매핑!$B$2:$B$1000),0),0)),"")</f>
        <v/>
      </c>
    </row>
    <row r="151" spans="4:4">
      <c r="D151" t="str">
        <f>IFERROR(INDEX(회사별_폐기물매핑!$C$2:$C$1000,MATCH(1,INDEX(($C$14=회사별_폐기물매핑!$A$2:$A$1000)*($E151=회사별_폐기물매핑!$B$2:$B$1000),0),0)),"")</f>
        <v/>
      </c>
    </row>
    <row r="152" spans="4:4">
      <c r="D152" t="str">
        <f>IFERROR(INDEX(회사별_폐기물매핑!$C$2:$C$1000,MATCH(1,INDEX(($C$14=회사별_폐기물매핑!$A$2:$A$1000)*($E152=회사별_폐기물매핑!$B$2:$B$1000),0),0)),"")</f>
        <v/>
      </c>
    </row>
    <row r="153" spans="4:4">
      <c r="D153" t="str">
        <f>IFERROR(INDEX(회사별_폐기물매핑!$C$2:$C$1000,MATCH(1,INDEX(($C$14=회사별_폐기물매핑!$A$2:$A$1000)*($E153=회사별_폐기물매핑!$B$2:$B$1000),0),0)),"")</f>
        <v/>
      </c>
    </row>
    <row r="154" spans="4:4">
      <c r="D154" t="str">
        <f>IFERROR(INDEX(회사별_폐기물매핑!$C$2:$C$1000,MATCH(1,INDEX(($C$14=회사별_폐기물매핑!$A$2:$A$1000)*($E154=회사별_폐기물매핑!$B$2:$B$1000),0),0)),"")</f>
        <v/>
      </c>
    </row>
    <row r="155" spans="4:4">
      <c r="D155" t="str">
        <f>IFERROR(INDEX(회사별_폐기물매핑!$C$2:$C$1000,MATCH(1,INDEX(($C$14=회사별_폐기물매핑!$A$2:$A$1000)*($E155=회사별_폐기물매핑!$B$2:$B$1000),0),0)),"")</f>
        <v/>
      </c>
    </row>
    <row r="156" spans="4:4">
      <c r="D156" t="str">
        <f>IFERROR(INDEX(회사별_폐기물매핑!$C$2:$C$1000,MATCH(1,INDEX(($C$14=회사별_폐기물매핑!$A$2:$A$1000)*($E156=회사별_폐기물매핑!$B$2:$B$1000),0),0)),"")</f>
        <v/>
      </c>
    </row>
    <row r="157" spans="4:4">
      <c r="D157" t="str">
        <f>IFERROR(INDEX(회사별_폐기물매핑!$C$2:$C$1000,MATCH(1,INDEX(($C$14=회사별_폐기물매핑!$A$2:$A$1000)*($E157=회사별_폐기물매핑!$B$2:$B$1000),0),0)),"")</f>
        <v/>
      </c>
    </row>
    <row r="158" spans="4:4">
      <c r="D158" t="str">
        <f>IFERROR(INDEX(회사별_폐기물매핑!$C$2:$C$1000,MATCH(1,INDEX(($C$14=회사별_폐기물매핑!$A$2:$A$1000)*($E158=회사별_폐기물매핑!$B$2:$B$1000),0),0)),"")</f>
        <v/>
      </c>
    </row>
    <row r="159" spans="4:4">
      <c r="D159" t="str">
        <f>IFERROR(INDEX(회사별_폐기물매핑!$C$2:$C$1000,MATCH(1,INDEX(($C$14=회사별_폐기물매핑!$A$2:$A$1000)*($E159=회사별_폐기물매핑!$B$2:$B$1000),0),0)),"")</f>
        <v/>
      </c>
    </row>
    <row r="160" spans="4:4">
      <c r="D160" t="str">
        <f>IFERROR(INDEX(회사별_폐기물매핑!$C$2:$C$1000,MATCH(1,INDEX(($C$14=회사별_폐기물매핑!$A$2:$A$1000)*($E160=회사별_폐기물매핑!$B$2:$B$1000),0),0)),"")</f>
        <v/>
      </c>
    </row>
    <row r="161" spans="4:4">
      <c r="D161" t="str">
        <f>IFERROR(INDEX(회사별_폐기물매핑!$C$2:$C$1000,MATCH(1,INDEX(($C$14=회사별_폐기물매핑!$A$2:$A$1000)*($E161=회사별_폐기물매핑!$B$2:$B$1000),0),0)),"")</f>
        <v/>
      </c>
    </row>
    <row r="162" spans="4:4">
      <c r="D162" t="str">
        <f>IFERROR(INDEX(회사별_폐기물매핑!$C$2:$C$1000,MATCH(1,INDEX(($C$14=회사별_폐기물매핑!$A$2:$A$1000)*($E162=회사별_폐기물매핑!$B$2:$B$1000),0),0)),"")</f>
        <v/>
      </c>
    </row>
    <row r="163" spans="4:4">
      <c r="D163" t="str">
        <f>IFERROR(INDEX(회사별_폐기물매핑!$C$2:$C$1000,MATCH(1,INDEX(($C$14=회사별_폐기물매핑!$A$2:$A$1000)*($E163=회사별_폐기물매핑!$B$2:$B$1000),0),0)),"")</f>
        <v/>
      </c>
    </row>
    <row r="164" spans="4:4">
      <c r="D164" t="str">
        <f>IFERROR(INDEX(회사별_폐기물매핑!$C$2:$C$1000,MATCH(1,INDEX(($C$14=회사별_폐기물매핑!$A$2:$A$1000)*($E164=회사별_폐기물매핑!$B$2:$B$1000),0),0)),"")</f>
        <v/>
      </c>
    </row>
    <row r="165" spans="4:4">
      <c r="D165" t="str">
        <f>IFERROR(INDEX(회사별_폐기물매핑!$C$2:$C$1000,MATCH(1,INDEX(($C$14=회사별_폐기물매핑!$A$2:$A$1000)*($E165=회사별_폐기물매핑!$B$2:$B$1000),0),0)),"")</f>
        <v/>
      </c>
    </row>
    <row r="166" spans="4:4">
      <c r="D166" t="str">
        <f>IFERROR(INDEX(회사별_폐기물매핑!$C$2:$C$1000,MATCH(1,INDEX(($C$14=회사별_폐기물매핑!$A$2:$A$1000)*($E166=회사별_폐기물매핑!$B$2:$B$1000),0),0)),"")</f>
        <v/>
      </c>
    </row>
    <row r="167" spans="4:4">
      <c r="D167" t="str">
        <f>IFERROR(INDEX(회사별_폐기물매핑!$C$2:$C$1000,MATCH(1,INDEX(($C$14=회사별_폐기물매핑!$A$2:$A$1000)*($E167=회사별_폐기물매핑!$B$2:$B$1000),0),0)),"")</f>
        <v/>
      </c>
    </row>
    <row r="168" spans="4:4">
      <c r="D168" t="str">
        <f>IFERROR(INDEX(회사별_폐기물매핑!$C$2:$C$1000,MATCH(1,INDEX(($C$14=회사별_폐기물매핑!$A$2:$A$1000)*($E168=회사별_폐기물매핑!$B$2:$B$1000),0),0)),"")</f>
        <v/>
      </c>
    </row>
    <row r="169" spans="4:4">
      <c r="D169" t="str">
        <f>IFERROR(INDEX(회사별_폐기물매핑!$C$2:$C$1000,MATCH(1,INDEX(($C$14=회사별_폐기물매핑!$A$2:$A$1000)*($E169=회사별_폐기물매핑!$B$2:$B$1000),0),0)),"")</f>
        <v/>
      </c>
    </row>
    <row r="170" spans="4:4">
      <c r="D170" t="str">
        <f>IFERROR(INDEX(회사별_폐기물매핑!$C$2:$C$1000,MATCH(1,INDEX(($C$14=회사별_폐기물매핑!$A$2:$A$1000)*($E170=회사별_폐기물매핑!$B$2:$B$1000),0),0)),"")</f>
        <v/>
      </c>
    </row>
    <row r="171" spans="4:4">
      <c r="D171" t="str">
        <f>IFERROR(INDEX(회사별_폐기물매핑!$C$2:$C$1000,MATCH(1,INDEX(($C$14=회사별_폐기물매핑!$A$2:$A$1000)*($E171=회사별_폐기물매핑!$B$2:$B$1000),0),0)),"")</f>
        <v/>
      </c>
    </row>
    <row r="172" spans="4:4">
      <c r="D172" t="str">
        <f>IFERROR(INDEX(회사별_폐기물매핑!$C$2:$C$1000,MATCH(1,INDEX(($C$14=회사별_폐기물매핑!$A$2:$A$1000)*($E172=회사별_폐기물매핑!$B$2:$B$1000),0),0)),"")</f>
        <v/>
      </c>
    </row>
    <row r="173" spans="4:4">
      <c r="D173" t="str">
        <f>IFERROR(INDEX(회사별_폐기물매핑!$C$2:$C$1000,MATCH(1,INDEX(($C$14=회사별_폐기물매핑!$A$2:$A$1000)*($E173=회사별_폐기물매핑!$B$2:$B$1000),0),0)),"")</f>
        <v/>
      </c>
    </row>
    <row r="174" spans="4:4">
      <c r="D174" t="str">
        <f>IFERROR(INDEX(회사별_폐기물매핑!$C$2:$C$1000,MATCH(1,INDEX(($C$14=회사별_폐기물매핑!$A$2:$A$1000)*($E174=회사별_폐기물매핑!$B$2:$B$1000),0),0)),"")</f>
        <v/>
      </c>
    </row>
    <row r="175" spans="4:4">
      <c r="D175" t="str">
        <f>IFERROR(INDEX(회사별_폐기물매핑!$C$2:$C$1000,MATCH(1,INDEX(($C$14=회사별_폐기물매핑!$A$2:$A$1000)*($E175=회사별_폐기물매핑!$B$2:$B$1000),0),0)),"")</f>
        <v/>
      </c>
    </row>
    <row r="176" spans="4:4">
      <c r="D176" t="str">
        <f>IFERROR(INDEX(회사별_폐기물매핑!$C$2:$C$1000,MATCH(1,INDEX(($C$14=회사별_폐기물매핑!$A$2:$A$1000)*($E176=회사별_폐기물매핑!$B$2:$B$1000),0),0)),"")</f>
        <v/>
      </c>
    </row>
    <row r="177" spans="4:4">
      <c r="D177" t="str">
        <f>IFERROR(INDEX(회사별_폐기물매핑!$C$2:$C$1000,MATCH(1,INDEX(($C$14=회사별_폐기물매핑!$A$2:$A$1000)*($E177=회사별_폐기물매핑!$B$2:$B$1000),0),0)),"")</f>
        <v/>
      </c>
    </row>
    <row r="178" spans="4:4">
      <c r="D178" t="str">
        <f>IFERROR(INDEX(회사별_폐기물매핑!$C$2:$C$1000,MATCH(1,INDEX(($C$14=회사별_폐기물매핑!$A$2:$A$1000)*($E178=회사별_폐기물매핑!$B$2:$B$1000),0),0)),"")</f>
        <v/>
      </c>
    </row>
    <row r="179" spans="4:4">
      <c r="D179" t="str">
        <f>IFERROR(INDEX(회사별_폐기물매핑!$C$2:$C$1000,MATCH(1,INDEX(($C$14=회사별_폐기물매핑!$A$2:$A$1000)*($E179=회사별_폐기물매핑!$B$2:$B$1000),0),0)),"")</f>
        <v/>
      </c>
    </row>
    <row r="180" spans="4:4">
      <c r="D180" t="str">
        <f>IFERROR(INDEX(회사별_폐기물매핑!$C$2:$C$1000,MATCH(1,INDEX(($C$14=회사별_폐기물매핑!$A$2:$A$1000)*($E180=회사별_폐기물매핑!$B$2:$B$1000),0),0)),"")</f>
        <v/>
      </c>
    </row>
    <row r="181" spans="4:4">
      <c r="D181" t="str">
        <f>IFERROR(INDEX(회사별_폐기물매핑!$C$2:$C$1000,MATCH(1,INDEX(($C$14=회사별_폐기물매핑!$A$2:$A$1000)*($E181=회사별_폐기물매핑!$B$2:$B$1000),0),0)),"")</f>
        <v/>
      </c>
    </row>
    <row r="182" spans="4:4">
      <c r="D182" t="str">
        <f>IFERROR(INDEX(회사별_폐기물매핑!$C$2:$C$1000,MATCH(1,INDEX(($C$14=회사별_폐기물매핑!$A$2:$A$1000)*($E182=회사별_폐기물매핑!$B$2:$B$1000),0),0)),"")</f>
        <v/>
      </c>
    </row>
    <row r="183" spans="4:4">
      <c r="D183" t="str">
        <f>IFERROR(INDEX(회사별_폐기물매핑!$C$2:$C$1000,MATCH(1,INDEX(($C$14=회사별_폐기물매핑!$A$2:$A$1000)*($E183=회사별_폐기물매핑!$B$2:$B$1000),0),0)),"")</f>
        <v/>
      </c>
    </row>
    <row r="184" spans="4:4">
      <c r="D184" t="str">
        <f>IFERROR(INDEX(회사별_폐기물매핑!$C$2:$C$1000,MATCH(1,INDEX(($C$14=회사별_폐기물매핑!$A$2:$A$1000)*($E184=회사별_폐기물매핑!$B$2:$B$1000),0),0)),"")</f>
        <v/>
      </c>
    </row>
    <row r="185" spans="4:4">
      <c r="D185" t="str">
        <f>IFERROR(INDEX(회사별_폐기물매핑!$C$2:$C$1000,MATCH(1,INDEX(($C$14=회사별_폐기물매핑!$A$2:$A$1000)*($E185=회사별_폐기물매핑!$B$2:$B$1000),0),0)),"")</f>
        <v/>
      </c>
    </row>
    <row r="186" spans="4:4">
      <c r="D186" t="str">
        <f>IFERROR(INDEX(회사별_폐기물매핑!$C$2:$C$1000,MATCH(1,INDEX(($C$14=회사별_폐기물매핑!$A$2:$A$1000)*($E186=회사별_폐기물매핑!$B$2:$B$1000),0),0)),"")</f>
        <v/>
      </c>
    </row>
    <row r="187" spans="4:4">
      <c r="D187" t="str">
        <f>IFERROR(INDEX(회사별_폐기물매핑!$C$2:$C$1000,MATCH(1,INDEX(($C$14=회사별_폐기물매핑!$A$2:$A$1000)*($E187=회사별_폐기물매핑!$B$2:$B$1000),0),0)),"")</f>
        <v/>
      </c>
    </row>
    <row r="188" spans="4:4">
      <c r="D188" t="str">
        <f>IFERROR(INDEX(회사별_폐기물매핑!$C$2:$C$1000,MATCH(1,INDEX(($C$14=회사별_폐기물매핑!$A$2:$A$1000)*($E188=회사별_폐기물매핑!$B$2:$B$1000),0),0)),"")</f>
        <v/>
      </c>
    </row>
    <row r="189" spans="4:4">
      <c r="D189" t="str">
        <f>IFERROR(INDEX(회사별_폐기물매핑!$C$2:$C$1000,MATCH(1,INDEX(($C$14=회사별_폐기물매핑!$A$2:$A$1000)*($E189=회사별_폐기물매핑!$B$2:$B$1000),0),0)),"")</f>
        <v/>
      </c>
    </row>
    <row r="190" spans="4:4">
      <c r="D190" t="str">
        <f>IFERROR(INDEX(회사별_폐기물매핑!$C$2:$C$1000,MATCH(1,INDEX(($C$14=회사별_폐기물매핑!$A$2:$A$1000)*($E190=회사별_폐기물매핑!$B$2:$B$1000),0),0)),"")</f>
        <v/>
      </c>
    </row>
    <row r="191" spans="4:4">
      <c r="D191" t="str">
        <f>IFERROR(INDEX(회사별_폐기물매핑!$C$2:$C$1000,MATCH(1,INDEX(($C$14=회사별_폐기물매핑!$A$2:$A$1000)*($E191=회사별_폐기물매핑!$B$2:$B$1000),0),0)),"")</f>
        <v/>
      </c>
    </row>
    <row r="192" spans="4:4">
      <c r="D192" t="str">
        <f>IFERROR(INDEX(회사별_폐기물매핑!$C$2:$C$1000,MATCH(1,INDEX(($C$14=회사별_폐기물매핑!$A$2:$A$1000)*($E192=회사별_폐기물매핑!$B$2:$B$1000),0),0)),"")</f>
        <v/>
      </c>
    </row>
    <row r="193" spans="4:4">
      <c r="D193" t="str">
        <f>IFERROR(INDEX(회사별_폐기물매핑!$C$2:$C$1000,MATCH(1,INDEX(($C$14=회사별_폐기물매핑!$A$2:$A$1000)*($E193=회사별_폐기물매핑!$B$2:$B$1000),0),0)),"")</f>
        <v/>
      </c>
    </row>
    <row r="194" spans="4:4">
      <c r="D194" t="str">
        <f>IFERROR(INDEX(회사별_폐기물매핑!$C$2:$C$1000,MATCH(1,INDEX(($C$14=회사별_폐기물매핑!$A$2:$A$1000)*($E194=회사별_폐기물매핑!$B$2:$B$1000),0),0)),"")</f>
        <v/>
      </c>
    </row>
    <row r="195" spans="4:4">
      <c r="D195" t="str">
        <f>IFERROR(INDEX(회사별_폐기물매핑!$C$2:$C$1000,MATCH(1,INDEX(($C$14=회사별_폐기물매핑!$A$2:$A$1000)*($E195=회사별_폐기물매핑!$B$2:$B$1000),0),0)),"")</f>
        <v/>
      </c>
    </row>
    <row r="196" spans="4:4">
      <c r="D196" t="str">
        <f>IFERROR(INDEX(회사별_폐기물매핑!$C$2:$C$1000,MATCH(1,INDEX(($C$14=회사별_폐기물매핑!$A$2:$A$1000)*($E196=회사별_폐기물매핑!$B$2:$B$1000),0),0)),"")</f>
        <v/>
      </c>
    </row>
    <row r="197" spans="4:4">
      <c r="D197" t="str">
        <f>IFERROR(INDEX(회사별_폐기물매핑!$C$2:$C$1000,MATCH(1,INDEX(($C$14=회사별_폐기물매핑!$A$2:$A$1000)*($E197=회사별_폐기물매핑!$B$2:$B$1000),0),0)),"")</f>
        <v/>
      </c>
    </row>
    <row r="198" spans="4:4">
      <c r="D198" t="str">
        <f>IFERROR(INDEX(회사별_폐기물매핑!$C$2:$C$1000,MATCH(1,INDEX(($C$14=회사별_폐기물매핑!$A$2:$A$1000)*($E198=회사별_폐기물매핑!$B$2:$B$1000),0),0)),"")</f>
        <v/>
      </c>
    </row>
    <row r="199" spans="4:4">
      <c r="D199" t="str">
        <f>IFERROR(INDEX(회사별_폐기물매핑!$C$2:$C$1000,MATCH(1,INDEX(($C$14=회사별_폐기물매핑!$A$2:$A$1000)*($E199=회사별_폐기물매핑!$B$2:$B$1000),0),0)),"")</f>
        <v/>
      </c>
    </row>
    <row r="200" spans="4:4">
      <c r="D200" t="str">
        <f>IFERROR(INDEX(회사별_폐기물매핑!$C$2:$C$1000,MATCH(1,INDEX(($C$14=회사별_폐기물매핑!$A$2:$A$1000)*($E200=회사별_폐기물매핑!$B$2:$B$1000),0),0)),"")</f>
        <v/>
      </c>
    </row>
    <row r="201" spans="4:4">
      <c r="D201" t="str">
        <f>IFERROR(INDEX(회사별_폐기물매핑!$C$2:$C$1000,MATCH(1,INDEX(($C$14=회사별_폐기물매핑!$A$2:$A$1000)*($E201=회사별_폐기물매핑!$B$2:$B$1000),0),0)),"")</f>
        <v/>
      </c>
    </row>
    <row r="202" spans="4:4">
      <c r="D202" t="str">
        <f>IFERROR(INDEX(회사별_폐기물매핑!$C$2:$C$1000,MATCH(1,INDEX(($C$14=회사별_폐기물매핑!$A$2:$A$1000)*($E202=회사별_폐기물매핑!$B$2:$B$1000),0),0)),"")</f>
        <v/>
      </c>
    </row>
    <row r="203" spans="4:4">
      <c r="D203" t="str">
        <f>IFERROR(INDEX(회사별_폐기물매핑!$C$2:$C$1000,MATCH(1,INDEX(($C$14=회사별_폐기물매핑!$A$2:$A$1000)*($E203=회사별_폐기물매핑!$B$2:$B$1000),0),0)),"")</f>
        <v/>
      </c>
    </row>
    <row r="204" spans="4:4">
      <c r="D204" t="str">
        <f>IFERROR(INDEX(회사별_폐기물매핑!$C$2:$C$1000,MATCH(1,INDEX(($C$14=회사별_폐기물매핑!$A$2:$A$1000)*($E204=회사별_폐기물매핑!$B$2:$B$1000),0),0)),"")</f>
        <v/>
      </c>
    </row>
    <row r="205" spans="4:4">
      <c r="D205" t="str">
        <f>IFERROR(INDEX(회사별_폐기물매핑!$C$2:$C$1000,MATCH(1,INDEX(($C$14=회사별_폐기물매핑!$A$2:$A$1000)*($E205=회사별_폐기물매핑!$B$2:$B$1000),0),0)),"")</f>
        <v/>
      </c>
    </row>
    <row r="206" spans="4:4">
      <c r="D206" t="str">
        <f>IFERROR(INDEX(회사별_폐기물매핑!$C$2:$C$1000,MATCH(1,INDEX(($C$14=회사별_폐기물매핑!$A$2:$A$1000)*($E206=회사별_폐기물매핑!$B$2:$B$1000),0),0)),"")</f>
        <v/>
      </c>
    </row>
    <row r="207" spans="4:4">
      <c r="D207" t="str">
        <f>IFERROR(INDEX(회사별_폐기물매핑!$C$2:$C$1000,MATCH(1,INDEX(($C$14=회사별_폐기물매핑!$A$2:$A$1000)*($E207=회사별_폐기물매핑!$B$2:$B$1000),0),0)),"")</f>
        <v/>
      </c>
    </row>
    <row r="208" spans="4:4">
      <c r="D208" t="str">
        <f>IFERROR(INDEX(회사별_폐기물매핑!$C$2:$C$1000,MATCH(1,INDEX(($C$14=회사별_폐기물매핑!$A$2:$A$1000)*($E208=회사별_폐기물매핑!$B$2:$B$1000),0),0)),"")</f>
        <v/>
      </c>
    </row>
    <row r="209" spans="4:4">
      <c r="D209" t="str">
        <f>IFERROR(INDEX(회사별_폐기물매핑!$C$2:$C$1000,MATCH(1,INDEX(($C$14=회사별_폐기물매핑!$A$2:$A$1000)*($E209=회사별_폐기물매핑!$B$2:$B$1000),0),0)),"")</f>
        <v/>
      </c>
    </row>
    <row r="210" spans="4:4">
      <c r="D210" t="str">
        <f>IFERROR(INDEX(회사별_폐기물매핑!$C$2:$C$1000,MATCH(1,INDEX(($C$14=회사별_폐기물매핑!$A$2:$A$1000)*($E210=회사별_폐기물매핑!$B$2:$B$1000),0),0)),"")</f>
        <v/>
      </c>
    </row>
    <row r="211" spans="4:4">
      <c r="D211" t="str">
        <f>IFERROR(INDEX(회사별_폐기물매핑!$C$2:$C$1000,MATCH(1,INDEX(($C$14=회사별_폐기물매핑!$A$2:$A$1000)*($E211=회사별_폐기물매핑!$B$2:$B$1000),0),0)),"")</f>
        <v/>
      </c>
    </row>
    <row r="212" spans="4:4">
      <c r="D212" t="str">
        <f>IFERROR(INDEX(회사별_폐기물매핑!$C$2:$C$1000,MATCH(1,INDEX(($C$14=회사별_폐기물매핑!$A$2:$A$1000)*($E212=회사별_폐기물매핑!$B$2:$B$1000),0),0)),"")</f>
        <v/>
      </c>
    </row>
    <row r="213" spans="4:4">
      <c r="D213" t="str">
        <f>IFERROR(INDEX(회사별_폐기물매핑!$C$2:$C$1000,MATCH(1,INDEX(($C$14=회사별_폐기물매핑!$A$2:$A$1000)*($E213=회사별_폐기물매핑!$B$2:$B$1000),0),0)),"")</f>
        <v/>
      </c>
    </row>
    <row r="214" spans="4:4">
      <c r="D214" t="str">
        <f>IFERROR(INDEX(회사별_폐기물매핑!$C$2:$C$1000,MATCH(1,INDEX(($C$14=회사별_폐기물매핑!$A$2:$A$1000)*($E214=회사별_폐기물매핑!$B$2:$B$1000),0),0)),"")</f>
        <v/>
      </c>
    </row>
    <row r="215" spans="4:4">
      <c r="D215" t="str">
        <f>IFERROR(INDEX(회사별_폐기물매핑!$C$2:$C$1000,MATCH(1,INDEX(($C$14=회사별_폐기물매핑!$A$2:$A$1000)*($E215=회사별_폐기물매핑!$B$2:$B$1000),0),0)),"")</f>
        <v/>
      </c>
    </row>
    <row r="216" spans="4:4">
      <c r="D216" t="str">
        <f>IFERROR(INDEX(회사별_폐기물매핑!$C$2:$C$1000,MATCH(1,INDEX(($C$14=회사별_폐기물매핑!$A$2:$A$1000)*($E216=회사별_폐기물매핑!$B$2:$B$1000),0),0)),"")</f>
        <v/>
      </c>
    </row>
    <row r="217" spans="4:4">
      <c r="D217" t="str">
        <f>IFERROR(INDEX(회사별_폐기물매핑!$C$2:$C$1000,MATCH(1,INDEX(($C$14=회사별_폐기물매핑!$A$2:$A$1000)*($E217=회사별_폐기물매핑!$B$2:$B$1000),0),0)),"")</f>
        <v/>
      </c>
    </row>
    <row r="218" spans="4:4">
      <c r="D218" t="str">
        <f>IFERROR(INDEX(회사별_폐기물매핑!$C$2:$C$1000,MATCH(1,INDEX(($C$14=회사별_폐기물매핑!$A$2:$A$1000)*($E218=회사별_폐기물매핑!$B$2:$B$1000),0),0)),"")</f>
        <v/>
      </c>
    </row>
    <row r="219" spans="4:4">
      <c r="D219" t="str">
        <f>IFERROR(INDEX(회사별_폐기물매핑!$C$2:$C$1000,MATCH(1,INDEX(($C$14=회사별_폐기물매핑!$A$2:$A$1000)*($E219=회사별_폐기물매핑!$B$2:$B$1000),0),0)),"")</f>
        <v/>
      </c>
    </row>
  </sheetData>
  <mergeCells count="10">
    <mergeCell ref="V17:V18"/>
    <mergeCell ref="U17:U18"/>
    <mergeCell ref="W17:W18"/>
    <mergeCell ref="D17:D18"/>
    <mergeCell ref="I17:T17"/>
    <mergeCell ref="E17:E18"/>
    <mergeCell ref="G17:G18"/>
    <mergeCell ref="C17:C18"/>
    <mergeCell ref="F17:F18"/>
    <mergeCell ref="B17:B18"/>
  </mergeCells>
  <phoneticPr fontId="8" type="noConversion"/>
  <dataValidations count="3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19:D219" xr:uid="{00000000-0002-0000-0200-000000000000}">
      <formula1>DD_WASTE_C5_TYPE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0:F219" xr:uid="{00000000-0002-0000-0200-000001000000}">
      <formula1>DD_WASTE_UNIT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19:G219" xr:uid="{00000000-0002-0000-0200-000002000000}">
      <formula1>DD_WASTE_METHOD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8"/>
  <sheetViews>
    <sheetView workbookViewId="0">
      <pane ySplit="2" topLeftCell="A3" activePane="bottomLeft" state="frozen"/>
      <selection pane="bottomLeft" activeCell="A38" sqref="A38:E38"/>
    </sheetView>
  </sheetViews>
  <sheetFormatPr defaultRowHeight="14.25"/>
  <cols>
    <col min="1" max="11" width="24" customWidth="1"/>
    <col min="13" max="15" width="28" customWidth="1"/>
    <col min="16" max="16" width="52" customWidth="1"/>
  </cols>
  <sheetData>
    <row r="1" spans="1:16" ht="30" customHeight="1">
      <c r="A1" s="15" t="s">
        <v>115</v>
      </c>
      <c r="B1" s="15" t="s">
        <v>116</v>
      </c>
      <c r="C1" s="15" t="s">
        <v>117</v>
      </c>
      <c r="D1" s="15" t="s">
        <v>118</v>
      </c>
      <c r="E1" s="15" t="s">
        <v>119</v>
      </c>
      <c r="F1" s="15" t="s">
        <v>120</v>
      </c>
      <c r="G1" s="15" t="s">
        <v>121</v>
      </c>
      <c r="H1" s="15" t="s">
        <v>122</v>
      </c>
      <c r="I1" s="15" t="s">
        <v>123</v>
      </c>
      <c r="J1" s="15" t="s">
        <v>124</v>
      </c>
      <c r="K1" s="15" t="s">
        <v>125</v>
      </c>
      <c r="M1" s="40" t="s">
        <v>126</v>
      </c>
      <c r="N1" s="41"/>
      <c r="O1" s="41"/>
      <c r="P1" s="41"/>
    </row>
    <row r="2" spans="1:16" ht="30" customHeight="1">
      <c r="A2" s="17" t="s">
        <v>127</v>
      </c>
      <c r="B2" s="17" t="s">
        <v>128</v>
      </c>
      <c r="C2" s="17" t="s">
        <v>129</v>
      </c>
      <c r="D2" s="17" t="s">
        <v>130</v>
      </c>
      <c r="E2" s="17" t="s">
        <v>131</v>
      </c>
      <c r="F2" s="17" t="s">
        <v>132</v>
      </c>
      <c r="G2" s="17" t="s">
        <v>133</v>
      </c>
      <c r="H2" s="17" t="s">
        <v>134</v>
      </c>
      <c r="I2" s="17" t="s">
        <v>135</v>
      </c>
      <c r="J2" s="17" t="s">
        <v>136</v>
      </c>
      <c r="K2" s="17" t="s">
        <v>137</v>
      </c>
      <c r="M2" s="16" t="s">
        <v>138</v>
      </c>
      <c r="N2" s="16" t="s">
        <v>139</v>
      </c>
      <c r="O2" s="16" t="s">
        <v>140</v>
      </c>
      <c r="P2" s="16" t="s">
        <v>141</v>
      </c>
    </row>
    <row r="3" spans="1:16" ht="28.5" customHeight="1">
      <c r="A3" s="18" t="s">
        <v>142</v>
      </c>
      <c r="B3" s="18" t="s">
        <v>45</v>
      </c>
      <c r="C3" s="18" t="s">
        <v>44</v>
      </c>
      <c r="D3" s="18" t="s">
        <v>143</v>
      </c>
      <c r="E3" s="18" t="s">
        <v>144</v>
      </c>
      <c r="F3" s="18" t="s">
        <v>145</v>
      </c>
      <c r="G3" s="18" t="s">
        <v>146</v>
      </c>
      <c r="H3" s="18" t="s">
        <v>147</v>
      </c>
      <c r="I3" s="18" t="s">
        <v>103</v>
      </c>
      <c r="J3" s="18" t="s">
        <v>148</v>
      </c>
      <c r="K3" s="18" t="s">
        <v>148</v>
      </c>
      <c r="M3" s="18" t="s">
        <v>145</v>
      </c>
      <c r="N3" s="18" t="s">
        <v>149</v>
      </c>
      <c r="O3" s="18" t="s">
        <v>150</v>
      </c>
      <c r="P3" s="18" t="s">
        <v>151</v>
      </c>
    </row>
    <row r="4" spans="1:16">
      <c r="A4" s="18" t="s">
        <v>152</v>
      </c>
      <c r="B4" s="18" t="s">
        <v>153</v>
      </c>
      <c r="C4" s="18" t="s">
        <v>154</v>
      </c>
      <c r="D4" s="18" t="s">
        <v>155</v>
      </c>
      <c r="E4" s="18" t="s">
        <v>156</v>
      </c>
      <c r="F4" s="18" t="s">
        <v>105</v>
      </c>
      <c r="G4" s="18" t="s">
        <v>157</v>
      </c>
      <c r="H4" s="18" t="s">
        <v>158</v>
      </c>
      <c r="I4" s="18" t="s">
        <v>87</v>
      </c>
      <c r="J4" s="18" t="s">
        <v>86</v>
      </c>
      <c r="K4" s="18" t="s">
        <v>86</v>
      </c>
      <c r="M4" s="18" t="s">
        <v>105</v>
      </c>
      <c r="N4" s="18" t="s">
        <v>159</v>
      </c>
      <c r="O4" s="18" t="s">
        <v>160</v>
      </c>
      <c r="P4" s="18" t="s">
        <v>161</v>
      </c>
    </row>
    <row r="5" spans="1:16">
      <c r="A5" s="18" t="s">
        <v>162</v>
      </c>
      <c r="B5" s="18" t="s">
        <v>163</v>
      </c>
      <c r="C5" s="18" t="s">
        <v>52</v>
      </c>
      <c r="D5" s="18" t="s">
        <v>156</v>
      </c>
      <c r="E5" s="18" t="s">
        <v>164</v>
      </c>
      <c r="F5" s="18" t="s">
        <v>108</v>
      </c>
      <c r="G5" s="18" t="s">
        <v>165</v>
      </c>
      <c r="H5" s="18" t="s">
        <v>166</v>
      </c>
      <c r="I5" s="18" t="s">
        <v>92</v>
      </c>
      <c r="M5" s="18" t="s">
        <v>108</v>
      </c>
      <c r="N5" s="18" t="s">
        <v>167</v>
      </c>
      <c r="O5" s="18" t="s">
        <v>168</v>
      </c>
      <c r="P5" s="18" t="s">
        <v>169</v>
      </c>
    </row>
    <row r="6" spans="1:16" ht="28.5">
      <c r="A6" s="18" t="s">
        <v>170</v>
      </c>
      <c r="B6" s="18" t="s">
        <v>171</v>
      </c>
      <c r="C6" s="18" t="s">
        <v>148</v>
      </c>
      <c r="D6" s="18" t="s">
        <v>172</v>
      </c>
      <c r="E6" s="18" t="s">
        <v>173</v>
      </c>
      <c r="F6" s="18" t="s">
        <v>110</v>
      </c>
      <c r="G6" s="18" t="s">
        <v>174</v>
      </c>
      <c r="H6" s="18" t="s">
        <v>175</v>
      </c>
      <c r="I6" s="18" t="s">
        <v>89</v>
      </c>
      <c r="M6" s="18" t="s">
        <v>110</v>
      </c>
      <c r="N6" s="18" t="s">
        <v>176</v>
      </c>
      <c r="O6" s="18" t="s">
        <v>177</v>
      </c>
      <c r="P6" s="18" t="s">
        <v>178</v>
      </c>
    </row>
    <row r="7" spans="1:16">
      <c r="A7" s="18" t="s">
        <v>179</v>
      </c>
      <c r="B7" s="18" t="s">
        <v>62</v>
      </c>
      <c r="C7" s="18" t="s">
        <v>46</v>
      </c>
      <c r="D7" s="18" t="s">
        <v>180</v>
      </c>
      <c r="E7" s="18" t="s">
        <v>181</v>
      </c>
      <c r="F7" s="18" t="s">
        <v>104</v>
      </c>
      <c r="G7" s="18" t="s">
        <v>182</v>
      </c>
      <c r="H7" s="18" t="s">
        <v>183</v>
      </c>
      <c r="M7" s="18" t="s">
        <v>104</v>
      </c>
      <c r="N7" s="18" t="s">
        <v>184</v>
      </c>
      <c r="O7" s="18" t="s">
        <v>185</v>
      </c>
      <c r="P7" s="18" t="s">
        <v>186</v>
      </c>
    </row>
    <row r="8" spans="1:16" ht="28.5">
      <c r="A8" s="18" t="s">
        <v>187</v>
      </c>
      <c r="B8" s="18" t="s">
        <v>188</v>
      </c>
      <c r="D8" s="18" t="s">
        <v>189</v>
      </c>
      <c r="E8" s="18" t="s">
        <v>190</v>
      </c>
      <c r="F8" s="18" t="s">
        <v>107</v>
      </c>
      <c r="G8" s="18" t="s">
        <v>191</v>
      </c>
      <c r="H8" s="18" t="s">
        <v>192</v>
      </c>
      <c r="M8" s="18" t="s">
        <v>107</v>
      </c>
      <c r="N8" s="18" t="s">
        <v>193</v>
      </c>
      <c r="O8" s="18" t="s">
        <v>194</v>
      </c>
      <c r="P8" s="18" t="s">
        <v>195</v>
      </c>
    </row>
    <row r="9" spans="1:16">
      <c r="A9" s="18" t="s">
        <v>196</v>
      </c>
      <c r="B9" s="18" t="s">
        <v>54</v>
      </c>
      <c r="D9" s="18" t="s">
        <v>197</v>
      </c>
      <c r="E9" s="18" t="s">
        <v>198</v>
      </c>
      <c r="F9" s="18" t="s">
        <v>111</v>
      </c>
      <c r="G9" s="18"/>
      <c r="H9" s="18" t="s">
        <v>199</v>
      </c>
      <c r="M9" s="18" t="s">
        <v>111</v>
      </c>
      <c r="N9" s="18" t="s">
        <v>200</v>
      </c>
      <c r="O9" s="18" t="s">
        <v>201</v>
      </c>
      <c r="P9" s="18" t="s">
        <v>202</v>
      </c>
    </row>
    <row r="10" spans="1:16" ht="28.5" customHeight="1">
      <c r="A10" s="18" t="s">
        <v>203</v>
      </c>
      <c r="B10" s="18" t="s">
        <v>58</v>
      </c>
      <c r="E10" s="18" t="s">
        <v>204</v>
      </c>
      <c r="F10" s="18" t="s">
        <v>205</v>
      </c>
      <c r="G10" s="18"/>
      <c r="H10" s="18" t="s">
        <v>206</v>
      </c>
      <c r="M10" s="18" t="s">
        <v>205</v>
      </c>
      <c r="N10" s="18" t="s">
        <v>207</v>
      </c>
      <c r="O10" s="18" t="s">
        <v>208</v>
      </c>
      <c r="P10" s="18" t="s">
        <v>209</v>
      </c>
    </row>
    <row r="11" spans="1:16">
      <c r="A11" s="18" t="s">
        <v>210</v>
      </c>
      <c r="B11" s="18" t="s">
        <v>211</v>
      </c>
      <c r="E11" s="18" t="s">
        <v>212</v>
      </c>
      <c r="F11" s="18" t="s">
        <v>106</v>
      </c>
      <c r="G11" s="18"/>
      <c r="H11" s="18" t="s">
        <v>213</v>
      </c>
      <c r="M11" s="18" t="s">
        <v>106</v>
      </c>
      <c r="N11" s="18" t="s">
        <v>214</v>
      </c>
      <c r="O11" s="18" t="s">
        <v>215</v>
      </c>
      <c r="P11" s="18" t="s">
        <v>216</v>
      </c>
    </row>
    <row r="12" spans="1:16">
      <c r="A12" s="18" t="s">
        <v>217</v>
      </c>
      <c r="B12" s="18" t="s">
        <v>51</v>
      </c>
      <c r="E12" s="18" t="s">
        <v>218</v>
      </c>
      <c r="F12" s="18" t="s">
        <v>219</v>
      </c>
      <c r="G12" s="18"/>
      <c r="H12" s="18" t="s">
        <v>220</v>
      </c>
      <c r="M12" s="18" t="s">
        <v>219</v>
      </c>
      <c r="N12" s="18" t="s">
        <v>221</v>
      </c>
      <c r="O12" s="18" t="s">
        <v>222</v>
      </c>
      <c r="P12" s="18" t="s">
        <v>223</v>
      </c>
    </row>
    <row r="13" spans="1:16">
      <c r="A13" s="18" t="s">
        <v>224</v>
      </c>
      <c r="B13" s="18" t="s">
        <v>225</v>
      </c>
      <c r="E13" s="18" t="s">
        <v>226</v>
      </c>
      <c r="F13" s="18" t="s">
        <v>112</v>
      </c>
      <c r="G13" s="18"/>
      <c r="H13" s="18" t="s">
        <v>227</v>
      </c>
      <c r="M13" s="18" t="s">
        <v>112</v>
      </c>
      <c r="N13" s="18" t="s">
        <v>228</v>
      </c>
      <c r="O13" s="18" t="s">
        <v>229</v>
      </c>
      <c r="P13" s="18" t="s">
        <v>230</v>
      </c>
    </row>
    <row r="14" spans="1:16">
      <c r="A14" s="18" t="s">
        <v>231</v>
      </c>
      <c r="B14" s="18" t="s">
        <v>64</v>
      </c>
      <c r="E14" s="18" t="s">
        <v>232</v>
      </c>
      <c r="F14" s="18" t="s">
        <v>233</v>
      </c>
      <c r="G14" s="18"/>
      <c r="H14" s="18" t="s">
        <v>234</v>
      </c>
      <c r="M14" s="18" t="s">
        <v>233</v>
      </c>
      <c r="N14" s="18" t="s">
        <v>235</v>
      </c>
      <c r="O14" s="18" t="s">
        <v>236</v>
      </c>
      <c r="P14" s="18" t="s">
        <v>237</v>
      </c>
    </row>
    <row r="15" spans="1:16">
      <c r="A15" s="18" t="s">
        <v>238</v>
      </c>
      <c r="B15" s="18" t="s">
        <v>43</v>
      </c>
      <c r="E15" s="18" t="s">
        <v>239</v>
      </c>
      <c r="F15" s="18" t="s">
        <v>109</v>
      </c>
      <c r="G15" s="18"/>
      <c r="H15" s="18" t="s">
        <v>240</v>
      </c>
      <c r="M15" s="18" t="s">
        <v>109</v>
      </c>
      <c r="N15" s="18" t="s">
        <v>241</v>
      </c>
      <c r="O15" s="18" t="s">
        <v>242</v>
      </c>
      <c r="P15" s="18" t="s">
        <v>243</v>
      </c>
    </row>
    <row r="16" spans="1:16">
      <c r="A16" s="18" t="s">
        <v>244</v>
      </c>
      <c r="B16" s="18" t="s">
        <v>113</v>
      </c>
      <c r="E16" s="18" t="s">
        <v>245</v>
      </c>
      <c r="F16" s="18"/>
      <c r="G16" s="18"/>
      <c r="H16" s="18" t="s">
        <v>246</v>
      </c>
      <c r="M16" s="18"/>
      <c r="N16" s="18"/>
      <c r="O16" s="18"/>
      <c r="P16" s="18"/>
    </row>
    <row r="17" spans="1:16">
      <c r="A17" s="18" t="s">
        <v>247</v>
      </c>
      <c r="B17" s="18" t="s">
        <v>248</v>
      </c>
      <c r="E17" s="18" t="s">
        <v>249</v>
      </c>
      <c r="F17" s="18"/>
      <c r="H17" s="18" t="s">
        <v>89</v>
      </c>
      <c r="M17" s="18"/>
      <c r="N17" s="18"/>
      <c r="O17" s="18"/>
      <c r="P17" s="18"/>
    </row>
    <row r="18" spans="1:16">
      <c r="A18" s="18" t="s">
        <v>89</v>
      </c>
      <c r="E18" s="18" t="s">
        <v>250</v>
      </c>
      <c r="F18" s="18"/>
      <c r="H18" s="18" t="s">
        <v>251</v>
      </c>
      <c r="M18" s="18"/>
      <c r="N18" s="18"/>
      <c r="O18" s="18"/>
      <c r="P18" s="18"/>
    </row>
    <row r="19" spans="1:16" ht="28.5" customHeight="1">
      <c r="A19" s="18" t="s">
        <v>248</v>
      </c>
      <c r="E19" s="18" t="s">
        <v>252</v>
      </c>
      <c r="F19" s="18"/>
      <c r="M19" s="18"/>
      <c r="N19" s="18"/>
      <c r="O19" s="18"/>
      <c r="P19" s="18"/>
    </row>
    <row r="20" spans="1:16">
      <c r="E20" s="18"/>
      <c r="F20" s="18"/>
      <c r="M20" s="18"/>
      <c r="N20" s="18"/>
      <c r="O20" s="18"/>
      <c r="P20" s="18"/>
    </row>
    <row r="21" spans="1:16">
      <c r="E21" s="18"/>
      <c r="F21" s="18"/>
      <c r="M21" s="18"/>
      <c r="N21" s="18"/>
      <c r="O21" s="18"/>
      <c r="P21" s="18"/>
    </row>
    <row r="22" spans="1:16">
      <c r="E22" s="18"/>
      <c r="F22" s="18"/>
      <c r="M22" s="18"/>
      <c r="N22" s="18"/>
      <c r="O22" s="18"/>
      <c r="P22" s="18"/>
    </row>
    <row r="23" spans="1:16">
      <c r="E23" s="18"/>
      <c r="F23" s="18"/>
      <c r="M23" s="18"/>
      <c r="N23" s="18"/>
      <c r="O23" s="18"/>
      <c r="P23" s="18"/>
    </row>
    <row r="24" spans="1:16">
      <c r="E24" s="18"/>
      <c r="F24" s="18"/>
      <c r="M24" s="18"/>
      <c r="N24" s="18"/>
      <c r="O24" s="18"/>
      <c r="P24" s="18"/>
    </row>
    <row r="25" spans="1:16">
      <c r="E25" s="18"/>
      <c r="F25" s="18"/>
      <c r="M25" s="18"/>
      <c r="N25" s="18"/>
      <c r="O25" s="18"/>
      <c r="P25" s="18"/>
    </row>
    <row r="26" spans="1:16">
      <c r="E26" s="18"/>
      <c r="F26" s="18"/>
      <c r="M26" s="18"/>
      <c r="N26" s="18"/>
      <c r="O26" s="18"/>
      <c r="P26" s="18"/>
    </row>
    <row r="27" spans="1:16">
      <c r="E27" s="18"/>
      <c r="F27" s="18"/>
      <c r="M27" s="18"/>
      <c r="N27" s="18"/>
      <c r="O27" s="18"/>
      <c r="P27" s="18"/>
    </row>
    <row r="28" spans="1:16">
      <c r="E28" s="18"/>
      <c r="F28" s="18"/>
      <c r="M28" s="18"/>
      <c r="N28" s="18"/>
      <c r="O28" s="18"/>
      <c r="P28" s="18"/>
    </row>
    <row r="29" spans="1:16">
      <c r="E29" s="18"/>
      <c r="F29" s="18"/>
      <c r="M29" s="18"/>
      <c r="N29" s="18"/>
      <c r="O29" s="18"/>
      <c r="P29" s="18"/>
    </row>
    <row r="30" spans="1:16">
      <c r="F30" s="18"/>
      <c r="M30" s="18"/>
      <c r="N30" s="18"/>
      <c r="O30" s="18"/>
      <c r="P30" s="18"/>
    </row>
    <row r="31" spans="1:16">
      <c r="F31" s="18"/>
      <c r="M31" s="18"/>
      <c r="N31" s="18"/>
      <c r="O31" s="18"/>
      <c r="P31" s="18"/>
    </row>
    <row r="32" spans="1:16">
      <c r="F32" s="18"/>
      <c r="M32" s="18"/>
      <c r="N32" s="18"/>
      <c r="O32" s="18"/>
      <c r="P32" s="18"/>
    </row>
    <row r="33" spans="1:16">
      <c r="F33" s="18"/>
      <c r="M33" s="18"/>
      <c r="N33" s="18"/>
      <c r="O33" s="18"/>
      <c r="P33" s="18"/>
    </row>
    <row r="34" spans="1:16">
      <c r="F34" s="18"/>
      <c r="M34" s="18"/>
      <c r="N34" s="18"/>
      <c r="O34" s="18"/>
      <c r="P34" s="18"/>
    </row>
    <row r="35" spans="1:16">
      <c r="F35" s="18"/>
      <c r="M35" s="18"/>
      <c r="N35" s="18"/>
      <c r="O35" s="18"/>
      <c r="P35" s="18"/>
    </row>
    <row r="38" spans="1:16">
      <c r="A38" s="42" t="s">
        <v>253</v>
      </c>
      <c r="B38" s="41"/>
      <c r="C38" s="41"/>
      <c r="D38" s="41"/>
      <c r="E38" s="41"/>
    </row>
  </sheetData>
  <mergeCells count="2">
    <mergeCell ref="M1:P1"/>
    <mergeCell ref="A38:E38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4"/>
  <sheetViews>
    <sheetView workbookViewId="0">
      <pane ySplit="1" topLeftCell="A2" activePane="bottomLeft" state="frozen"/>
      <selection pane="bottomLeft" activeCell="E8" sqref="E8"/>
    </sheetView>
  </sheetViews>
  <sheetFormatPr defaultRowHeight="14.25"/>
  <cols>
    <col min="1" max="1" width="18" customWidth="1"/>
    <col min="2" max="2" width="28" customWidth="1"/>
    <col min="3" max="4" width="32" customWidth="1"/>
    <col min="5" max="5" width="52" customWidth="1"/>
  </cols>
  <sheetData>
    <row r="1" spans="1:5" ht="15" customHeight="1">
      <c r="A1" s="19" t="s">
        <v>254</v>
      </c>
      <c r="B1" s="19" t="s">
        <v>255</v>
      </c>
      <c r="C1" s="19" t="s">
        <v>256</v>
      </c>
      <c r="D1" s="19" t="s">
        <v>257</v>
      </c>
      <c r="E1" s="19" t="s">
        <v>258</v>
      </c>
    </row>
    <row r="2" spans="1:5">
      <c r="A2" s="18" t="s">
        <v>259</v>
      </c>
      <c r="B2" s="18" t="s">
        <v>260</v>
      </c>
      <c r="C2" s="18" t="s">
        <v>261</v>
      </c>
      <c r="D2" s="18" t="s">
        <v>262</v>
      </c>
      <c r="E2" s="18" t="s">
        <v>263</v>
      </c>
    </row>
    <row r="3" spans="1:5" ht="28.5" customHeight="1">
      <c r="A3" s="18" t="s">
        <v>264</v>
      </c>
      <c r="B3" s="18" t="s">
        <v>128</v>
      </c>
      <c r="C3" s="18" t="s">
        <v>265</v>
      </c>
      <c r="D3" s="18" t="s">
        <v>266</v>
      </c>
      <c r="E3" s="18" t="s">
        <v>267</v>
      </c>
    </row>
    <row r="4" spans="1:5">
      <c r="A4" s="18" t="s">
        <v>268</v>
      </c>
      <c r="B4" s="18" t="s">
        <v>269</v>
      </c>
      <c r="C4" s="18" t="s">
        <v>270</v>
      </c>
      <c r="D4" s="18" t="s">
        <v>271</v>
      </c>
      <c r="E4" s="18" t="s">
        <v>272</v>
      </c>
    </row>
    <row r="5" spans="1:5">
      <c r="A5" s="18" t="s">
        <v>273</v>
      </c>
      <c r="B5" s="18" t="s">
        <v>274</v>
      </c>
      <c r="C5" s="18" t="s">
        <v>275</v>
      </c>
      <c r="D5" s="18" t="s">
        <v>276</v>
      </c>
      <c r="E5" s="18" t="s">
        <v>277</v>
      </c>
    </row>
    <row r="6" spans="1:5" ht="42.75">
      <c r="A6" s="18" t="s">
        <v>278</v>
      </c>
      <c r="B6" s="18" t="s">
        <v>279</v>
      </c>
      <c r="C6" s="18" t="s">
        <v>275</v>
      </c>
      <c r="D6" s="18" t="s">
        <v>280</v>
      </c>
      <c r="E6" s="18" t="s">
        <v>281</v>
      </c>
    </row>
    <row r="7" spans="1:5" ht="85.5">
      <c r="A7" s="18" t="s">
        <v>282</v>
      </c>
      <c r="B7" s="18" t="s">
        <v>283</v>
      </c>
      <c r="C7" s="18" t="s">
        <v>284</v>
      </c>
      <c r="D7" s="18" t="s">
        <v>285</v>
      </c>
      <c r="E7" s="18" t="s">
        <v>286</v>
      </c>
    </row>
    <row r="8" spans="1:5" ht="57">
      <c r="A8" s="18" t="s">
        <v>287</v>
      </c>
      <c r="B8" s="18" t="s">
        <v>288</v>
      </c>
      <c r="C8" s="18" t="s">
        <v>289</v>
      </c>
      <c r="D8" s="18" t="s">
        <v>290</v>
      </c>
      <c r="E8" s="18" t="s">
        <v>291</v>
      </c>
    </row>
    <row r="9" spans="1:5">
      <c r="A9" s="18" t="s">
        <v>292</v>
      </c>
      <c r="B9" s="18" t="s">
        <v>293</v>
      </c>
      <c r="C9" s="18" t="s">
        <v>294</v>
      </c>
      <c r="D9" s="18" t="s">
        <v>295</v>
      </c>
      <c r="E9" s="18" t="s">
        <v>296</v>
      </c>
    </row>
    <row r="10" spans="1:5">
      <c r="A10" s="18" t="s">
        <v>297</v>
      </c>
      <c r="B10" s="18" t="s">
        <v>298</v>
      </c>
      <c r="C10" s="18" t="s">
        <v>299</v>
      </c>
      <c r="D10" s="18" t="s">
        <v>300</v>
      </c>
      <c r="E10" s="18" t="s">
        <v>301</v>
      </c>
    </row>
    <row r="11" spans="1:5" ht="42.75">
      <c r="A11" s="33" t="s">
        <v>302</v>
      </c>
      <c r="B11" s="33" t="s">
        <v>303</v>
      </c>
      <c r="C11" s="33" t="s">
        <v>304</v>
      </c>
      <c r="D11" s="33" t="s">
        <v>305</v>
      </c>
      <c r="E11" s="33" t="s">
        <v>306</v>
      </c>
    </row>
    <row r="12" spans="1:5" ht="42.75">
      <c r="A12" s="33" t="s">
        <v>307</v>
      </c>
      <c r="B12" s="33" t="s">
        <v>308</v>
      </c>
      <c r="C12" s="33" t="s">
        <v>309</v>
      </c>
      <c r="D12" s="33" t="s">
        <v>310</v>
      </c>
      <c r="E12" s="33" t="s">
        <v>311</v>
      </c>
    </row>
    <row r="13" spans="1:5" ht="16.5" customHeight="1">
      <c r="A13" s="20" t="s">
        <v>312</v>
      </c>
    </row>
    <row r="14" spans="1:5" ht="15" customHeight="1">
      <c r="A14" s="21" t="s">
        <v>313</v>
      </c>
      <c r="B14" s="21" t="s">
        <v>314</v>
      </c>
      <c r="C14" s="21" t="s">
        <v>315</v>
      </c>
      <c r="D14" s="21"/>
      <c r="E14" s="21"/>
    </row>
    <row r="15" spans="1:5">
      <c r="A15" s="18" t="s">
        <v>316</v>
      </c>
      <c r="B15" s="18" t="s">
        <v>317</v>
      </c>
      <c r="C15" s="18" t="s">
        <v>142</v>
      </c>
    </row>
    <row r="16" spans="1:5">
      <c r="A16" s="18" t="s">
        <v>316</v>
      </c>
      <c r="B16" s="18" t="s">
        <v>318</v>
      </c>
      <c r="C16" s="18" t="s">
        <v>142</v>
      </c>
    </row>
    <row r="17" spans="1:3">
      <c r="A17" s="18" t="s">
        <v>316</v>
      </c>
      <c r="B17" s="18" t="s">
        <v>319</v>
      </c>
      <c r="C17" s="18" t="s">
        <v>162</v>
      </c>
    </row>
    <row r="18" spans="1:3">
      <c r="A18" s="18" t="s">
        <v>316</v>
      </c>
      <c r="B18" s="18" t="s">
        <v>320</v>
      </c>
      <c r="C18" s="18" t="s">
        <v>179</v>
      </c>
    </row>
    <row r="19" spans="1:3">
      <c r="A19" s="18" t="s">
        <v>316</v>
      </c>
      <c r="B19" s="18" t="s">
        <v>321</v>
      </c>
      <c r="C19" s="18" t="s">
        <v>162</v>
      </c>
    </row>
    <row r="20" spans="1:3">
      <c r="A20" s="18" t="s">
        <v>316</v>
      </c>
      <c r="B20" s="18" t="s">
        <v>322</v>
      </c>
      <c r="C20" s="18" t="s">
        <v>142</v>
      </c>
    </row>
    <row r="21" spans="1:3">
      <c r="A21" s="18" t="s">
        <v>316</v>
      </c>
      <c r="B21" s="18" t="s">
        <v>323</v>
      </c>
      <c r="C21" s="18" t="s">
        <v>142</v>
      </c>
    </row>
    <row r="22" spans="1:3">
      <c r="A22" s="18" t="s">
        <v>316</v>
      </c>
      <c r="B22" s="18" t="s">
        <v>324</v>
      </c>
      <c r="C22" s="18" t="s">
        <v>142</v>
      </c>
    </row>
    <row r="23" spans="1:3">
      <c r="A23" s="18" t="s">
        <v>316</v>
      </c>
      <c r="B23" s="18" t="s">
        <v>325</v>
      </c>
      <c r="C23" s="18" t="s">
        <v>142</v>
      </c>
    </row>
    <row r="24" spans="1:3">
      <c r="A24" s="18" t="s">
        <v>316</v>
      </c>
      <c r="B24" s="18" t="s">
        <v>326</v>
      </c>
      <c r="C24" s="18" t="s">
        <v>170</v>
      </c>
    </row>
    <row r="25" spans="1:3">
      <c r="A25" s="18" t="s">
        <v>316</v>
      </c>
      <c r="B25" s="18" t="s">
        <v>327</v>
      </c>
      <c r="C25" s="18" t="s">
        <v>203</v>
      </c>
    </row>
    <row r="26" spans="1:3">
      <c r="A26" s="18" t="s">
        <v>316</v>
      </c>
      <c r="B26" s="18" t="s">
        <v>328</v>
      </c>
      <c r="C26" s="18" t="s">
        <v>203</v>
      </c>
    </row>
    <row r="27" spans="1:3">
      <c r="A27" s="18" t="s">
        <v>316</v>
      </c>
      <c r="B27" s="18" t="s">
        <v>329</v>
      </c>
      <c r="C27" s="18" t="s">
        <v>196</v>
      </c>
    </row>
    <row r="28" spans="1:3">
      <c r="A28" s="18" t="s">
        <v>316</v>
      </c>
      <c r="B28" s="18" t="s">
        <v>330</v>
      </c>
      <c r="C28" s="18" t="s">
        <v>203</v>
      </c>
    </row>
    <row r="29" spans="1:3">
      <c r="A29" s="18" t="s">
        <v>316</v>
      </c>
      <c r="B29" s="18" t="s">
        <v>152</v>
      </c>
      <c r="C29" s="18" t="s">
        <v>152</v>
      </c>
    </row>
    <row r="30" spans="1:3">
      <c r="A30" s="18" t="s">
        <v>316</v>
      </c>
      <c r="B30" s="18" t="s">
        <v>162</v>
      </c>
      <c r="C30" s="18" t="s">
        <v>162</v>
      </c>
    </row>
    <row r="31" spans="1:3">
      <c r="A31" s="18" t="s">
        <v>316</v>
      </c>
      <c r="B31" s="18" t="s">
        <v>248</v>
      </c>
      <c r="C31" s="18" t="s">
        <v>248</v>
      </c>
    </row>
    <row r="32" spans="1:3">
      <c r="A32" s="18" t="s">
        <v>331</v>
      </c>
      <c r="B32" s="18" t="s">
        <v>332</v>
      </c>
      <c r="C32" s="18" t="s">
        <v>238</v>
      </c>
    </row>
    <row r="33" spans="1:3">
      <c r="A33" s="18" t="s">
        <v>331</v>
      </c>
      <c r="B33" s="18" t="s">
        <v>333</v>
      </c>
      <c r="C33" s="18" t="s">
        <v>224</v>
      </c>
    </row>
    <row r="34" spans="1:3">
      <c r="A34" s="18" t="s">
        <v>331</v>
      </c>
      <c r="B34" s="18" t="s">
        <v>224</v>
      </c>
      <c r="C34" s="18" t="s">
        <v>224</v>
      </c>
    </row>
    <row r="35" spans="1:3">
      <c r="A35" s="18" t="s">
        <v>331</v>
      </c>
      <c r="B35" s="18" t="s">
        <v>334</v>
      </c>
      <c r="C35" s="18" t="s">
        <v>196</v>
      </c>
    </row>
    <row r="36" spans="1:3">
      <c r="A36" s="18" t="s">
        <v>331</v>
      </c>
      <c r="B36" s="18" t="s">
        <v>335</v>
      </c>
      <c r="C36" s="18" t="s">
        <v>196</v>
      </c>
    </row>
    <row r="37" spans="1:3">
      <c r="A37" s="18" t="s">
        <v>331</v>
      </c>
      <c r="B37" s="18" t="s">
        <v>336</v>
      </c>
      <c r="C37" s="18" t="s">
        <v>217</v>
      </c>
    </row>
    <row r="38" spans="1:3">
      <c r="A38" s="18" t="s">
        <v>331</v>
      </c>
      <c r="B38" s="18" t="s">
        <v>337</v>
      </c>
      <c r="C38" s="18" t="s">
        <v>224</v>
      </c>
    </row>
    <row r="39" spans="1:3">
      <c r="A39" s="18" t="s">
        <v>331</v>
      </c>
      <c r="B39" s="18" t="s">
        <v>338</v>
      </c>
      <c r="C39" s="18" t="s">
        <v>224</v>
      </c>
    </row>
    <row r="40" spans="1:3">
      <c r="A40" s="18" t="s">
        <v>331</v>
      </c>
      <c r="B40" s="18" t="s">
        <v>339</v>
      </c>
      <c r="C40" s="18" t="s">
        <v>187</v>
      </c>
    </row>
    <row r="41" spans="1:3">
      <c r="A41" s="18" t="s">
        <v>331</v>
      </c>
      <c r="B41" s="18" t="s">
        <v>179</v>
      </c>
      <c r="C41" s="18" t="s">
        <v>179</v>
      </c>
    </row>
    <row r="42" spans="1:3">
      <c r="A42" s="18" t="s">
        <v>331</v>
      </c>
      <c r="B42" s="18" t="s">
        <v>340</v>
      </c>
      <c r="C42" s="18" t="s">
        <v>179</v>
      </c>
    </row>
    <row r="43" spans="1:3">
      <c r="A43" s="18" t="s">
        <v>331</v>
      </c>
      <c r="B43" s="18" t="s">
        <v>341</v>
      </c>
      <c r="C43" s="18" t="s">
        <v>224</v>
      </c>
    </row>
    <row r="44" spans="1:3">
      <c r="A44" s="18" t="s">
        <v>331</v>
      </c>
      <c r="B44" s="18" t="s">
        <v>342</v>
      </c>
      <c r="C44" s="18" t="s">
        <v>217</v>
      </c>
    </row>
    <row r="45" spans="1:3">
      <c r="A45" s="18" t="s">
        <v>331</v>
      </c>
      <c r="B45" s="18" t="s">
        <v>343</v>
      </c>
      <c r="C45" s="18" t="s">
        <v>179</v>
      </c>
    </row>
    <row r="46" spans="1:3">
      <c r="A46" s="18" t="s">
        <v>331</v>
      </c>
      <c r="B46" s="18" t="s">
        <v>248</v>
      </c>
      <c r="C46" s="18" t="s">
        <v>248</v>
      </c>
    </row>
    <row r="47" spans="1:3">
      <c r="A47" s="18" t="s">
        <v>344</v>
      </c>
      <c r="B47" s="18" t="s">
        <v>345</v>
      </c>
      <c r="C47" s="18" t="s">
        <v>43</v>
      </c>
    </row>
    <row r="48" spans="1:3">
      <c r="A48" s="18" t="s">
        <v>344</v>
      </c>
      <c r="B48" s="18" t="s">
        <v>43</v>
      </c>
      <c r="C48" s="18" t="s">
        <v>43</v>
      </c>
    </row>
    <row r="49" spans="1:3">
      <c r="A49" s="18" t="s">
        <v>344</v>
      </c>
      <c r="B49" s="18" t="s">
        <v>346</v>
      </c>
      <c r="C49" s="18" t="s">
        <v>113</v>
      </c>
    </row>
    <row r="50" spans="1:3">
      <c r="A50" s="18" t="s">
        <v>344</v>
      </c>
      <c r="B50" s="18" t="s">
        <v>347</v>
      </c>
      <c r="C50" s="18" t="s">
        <v>113</v>
      </c>
    </row>
    <row r="51" spans="1:3">
      <c r="A51" s="18" t="s">
        <v>344</v>
      </c>
      <c r="B51" s="18" t="s">
        <v>113</v>
      </c>
      <c r="C51" s="18" t="s">
        <v>113</v>
      </c>
    </row>
    <row r="52" spans="1:3">
      <c r="A52" s="18" t="s">
        <v>344</v>
      </c>
      <c r="B52" s="18" t="s">
        <v>348</v>
      </c>
      <c r="C52" s="18" t="s">
        <v>45</v>
      </c>
    </row>
    <row r="53" spans="1:3">
      <c r="A53" s="18" t="s">
        <v>344</v>
      </c>
      <c r="B53" s="18" t="s">
        <v>45</v>
      </c>
      <c r="C53" s="18" t="s">
        <v>45</v>
      </c>
    </row>
    <row r="54" spans="1:3">
      <c r="A54" s="18" t="s">
        <v>344</v>
      </c>
      <c r="B54" s="18" t="s">
        <v>349</v>
      </c>
      <c r="C54" s="18" t="s">
        <v>153</v>
      </c>
    </row>
    <row r="55" spans="1:3">
      <c r="A55" s="18" t="s">
        <v>344</v>
      </c>
      <c r="B55" s="18" t="s">
        <v>153</v>
      </c>
      <c r="C55" s="18" t="s">
        <v>153</v>
      </c>
    </row>
    <row r="56" spans="1:3">
      <c r="A56" s="18" t="s">
        <v>344</v>
      </c>
      <c r="B56" s="18" t="s">
        <v>350</v>
      </c>
      <c r="C56" s="18" t="s">
        <v>153</v>
      </c>
    </row>
    <row r="57" spans="1:3">
      <c r="A57" s="18" t="s">
        <v>344</v>
      </c>
      <c r="B57" s="18" t="s">
        <v>351</v>
      </c>
      <c r="C57" s="18" t="s">
        <v>163</v>
      </c>
    </row>
    <row r="58" spans="1:3">
      <c r="A58" s="18" t="s">
        <v>344</v>
      </c>
      <c r="B58" s="18" t="s">
        <v>352</v>
      </c>
      <c r="C58" s="18" t="s">
        <v>54</v>
      </c>
    </row>
    <row r="59" spans="1:3">
      <c r="A59" s="18" t="s">
        <v>344</v>
      </c>
      <c r="B59" s="18" t="s">
        <v>353</v>
      </c>
      <c r="C59" s="18" t="s">
        <v>54</v>
      </c>
    </row>
    <row r="60" spans="1:3">
      <c r="A60" s="18" t="s">
        <v>344</v>
      </c>
      <c r="B60" s="18" t="s">
        <v>54</v>
      </c>
      <c r="C60" s="18" t="s">
        <v>54</v>
      </c>
    </row>
    <row r="61" spans="1:3">
      <c r="A61" s="18" t="s">
        <v>344</v>
      </c>
      <c r="B61" s="18" t="s">
        <v>58</v>
      </c>
      <c r="C61" s="18" t="s">
        <v>58</v>
      </c>
    </row>
    <row r="62" spans="1:3">
      <c r="A62" s="18" t="s">
        <v>344</v>
      </c>
      <c r="B62" s="18" t="s">
        <v>64</v>
      </c>
      <c r="C62" s="18" t="s">
        <v>64</v>
      </c>
    </row>
    <row r="63" spans="1:3">
      <c r="A63" s="18" t="s">
        <v>344</v>
      </c>
      <c r="B63" s="18" t="s">
        <v>354</v>
      </c>
      <c r="C63" s="18" t="s">
        <v>51</v>
      </c>
    </row>
    <row r="64" spans="1:3">
      <c r="A64" s="18" t="s">
        <v>344</v>
      </c>
      <c r="B64" s="18" t="s">
        <v>211</v>
      </c>
      <c r="C64" s="18" t="s">
        <v>211</v>
      </c>
    </row>
    <row r="65" spans="1:3">
      <c r="A65" s="18" t="s">
        <v>344</v>
      </c>
      <c r="B65" s="18" t="s">
        <v>51</v>
      </c>
      <c r="C65" s="18" t="s">
        <v>51</v>
      </c>
    </row>
    <row r="66" spans="1:3">
      <c r="A66" s="18" t="s">
        <v>344</v>
      </c>
      <c r="B66" s="18" t="s">
        <v>225</v>
      </c>
      <c r="C66" s="18" t="s">
        <v>225</v>
      </c>
    </row>
    <row r="67" spans="1:3">
      <c r="A67" s="18" t="s">
        <v>344</v>
      </c>
      <c r="B67" s="18" t="s">
        <v>248</v>
      </c>
      <c r="C67" s="18" t="s">
        <v>248</v>
      </c>
    </row>
    <row r="68" spans="1:3">
      <c r="A68" s="18" t="s">
        <v>355</v>
      </c>
      <c r="B68" s="18" t="s">
        <v>356</v>
      </c>
      <c r="C68" s="18" t="s">
        <v>143</v>
      </c>
    </row>
    <row r="69" spans="1:3">
      <c r="A69" s="18" t="s">
        <v>355</v>
      </c>
      <c r="B69" s="18" t="s">
        <v>357</v>
      </c>
      <c r="C69" s="18" t="s">
        <v>155</v>
      </c>
    </row>
    <row r="70" spans="1:3">
      <c r="A70" s="18" t="s">
        <v>355</v>
      </c>
      <c r="B70" s="18" t="s">
        <v>358</v>
      </c>
      <c r="C70" s="18" t="s">
        <v>155</v>
      </c>
    </row>
    <row r="71" spans="1:3">
      <c r="A71" s="18" t="s">
        <v>355</v>
      </c>
      <c r="B71" s="18" t="s">
        <v>359</v>
      </c>
      <c r="C71" s="18" t="s">
        <v>156</v>
      </c>
    </row>
    <row r="72" spans="1:3">
      <c r="A72" s="18" t="s">
        <v>355</v>
      </c>
      <c r="B72" s="18" t="s">
        <v>360</v>
      </c>
      <c r="C72" s="18" t="s">
        <v>172</v>
      </c>
    </row>
    <row r="73" spans="1:3">
      <c r="A73" s="18" t="s">
        <v>355</v>
      </c>
      <c r="B73" s="18" t="s">
        <v>361</v>
      </c>
      <c r="C73" s="18" t="s">
        <v>180</v>
      </c>
    </row>
    <row r="74" spans="1:3">
      <c r="A74" s="18" t="s">
        <v>355</v>
      </c>
      <c r="B74" s="18" t="s">
        <v>362</v>
      </c>
      <c r="C74" s="18" t="s">
        <v>189</v>
      </c>
    </row>
    <row r="75" spans="1:3">
      <c r="A75" s="18" t="s">
        <v>355</v>
      </c>
      <c r="B75" s="18" t="s">
        <v>363</v>
      </c>
      <c r="C75" s="18" t="s">
        <v>197</v>
      </c>
    </row>
    <row r="76" spans="1:3">
      <c r="A76" s="18" t="s">
        <v>364</v>
      </c>
      <c r="B76" s="18" t="s">
        <v>356</v>
      </c>
      <c r="C76" s="18" t="s">
        <v>181</v>
      </c>
    </row>
    <row r="77" spans="1:3">
      <c r="A77" s="18" t="s">
        <v>364</v>
      </c>
      <c r="B77" s="18" t="s">
        <v>365</v>
      </c>
      <c r="C77" s="18" t="s">
        <v>181</v>
      </c>
    </row>
    <row r="78" spans="1:3">
      <c r="A78" s="18" t="s">
        <v>364</v>
      </c>
      <c r="B78" s="18" t="s">
        <v>357</v>
      </c>
      <c r="C78" s="18" t="s">
        <v>250</v>
      </c>
    </row>
    <row r="79" spans="1:3">
      <c r="A79" s="18" t="s">
        <v>364</v>
      </c>
      <c r="B79" s="18" t="s">
        <v>358</v>
      </c>
      <c r="C79" s="18" t="s">
        <v>250</v>
      </c>
    </row>
    <row r="80" spans="1:3">
      <c r="A80" s="18" t="s">
        <v>364</v>
      </c>
      <c r="B80" s="18" t="s">
        <v>359</v>
      </c>
      <c r="C80" s="18" t="s">
        <v>156</v>
      </c>
    </row>
    <row r="81" spans="1:3">
      <c r="A81" s="18" t="s">
        <v>364</v>
      </c>
      <c r="B81" s="18" t="s">
        <v>360</v>
      </c>
      <c r="C81" s="18" t="s">
        <v>164</v>
      </c>
    </row>
    <row r="82" spans="1:3">
      <c r="A82" s="18" t="s">
        <v>364</v>
      </c>
      <c r="B82" s="18" t="s">
        <v>362</v>
      </c>
      <c r="C82" s="18" t="s">
        <v>144</v>
      </c>
    </row>
    <row r="83" spans="1:3" ht="28.5">
      <c r="A83" s="18" t="s">
        <v>364</v>
      </c>
      <c r="B83" s="18" t="s">
        <v>366</v>
      </c>
      <c r="C83" s="18" t="s">
        <v>367</v>
      </c>
    </row>
    <row r="84" spans="1:3" ht="28.5">
      <c r="A84" s="18" t="s">
        <v>364</v>
      </c>
      <c r="B84" s="18" t="s">
        <v>368</v>
      </c>
      <c r="C84" s="18" t="s">
        <v>367</v>
      </c>
    </row>
    <row r="85" spans="1:3">
      <c r="A85" s="18" t="s">
        <v>364</v>
      </c>
      <c r="B85" s="18" t="s">
        <v>369</v>
      </c>
      <c r="C85" s="18" t="s">
        <v>218</v>
      </c>
    </row>
    <row r="86" spans="1:3">
      <c r="A86" s="18" t="s">
        <v>364</v>
      </c>
      <c r="B86" s="18" t="s">
        <v>205</v>
      </c>
      <c r="C86" s="18" t="s">
        <v>239</v>
      </c>
    </row>
    <row r="87" spans="1:3">
      <c r="A87" s="18" t="s">
        <v>364</v>
      </c>
      <c r="B87" s="18" t="s">
        <v>89</v>
      </c>
      <c r="C87" s="18" t="s">
        <v>226</v>
      </c>
    </row>
    <row r="88" spans="1:3">
      <c r="A88" s="18" t="s">
        <v>370</v>
      </c>
      <c r="B88" s="18" t="s">
        <v>371</v>
      </c>
      <c r="C88" s="18" t="s">
        <v>106</v>
      </c>
    </row>
    <row r="89" spans="1:3">
      <c r="A89" s="18" t="s">
        <v>370</v>
      </c>
      <c r="B89" s="18" t="s">
        <v>372</v>
      </c>
      <c r="C89" s="18" t="s">
        <v>106</v>
      </c>
    </row>
    <row r="90" spans="1:3">
      <c r="A90" s="18" t="s">
        <v>370</v>
      </c>
      <c r="B90" s="18" t="s">
        <v>373</v>
      </c>
      <c r="C90" s="18" t="s">
        <v>106</v>
      </c>
    </row>
    <row r="91" spans="1:3">
      <c r="A91" s="18" t="s">
        <v>370</v>
      </c>
      <c r="B91" s="18" t="s">
        <v>112</v>
      </c>
      <c r="C91" s="18" t="s">
        <v>112</v>
      </c>
    </row>
    <row r="92" spans="1:3">
      <c r="A92" s="18" t="s">
        <v>370</v>
      </c>
      <c r="B92" s="18" t="s">
        <v>110</v>
      </c>
      <c r="C92" s="18" t="s">
        <v>110</v>
      </c>
    </row>
    <row r="93" spans="1:3">
      <c r="A93" s="18" t="s">
        <v>370</v>
      </c>
      <c r="B93" s="18" t="s">
        <v>374</v>
      </c>
      <c r="C93" s="18" t="s">
        <v>110</v>
      </c>
    </row>
    <row r="94" spans="1:3">
      <c r="A94" s="18" t="s">
        <v>370</v>
      </c>
      <c r="B94" s="18" t="s">
        <v>375</v>
      </c>
      <c r="C94" s="18" t="s">
        <v>111</v>
      </c>
    </row>
    <row r="95" spans="1:3">
      <c r="A95" s="18" t="s">
        <v>370</v>
      </c>
      <c r="B95" s="18" t="s">
        <v>376</v>
      </c>
      <c r="C95" s="18" t="s">
        <v>107</v>
      </c>
    </row>
    <row r="96" spans="1:3">
      <c r="A96" s="18" t="s">
        <v>370</v>
      </c>
      <c r="B96" s="18" t="s">
        <v>377</v>
      </c>
      <c r="C96" s="18" t="s">
        <v>107</v>
      </c>
    </row>
    <row r="97" spans="1:3">
      <c r="A97" s="18" t="s">
        <v>370</v>
      </c>
      <c r="B97" s="18" t="s">
        <v>105</v>
      </c>
      <c r="C97" s="18" t="s">
        <v>105</v>
      </c>
    </row>
    <row r="98" spans="1:3">
      <c r="A98" s="18" t="s">
        <v>370</v>
      </c>
      <c r="B98" s="18" t="s">
        <v>378</v>
      </c>
      <c r="C98" s="18" t="s">
        <v>145</v>
      </c>
    </row>
    <row r="99" spans="1:3">
      <c r="A99" s="18" t="s">
        <v>370</v>
      </c>
      <c r="B99" s="18" t="s">
        <v>379</v>
      </c>
      <c r="C99" s="18" t="s">
        <v>145</v>
      </c>
    </row>
    <row r="100" spans="1:3">
      <c r="A100" s="18" t="s">
        <v>370</v>
      </c>
      <c r="B100" s="18" t="s">
        <v>205</v>
      </c>
      <c r="C100" s="18" t="s">
        <v>205</v>
      </c>
    </row>
    <row r="101" spans="1:3">
      <c r="A101" s="18" t="s">
        <v>370</v>
      </c>
      <c r="B101" s="18" t="s">
        <v>380</v>
      </c>
      <c r="C101" s="18" t="s">
        <v>106</v>
      </c>
    </row>
    <row r="102" spans="1:3">
      <c r="A102" s="18" t="s">
        <v>370</v>
      </c>
      <c r="B102" s="18" t="s">
        <v>381</v>
      </c>
      <c r="C102" s="18" t="s">
        <v>109</v>
      </c>
    </row>
    <row r="103" spans="1:3">
      <c r="A103" s="18" t="s">
        <v>370</v>
      </c>
      <c r="B103" s="18" t="s">
        <v>382</v>
      </c>
      <c r="C103" s="18" t="s">
        <v>109</v>
      </c>
    </row>
    <row r="104" spans="1:3">
      <c r="A104" s="18" t="s">
        <v>383</v>
      </c>
      <c r="B104" s="18" t="s">
        <v>362</v>
      </c>
      <c r="C104" s="18" t="s">
        <v>146</v>
      </c>
    </row>
    <row r="105" spans="1:3">
      <c r="A105" s="18" t="s">
        <v>383</v>
      </c>
      <c r="B105" s="18" t="s">
        <v>384</v>
      </c>
      <c r="C105" s="18" t="s">
        <v>146</v>
      </c>
    </row>
    <row r="106" spans="1:3">
      <c r="A106" s="18" t="s">
        <v>383</v>
      </c>
      <c r="B106" s="18" t="s">
        <v>359</v>
      </c>
      <c r="C106" s="18" t="s">
        <v>174</v>
      </c>
    </row>
    <row r="107" spans="1:3">
      <c r="A107" s="18" t="s">
        <v>383</v>
      </c>
      <c r="B107" s="18" t="s">
        <v>385</v>
      </c>
      <c r="C107" s="18" t="s">
        <v>174</v>
      </c>
    </row>
    <row r="108" spans="1:3">
      <c r="A108" s="18" t="s">
        <v>383</v>
      </c>
      <c r="B108" s="18" t="s">
        <v>205</v>
      </c>
      <c r="C108" s="18" t="s">
        <v>157</v>
      </c>
    </row>
    <row r="109" spans="1:3">
      <c r="A109" s="18" t="s">
        <v>383</v>
      </c>
      <c r="B109" s="18" t="s">
        <v>380</v>
      </c>
      <c r="C109" s="18" t="s">
        <v>182</v>
      </c>
    </row>
    <row r="110" spans="1:3">
      <c r="A110" s="18" t="s">
        <v>383</v>
      </c>
      <c r="B110" s="18" t="s">
        <v>386</v>
      </c>
      <c r="C110" s="18" t="s">
        <v>191</v>
      </c>
    </row>
    <row r="111" spans="1:3" ht="28.5">
      <c r="A111" s="18" t="s">
        <v>383</v>
      </c>
      <c r="B111" s="18" t="s">
        <v>387</v>
      </c>
      <c r="C111" s="18" t="s">
        <v>388</v>
      </c>
    </row>
    <row r="112" spans="1:3" ht="28.5">
      <c r="A112" s="18" t="s">
        <v>383</v>
      </c>
      <c r="B112" s="18" t="s">
        <v>89</v>
      </c>
      <c r="C112" s="18" t="s">
        <v>388</v>
      </c>
    </row>
    <row r="113" spans="1:3">
      <c r="A113" s="18" t="s">
        <v>389</v>
      </c>
      <c r="B113" s="18" t="s">
        <v>390</v>
      </c>
      <c r="C113" s="18" t="s">
        <v>246</v>
      </c>
    </row>
    <row r="114" spans="1:3">
      <c r="A114" s="18" t="s">
        <v>389</v>
      </c>
      <c r="B114" s="18" t="s">
        <v>391</v>
      </c>
      <c r="C114" s="18" t="s">
        <v>246</v>
      </c>
    </row>
    <row r="115" spans="1:3">
      <c r="A115" s="18" t="s">
        <v>389</v>
      </c>
      <c r="B115" s="18" t="s">
        <v>392</v>
      </c>
      <c r="C115" s="18" t="s">
        <v>246</v>
      </c>
    </row>
    <row r="116" spans="1:3">
      <c r="A116" s="18" t="s">
        <v>389</v>
      </c>
      <c r="B116" s="18" t="s">
        <v>393</v>
      </c>
      <c r="C116" s="18" t="s">
        <v>246</v>
      </c>
    </row>
    <row r="117" spans="1:3">
      <c r="A117" s="18" t="s">
        <v>389</v>
      </c>
      <c r="B117" s="18" t="s">
        <v>394</v>
      </c>
      <c r="C117" s="18" t="s">
        <v>89</v>
      </c>
    </row>
    <row r="118" spans="1:3">
      <c r="A118" s="18" t="s">
        <v>389</v>
      </c>
      <c r="B118" s="18" t="s">
        <v>395</v>
      </c>
      <c r="C118" s="18" t="s">
        <v>234</v>
      </c>
    </row>
    <row r="119" spans="1:3">
      <c r="A119" s="18" t="s">
        <v>396</v>
      </c>
      <c r="B119" s="18" t="s">
        <v>397</v>
      </c>
      <c r="C119" s="18" t="s">
        <v>46</v>
      </c>
    </row>
    <row r="120" spans="1:3">
      <c r="A120" s="18" t="s">
        <v>396</v>
      </c>
      <c r="B120" s="18" t="s">
        <v>398</v>
      </c>
      <c r="C120" s="18" t="s">
        <v>46</v>
      </c>
    </row>
    <row r="121" spans="1:3">
      <c r="A121" s="18" t="s">
        <v>396</v>
      </c>
      <c r="B121" s="18" t="s">
        <v>114</v>
      </c>
      <c r="C121" s="18" t="s">
        <v>46</v>
      </c>
    </row>
    <row r="122" spans="1:3">
      <c r="A122" s="18" t="s">
        <v>396</v>
      </c>
      <c r="B122" s="18" t="s">
        <v>399</v>
      </c>
      <c r="C122" s="18" t="s">
        <v>46</v>
      </c>
    </row>
    <row r="123" spans="1:3">
      <c r="A123" s="18" t="s">
        <v>396</v>
      </c>
      <c r="B123" s="18" t="s">
        <v>400</v>
      </c>
      <c r="C123" s="18" t="s">
        <v>46</v>
      </c>
    </row>
    <row r="124" spans="1:3">
      <c r="A124" s="18" t="s">
        <v>396</v>
      </c>
      <c r="B124" s="18" t="s">
        <v>401</v>
      </c>
      <c r="C124" s="18" t="s">
        <v>46</v>
      </c>
    </row>
    <row r="125" spans="1:3">
      <c r="A125" s="18" t="s">
        <v>396</v>
      </c>
      <c r="B125" s="18" t="s">
        <v>402</v>
      </c>
      <c r="C125" s="18" t="s">
        <v>44</v>
      </c>
    </row>
    <row r="126" spans="1:3">
      <c r="A126" s="18" t="s">
        <v>396</v>
      </c>
      <c r="B126" s="18" t="s">
        <v>403</v>
      </c>
      <c r="C126" s="18" t="s">
        <v>44</v>
      </c>
    </row>
    <row r="127" spans="1:3">
      <c r="A127" s="18" t="s">
        <v>396</v>
      </c>
      <c r="B127" s="18" t="s">
        <v>404</v>
      </c>
      <c r="C127" s="18" t="s">
        <v>44</v>
      </c>
    </row>
    <row r="128" spans="1:3">
      <c r="A128" s="18" t="s">
        <v>396</v>
      </c>
      <c r="B128" s="18" t="s">
        <v>86</v>
      </c>
      <c r="C128" s="18" t="s">
        <v>86</v>
      </c>
    </row>
    <row r="129" spans="1:3">
      <c r="A129" s="18" t="s">
        <v>396</v>
      </c>
      <c r="B129" s="18" t="s">
        <v>405</v>
      </c>
      <c r="C129" s="18" t="s">
        <v>86</v>
      </c>
    </row>
    <row r="130" spans="1:3">
      <c r="A130" s="18" t="s">
        <v>396</v>
      </c>
      <c r="B130" s="18" t="s">
        <v>148</v>
      </c>
      <c r="C130" s="18" t="s">
        <v>148</v>
      </c>
    </row>
    <row r="131" spans="1:3">
      <c r="A131" s="18" t="s">
        <v>396</v>
      </c>
      <c r="B131" s="18" t="s">
        <v>406</v>
      </c>
      <c r="C131" s="18" t="s">
        <v>148</v>
      </c>
    </row>
    <row r="132" spans="1:3">
      <c r="A132" s="18" t="s">
        <v>396</v>
      </c>
      <c r="B132" s="18" t="s">
        <v>52</v>
      </c>
      <c r="C132" s="18" t="s">
        <v>52</v>
      </c>
    </row>
    <row r="133" spans="1:3">
      <c r="A133" s="18" t="s">
        <v>396</v>
      </c>
      <c r="B133" s="18" t="s">
        <v>407</v>
      </c>
      <c r="C133" s="18" t="s">
        <v>52</v>
      </c>
    </row>
    <row r="134" spans="1:3">
      <c r="A134" s="18" t="s">
        <v>396</v>
      </c>
      <c r="B134" s="18" t="s">
        <v>408</v>
      </c>
      <c r="C134" s="18" t="s">
        <v>408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"/>
  <sheetViews>
    <sheetView workbookViewId="0"/>
  </sheetViews>
  <sheetFormatPr defaultRowHeight="14.25"/>
  <cols>
    <col min="1" max="1" width="14" customWidth="1"/>
    <col min="2" max="2" width="22" customWidth="1"/>
    <col min="3" max="3" width="16" customWidth="1"/>
    <col min="4" max="4" width="3" customWidth="1"/>
    <col min="5" max="5" width="22" customWidth="1"/>
  </cols>
  <sheetData>
    <row r="1" spans="1:7" ht="15">
      <c r="A1" s="26" t="s">
        <v>409</v>
      </c>
      <c r="B1" s="26" t="s">
        <v>410</v>
      </c>
      <c r="C1" s="26" t="s">
        <v>411</v>
      </c>
      <c r="E1" s="26" t="s">
        <v>412</v>
      </c>
      <c r="G1" s="27" t="s">
        <v>413</v>
      </c>
    </row>
    <row r="2" spans="1:7">
      <c r="A2" t="s">
        <v>2</v>
      </c>
      <c r="B2" t="s">
        <v>85</v>
      </c>
      <c r="C2" t="s">
        <v>89</v>
      </c>
      <c r="E2" t="str">
        <f>IF(기업정보!E2="","",기업정보!E2)</f>
        <v>공연공</v>
      </c>
    </row>
    <row r="3" spans="1:7">
      <c r="A3" t="s">
        <v>2</v>
      </c>
      <c r="B3" t="s">
        <v>88</v>
      </c>
      <c r="C3" t="s">
        <v>234</v>
      </c>
      <c r="E3" t="str">
        <f>IF(기업정보!E3="","",기업정보!E3)</f>
        <v/>
      </c>
    </row>
    <row r="4" spans="1:7">
      <c r="A4" t="s">
        <v>2</v>
      </c>
      <c r="B4" t="s">
        <v>91</v>
      </c>
      <c r="C4" t="s">
        <v>166</v>
      </c>
      <c r="E4" t="str">
        <f>IF(기업정보!E4="","",기업정보!E4)</f>
        <v/>
      </c>
    </row>
    <row r="5" spans="1:7">
      <c r="A5" t="s">
        <v>2</v>
      </c>
      <c r="B5" t="s">
        <v>93</v>
      </c>
      <c r="C5" t="s">
        <v>89</v>
      </c>
      <c r="E5" t="str">
        <f>IF(기업정보!E5="","",기업정보!E5)</f>
        <v/>
      </c>
    </row>
    <row r="6" spans="1:7">
      <c r="A6" t="s">
        <v>2</v>
      </c>
      <c r="B6" t="s">
        <v>94</v>
      </c>
      <c r="C6" t="s">
        <v>175</v>
      </c>
      <c r="E6" t="str">
        <f>IF(기업정보!E6="","",기업정보!E6)</f>
        <v/>
      </c>
    </row>
    <row r="7" spans="1:7">
      <c r="A7" t="s">
        <v>2</v>
      </c>
      <c r="B7" t="s">
        <v>95</v>
      </c>
      <c r="C7" t="s">
        <v>89</v>
      </c>
      <c r="E7" t="str">
        <f>IF(기업정보!E7="","",기업정보!E7)</f>
        <v/>
      </c>
    </row>
    <row r="8" spans="1:7">
      <c r="A8" t="s">
        <v>2</v>
      </c>
      <c r="B8" t="s">
        <v>96</v>
      </c>
      <c r="C8" t="s">
        <v>89</v>
      </c>
      <c r="E8" t="str">
        <f>IF(기업정보!E8="","",기업정보!E8)</f>
        <v/>
      </c>
    </row>
    <row r="9" spans="1:7">
      <c r="A9" t="s">
        <v>2</v>
      </c>
      <c r="B9" t="s">
        <v>97</v>
      </c>
      <c r="C9" t="s">
        <v>227</v>
      </c>
      <c r="E9" t="str">
        <f>IF(기업정보!E9="","",기업정보!E9)</f>
        <v/>
      </c>
    </row>
    <row r="10" spans="1:7">
      <c r="A10" t="s">
        <v>2</v>
      </c>
      <c r="B10" t="s">
        <v>98</v>
      </c>
      <c r="C10" t="s">
        <v>227</v>
      </c>
      <c r="E10" t="str">
        <f>IF(기업정보!E10="","",기업정보!E10)</f>
        <v/>
      </c>
    </row>
    <row r="11" spans="1:7">
      <c r="A11" t="s">
        <v>2</v>
      </c>
      <c r="B11" t="s">
        <v>99</v>
      </c>
      <c r="C11" t="s">
        <v>246</v>
      </c>
      <c r="E11" t="str">
        <f>IF(기업정보!E11="","",기업정보!E11)</f>
        <v/>
      </c>
    </row>
    <row r="12" spans="1:7">
      <c r="A12" t="s">
        <v>2</v>
      </c>
      <c r="B12" t="s">
        <v>100</v>
      </c>
      <c r="C12" t="s">
        <v>240</v>
      </c>
      <c r="E12" t="str">
        <f>IF(기업정보!E12="","",기업정보!E12)</f>
        <v/>
      </c>
    </row>
    <row r="13" spans="1:7">
      <c r="A13" t="s">
        <v>2</v>
      </c>
      <c r="B13" t="s">
        <v>89</v>
      </c>
      <c r="C13" t="s">
        <v>89</v>
      </c>
      <c r="E13" t="str">
        <f>IF(기업정보!E13="","",기업정보!E13)</f>
        <v/>
      </c>
    </row>
    <row r="14" spans="1:7">
      <c r="A14" t="s">
        <v>2</v>
      </c>
      <c r="B14" t="s">
        <v>101</v>
      </c>
      <c r="C14" t="s">
        <v>89</v>
      </c>
      <c r="E14" t="str">
        <f>IF(기업정보!E14="","",기업정보!E14)</f>
        <v/>
      </c>
    </row>
    <row r="15" spans="1:7">
      <c r="A15" t="s">
        <v>2</v>
      </c>
      <c r="B15" t="s">
        <v>102</v>
      </c>
      <c r="C15" t="s">
        <v>89</v>
      </c>
      <c r="E15" t="str">
        <f>IF(기업정보!E15="","",기업정보!E15)</f>
        <v/>
      </c>
    </row>
    <row r="16" spans="1:7">
      <c r="E16" t="str">
        <f>IF(기업정보!E16="","",기업정보!E16)</f>
        <v/>
      </c>
    </row>
    <row r="17" spans="5:5">
      <c r="E17" t="str">
        <f>IF(기업정보!E17="","",기업정보!E17)</f>
        <v/>
      </c>
    </row>
    <row r="18" spans="5:5">
      <c r="E18" t="str">
        <f>IF(기업정보!E18="","",기업정보!E18)</f>
        <v/>
      </c>
    </row>
    <row r="19" spans="5:5">
      <c r="E19" t="str">
        <f>IF(기업정보!E19="","",기업정보!E19)</f>
        <v/>
      </c>
    </row>
    <row r="20" spans="5:5">
      <c r="E20" t="str">
        <f>IF(기업정보!E20="","",기업정보!E20)</f>
        <v/>
      </c>
    </row>
    <row r="21" spans="5:5">
      <c r="E21" t="str">
        <f>IF(기업정보!E21="","",기업정보!E21)</f>
        <v/>
      </c>
    </row>
    <row r="22" spans="5:5">
      <c r="E22" t="str">
        <f>IF(기업정보!E22="","",기업정보!E22)</f>
        <v/>
      </c>
    </row>
    <row r="23" spans="5:5">
      <c r="E23" t="str">
        <f>IF(기업정보!E23="","",기업정보!E23)</f>
        <v/>
      </c>
    </row>
    <row r="24" spans="5:5">
      <c r="E24" t="str">
        <f>IF(기업정보!E24="","",기업정보!E24)</f>
        <v/>
      </c>
    </row>
    <row r="25" spans="5:5">
      <c r="E25" t="str">
        <f>IF(기업정보!E25="","",기업정보!E25)</f>
        <v/>
      </c>
    </row>
    <row r="26" spans="5:5">
      <c r="E26" t="str">
        <f>IF(기업정보!E26="","",기업정보!E26)</f>
        <v/>
      </c>
    </row>
    <row r="27" spans="5:5">
      <c r="E27" t="str">
        <f>IF(기업정보!E27="","",기업정보!E27)</f>
        <v/>
      </c>
    </row>
    <row r="28" spans="5:5">
      <c r="E28" t="str">
        <f>IF(기업정보!E28="","",기업정보!E28)</f>
        <v/>
      </c>
    </row>
    <row r="29" spans="5:5">
      <c r="E29" t="str">
        <f>IF(기업정보!E29="","",기업정보!E29)</f>
        <v/>
      </c>
    </row>
    <row r="30" spans="5:5">
      <c r="E30" t="str">
        <f>IF(기업정보!E30="","",기업정보!E30)</f>
        <v/>
      </c>
    </row>
    <row r="31" spans="5:5">
      <c r="E31" t="str">
        <f>IF(기업정보!E31="","",기업정보!E31)</f>
        <v/>
      </c>
    </row>
    <row r="32" spans="5:5">
      <c r="E32" t="str">
        <f>IF(기업정보!E32="","",기업정보!E32)</f>
        <v/>
      </c>
    </row>
    <row r="33" spans="5:5">
      <c r="E33" t="str">
        <f>IF(기업정보!E33="","",기업정보!E33)</f>
        <v/>
      </c>
    </row>
    <row r="34" spans="5:5">
      <c r="E34" t="str">
        <f>IF(기업정보!E34="","",기업정보!E34)</f>
        <v/>
      </c>
    </row>
    <row r="35" spans="5:5">
      <c r="E35" t="str">
        <f>IF(기업정보!E35="","",기업정보!E35)</f>
        <v/>
      </c>
    </row>
    <row r="36" spans="5:5">
      <c r="E36" t="str">
        <f>IF(기업정보!E36="","",기업정보!E36)</f>
        <v/>
      </c>
    </row>
    <row r="37" spans="5:5">
      <c r="E37" t="str">
        <f>IF(기업정보!E37="","",기업정보!E37)</f>
        <v/>
      </c>
    </row>
    <row r="38" spans="5:5">
      <c r="E38" t="str">
        <f>IF(기업정보!E38="","",기업정보!E38)</f>
        <v/>
      </c>
    </row>
    <row r="39" spans="5:5">
      <c r="E39" t="str">
        <f>IF(기업정보!E39="","",기업정보!E39)</f>
        <v/>
      </c>
    </row>
    <row r="40" spans="5:5">
      <c r="E40" t="str">
        <f>IF(기업정보!E40="","",기업정보!E40)</f>
        <v/>
      </c>
    </row>
    <row r="41" spans="5:5">
      <c r="E41" t="str">
        <f>IF(기업정보!E41="","",기업정보!E41)</f>
        <v/>
      </c>
    </row>
    <row r="42" spans="5:5">
      <c r="E42" t="str">
        <f>IF(기업정보!E42="","",기업정보!E42)</f>
        <v/>
      </c>
    </row>
    <row r="43" spans="5:5">
      <c r="E43" t="str">
        <f>IF(기업정보!E43="","",기업정보!E43)</f>
        <v/>
      </c>
    </row>
    <row r="44" spans="5:5">
      <c r="E44" t="str">
        <f>IF(기업정보!E44="","",기업정보!E44)</f>
        <v/>
      </c>
    </row>
    <row r="45" spans="5:5">
      <c r="E45" t="str">
        <f>IF(기업정보!E45="","",기업정보!E45)</f>
        <v/>
      </c>
    </row>
    <row r="46" spans="5:5">
      <c r="E46" t="str">
        <f>IF(기업정보!E46="","",기업정보!E46)</f>
        <v/>
      </c>
    </row>
    <row r="47" spans="5:5">
      <c r="E47" t="str">
        <f>IF(기업정보!E47="","",기업정보!E47)</f>
        <v/>
      </c>
    </row>
    <row r="48" spans="5:5">
      <c r="E48" t="str">
        <f>IF(기업정보!E48="","",기업정보!E48)</f>
        <v/>
      </c>
    </row>
    <row r="49" spans="5:5">
      <c r="E49" t="str">
        <f>IF(기업정보!E49="","",기업정보!E49)</f>
        <v/>
      </c>
    </row>
    <row r="50" spans="5:5">
      <c r="E50" t="str">
        <f>IF(기업정보!E50="","",기업정보!E50)</f>
        <v/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"/>
  <sheetViews>
    <sheetView workbookViewId="0"/>
  </sheetViews>
  <sheetFormatPr defaultRowHeight="14.25"/>
  <cols>
    <col min="1" max="1" width="14" customWidth="1"/>
    <col min="2" max="2" width="22" customWidth="1"/>
    <col min="3" max="3" width="16" customWidth="1"/>
    <col min="4" max="4" width="3" customWidth="1"/>
    <col min="5" max="5" width="22" customWidth="1"/>
  </cols>
  <sheetData>
    <row r="1" spans="1:7" ht="15">
      <c r="A1" s="26" t="s">
        <v>409</v>
      </c>
      <c r="B1" s="26" t="s">
        <v>414</v>
      </c>
      <c r="C1" s="26" t="s">
        <v>415</v>
      </c>
      <c r="E1" s="26" t="s">
        <v>412</v>
      </c>
      <c r="G1" s="27" t="s">
        <v>416</v>
      </c>
    </row>
    <row r="2" spans="1:7">
      <c r="E2" t="str">
        <f>IF(기업정보!E2="","",기업정보!E2)</f>
        <v>공연공</v>
      </c>
    </row>
    <row r="3" spans="1:7">
      <c r="E3" t="str">
        <f>IF(기업정보!E3="","",기업정보!E3)</f>
        <v/>
      </c>
    </row>
    <row r="4" spans="1:7">
      <c r="E4" t="str">
        <f>IF(기업정보!E4="","",기업정보!E4)</f>
        <v/>
      </c>
    </row>
    <row r="5" spans="1:7">
      <c r="E5" t="str">
        <f>IF(기업정보!E5="","",기업정보!E5)</f>
        <v/>
      </c>
    </row>
    <row r="6" spans="1:7">
      <c r="E6" t="str">
        <f>IF(기업정보!E6="","",기업정보!E6)</f>
        <v/>
      </c>
    </row>
    <row r="7" spans="1:7">
      <c r="E7" t="str">
        <f>IF(기업정보!E7="","",기업정보!E7)</f>
        <v/>
      </c>
    </row>
    <row r="8" spans="1:7">
      <c r="E8" t="str">
        <f>IF(기업정보!E8="","",기업정보!E8)</f>
        <v/>
      </c>
    </row>
    <row r="9" spans="1:7">
      <c r="E9" t="str">
        <f>IF(기업정보!E9="","",기업정보!E9)</f>
        <v/>
      </c>
    </row>
    <row r="10" spans="1:7">
      <c r="E10" t="str">
        <f>IF(기업정보!E10="","",기업정보!E10)</f>
        <v/>
      </c>
    </row>
    <row r="11" spans="1:7">
      <c r="E11" t="str">
        <f>IF(기업정보!E11="","",기업정보!E11)</f>
        <v/>
      </c>
    </row>
    <row r="12" spans="1:7">
      <c r="E12" t="str">
        <f>IF(기업정보!E12="","",기업정보!E12)</f>
        <v/>
      </c>
    </row>
    <row r="13" spans="1:7">
      <c r="E13" t="str">
        <f>IF(기업정보!E13="","",기업정보!E13)</f>
        <v/>
      </c>
    </row>
    <row r="14" spans="1:7">
      <c r="E14" t="str">
        <f>IF(기업정보!E14="","",기업정보!E14)</f>
        <v/>
      </c>
    </row>
    <row r="15" spans="1:7">
      <c r="E15" t="str">
        <f>IF(기업정보!E15="","",기업정보!E15)</f>
        <v/>
      </c>
    </row>
    <row r="16" spans="1:7">
      <c r="E16" t="str">
        <f>IF(기업정보!E16="","",기업정보!E16)</f>
        <v/>
      </c>
    </row>
    <row r="17" spans="5:5">
      <c r="E17" t="str">
        <f>IF(기업정보!E17="","",기업정보!E17)</f>
        <v/>
      </c>
    </row>
    <row r="18" spans="5:5">
      <c r="E18" t="str">
        <f>IF(기업정보!E18="","",기업정보!E18)</f>
        <v/>
      </c>
    </row>
    <row r="19" spans="5:5">
      <c r="E19" t="str">
        <f>IF(기업정보!E19="","",기업정보!E19)</f>
        <v/>
      </c>
    </row>
    <row r="20" spans="5:5">
      <c r="E20" t="str">
        <f>IF(기업정보!E20="","",기업정보!E20)</f>
        <v/>
      </c>
    </row>
    <row r="21" spans="5:5">
      <c r="E21" t="str">
        <f>IF(기업정보!E21="","",기업정보!E21)</f>
        <v/>
      </c>
    </row>
    <row r="22" spans="5:5">
      <c r="E22" t="str">
        <f>IF(기업정보!E22="","",기업정보!E22)</f>
        <v/>
      </c>
    </row>
    <row r="23" spans="5:5">
      <c r="E23" t="str">
        <f>IF(기업정보!E23="","",기업정보!E23)</f>
        <v/>
      </c>
    </row>
    <row r="24" spans="5:5">
      <c r="E24" t="str">
        <f>IF(기업정보!E24="","",기업정보!E24)</f>
        <v/>
      </c>
    </row>
    <row r="25" spans="5:5">
      <c r="E25" t="str">
        <f>IF(기업정보!E25="","",기업정보!E25)</f>
        <v/>
      </c>
    </row>
    <row r="26" spans="5:5">
      <c r="E26" t="str">
        <f>IF(기업정보!E26="","",기업정보!E26)</f>
        <v/>
      </c>
    </row>
    <row r="27" spans="5:5">
      <c r="E27" t="str">
        <f>IF(기업정보!E27="","",기업정보!E27)</f>
        <v/>
      </c>
    </row>
    <row r="28" spans="5:5">
      <c r="E28" t="str">
        <f>IF(기업정보!E28="","",기업정보!E28)</f>
        <v/>
      </c>
    </row>
    <row r="29" spans="5:5">
      <c r="E29" t="str">
        <f>IF(기업정보!E29="","",기업정보!E29)</f>
        <v/>
      </c>
    </row>
    <row r="30" spans="5:5">
      <c r="E30" t="str">
        <f>IF(기업정보!E30="","",기업정보!E30)</f>
        <v/>
      </c>
    </row>
    <row r="31" spans="5:5">
      <c r="E31" t="str">
        <f>IF(기업정보!E31="","",기업정보!E31)</f>
        <v/>
      </c>
    </row>
    <row r="32" spans="5:5">
      <c r="E32" t="str">
        <f>IF(기업정보!E32="","",기업정보!E32)</f>
        <v/>
      </c>
    </row>
    <row r="33" spans="5:5">
      <c r="E33" t="str">
        <f>IF(기업정보!E33="","",기업정보!E33)</f>
        <v/>
      </c>
    </row>
    <row r="34" spans="5:5">
      <c r="E34" t="str">
        <f>IF(기업정보!E34="","",기업정보!E34)</f>
        <v/>
      </c>
    </row>
    <row r="35" spans="5:5">
      <c r="E35" t="str">
        <f>IF(기업정보!E35="","",기업정보!E35)</f>
        <v/>
      </c>
    </row>
    <row r="36" spans="5:5">
      <c r="E36" t="str">
        <f>IF(기업정보!E36="","",기업정보!E36)</f>
        <v/>
      </c>
    </row>
    <row r="37" spans="5:5">
      <c r="E37" t="str">
        <f>IF(기업정보!E37="","",기업정보!E37)</f>
        <v/>
      </c>
    </row>
    <row r="38" spans="5:5">
      <c r="E38" t="str">
        <f>IF(기업정보!E38="","",기업정보!E38)</f>
        <v/>
      </c>
    </row>
    <row r="39" spans="5:5">
      <c r="E39" t="str">
        <f>IF(기업정보!E39="","",기업정보!E39)</f>
        <v/>
      </c>
    </row>
    <row r="40" spans="5:5">
      <c r="E40" t="str">
        <f>IF(기업정보!E40="","",기업정보!E40)</f>
        <v/>
      </c>
    </row>
    <row r="41" spans="5:5">
      <c r="E41" t="str">
        <f>IF(기업정보!E41="","",기업정보!E41)</f>
        <v/>
      </c>
    </row>
    <row r="42" spans="5:5">
      <c r="E42" t="str">
        <f>IF(기업정보!E42="","",기업정보!E42)</f>
        <v/>
      </c>
    </row>
    <row r="43" spans="5:5">
      <c r="E43" t="str">
        <f>IF(기업정보!E43="","",기업정보!E43)</f>
        <v/>
      </c>
    </row>
    <row r="44" spans="5:5">
      <c r="E44" t="str">
        <f>IF(기업정보!E44="","",기업정보!E44)</f>
        <v/>
      </c>
    </row>
    <row r="45" spans="5:5">
      <c r="E45" t="str">
        <f>IF(기업정보!E45="","",기업정보!E45)</f>
        <v/>
      </c>
    </row>
    <row r="46" spans="5:5">
      <c r="E46" t="str">
        <f>IF(기업정보!E46="","",기업정보!E46)</f>
        <v/>
      </c>
    </row>
    <row r="47" spans="5:5">
      <c r="E47" t="str">
        <f>IF(기업정보!E47="","",기업정보!E47)</f>
        <v/>
      </c>
    </row>
    <row r="48" spans="5:5">
      <c r="E48" t="str">
        <f>IF(기업정보!E48="","",기업정보!E48)</f>
        <v/>
      </c>
    </row>
    <row r="49" spans="5:5">
      <c r="E49" t="str">
        <f>IF(기업정보!E49="","",기업정보!E49)</f>
        <v/>
      </c>
    </row>
    <row r="50" spans="5:5">
      <c r="E50" t="str">
        <f>IF(기업정보!E50="","",기업정보!E50)</f>
        <v/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12</vt:i4>
      </vt:variant>
    </vt:vector>
  </HeadingPairs>
  <TitlesOfParts>
    <vt:vector size="19" baseType="lpstr">
      <vt:lpstr>기업정보</vt:lpstr>
      <vt:lpstr>C3_연료에너지</vt:lpstr>
      <vt:lpstr>C5_사업장폐기물</vt:lpstr>
      <vt:lpstr>배출계수_드롭다운</vt:lpstr>
      <vt:lpstr>드롭다운_매핑검토</vt:lpstr>
      <vt:lpstr>회사별_폐기물매핑</vt:lpstr>
      <vt:lpstr>회사별_교통수단매핑</vt:lpstr>
      <vt:lpstr>DD_APPLIED_COMPANY</vt:lpstr>
      <vt:lpstr>DD_ENERGY</vt:lpstr>
      <vt:lpstr>DD_ENERGY_UNIT</vt:lpstr>
      <vt:lpstr>DD_PURCHASE_GROUP</vt:lpstr>
      <vt:lpstr>DD_TRANSPORT_DISTANCE</vt:lpstr>
      <vt:lpstr>DD_TRANSPORT_SPEND</vt:lpstr>
      <vt:lpstr>DD_TRANSPORT_WEIGHT_UNIT</vt:lpstr>
      <vt:lpstr>DD_TRAVEL_DISTANCE</vt:lpstr>
      <vt:lpstr>DD_TRAVEL_SPEND</vt:lpstr>
      <vt:lpstr>DD_WASTE_C5_TYPE</vt:lpstr>
      <vt:lpstr>DD_WASTE_METHOD</vt:lpstr>
      <vt:lpstr>DD_WASTE_UNIT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마크스폰</cp:lastModifiedBy>
  <dcterms:created xsi:type="dcterms:W3CDTF">2026-06-08T01:44:01Z</dcterms:created>
  <dcterms:modified xsi:type="dcterms:W3CDTF">2026-09-28T00:57:37Z</dcterms:modified>
</cp:coreProperties>
</file>